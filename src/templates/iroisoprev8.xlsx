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RYZEN 5\Downloads\"/>
    </mc:Choice>
  </mc:AlternateContent>
  <xr:revisionPtr revIDLastSave="0" documentId="13_ncr:1_{2C1034D9-BA41-44F9-BCD8-4B1406B65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SC Lista Verific. Inspeccion" sheetId="1" r:id="rId1"/>
    <sheet name="ISOP" sheetId="2" r:id="rId2"/>
    <sheet name="ISOP2" sheetId="3" r:id="rId3"/>
    <sheet name="Sheet1" sheetId="4" r:id="rId4"/>
  </sheets>
  <definedNames>
    <definedName name="_xlnm._FilterDatabase" localSheetId="0" hidden="1">'MSC Lista Verific. Inspeccion'!$A$34:$E$162</definedName>
    <definedName name="_xlnm._FilterDatabase" localSheetId="3" hidden="1">Sheet1!$O$2:$R$150</definedName>
    <definedName name="Archivo" localSheetId="3">#REF!</definedName>
    <definedName name="Archivo">#REF!</definedName>
    <definedName name="data_supervision_" localSheetId="3">Sheet1!$P$2:$Y$154</definedName>
    <definedName name="data_supervision_">#REF!</definedName>
    <definedName name="Empresa" localSheetId="3">#REF!</definedName>
    <definedName name="Empresa">#REF!</definedName>
    <definedName name="Gerencia" localSheetId="3">#REF!</definedName>
    <definedName name="Gerencia">#REF!</definedName>
    <definedName name="SuperIntendencia" localSheetId="3">#REF!</definedName>
    <definedName name="SuperIntendencia">#REF!</definedName>
    <definedName name="Supervision" localSheetId="3">#REF!</definedName>
    <definedName name="Supervision">#REF!</definedName>
    <definedName name="tbl_Archivo" localSheetId="3">#REF!</definedName>
    <definedName name="tbl_Archivo">#REF!</definedName>
    <definedName name="tbl_Empresa" localSheetId="3">#REF!</definedName>
    <definedName name="tbl_Empresa">#REF!</definedName>
    <definedName name="tbl_gerencia" localSheetId="3">#REF!</definedName>
    <definedName name="tbl_gerencia">#REF!</definedName>
    <definedName name="tbl_SuperIntendencia" localSheetId="3">#REF!</definedName>
    <definedName name="tbl_SuperIntendencia">#REF!</definedName>
    <definedName name="tbl_Supervision" localSheetId="3">#REF!</definedName>
    <definedName name="tbl_Supervision">#REF!</definedName>
    <definedName name="tbl_version" localSheetId="3">#REF!</definedName>
    <definedName name="tbl_version">#REF!</definedName>
    <definedName name="tbl_vice" localSheetId="3">#REF!</definedName>
    <definedName name="tbl_vice">#REF!</definedName>
    <definedName name="version" localSheetId="3">#REF!</definedName>
    <definedName name="version">#REF!</definedName>
    <definedName name="Vicepresidencia" localSheetId="3">#REF!</definedName>
    <definedName name="Vicepresidencia">#REF!</definedName>
    <definedName name="Z_00E43C4F_1D56_4BA5_B346_E3CAFBB8A01D_.wvu.FilterData" localSheetId="3" hidden="1">Sheet1!$EB$2:$EB$4</definedName>
    <definedName name="Z_058784DF_0E95_4ECF_8C4E_D68F1D345992_.wvu.FilterData" localSheetId="3" hidden="1">Sheet1!$FV$2:$FV$3</definedName>
    <definedName name="Z_06995EBC_9C31_411E_9EBF_7315C9D7463A_.wvu.FilterData" localSheetId="3" hidden="1">Sheet1!$CX$2:$CX$8</definedName>
    <definedName name="Z_0879CC13_5F61_42AB_B6F0_F54E95601EDA_.wvu.FilterData" localSheetId="3" hidden="1">Sheet1!$DV$2:$DV$4</definedName>
    <definedName name="Z_0FACE99F_6A2B_4345_BA0F_D63F5D034D92_.wvu.FilterData" localSheetId="3" hidden="1">Sheet1!$FR$2:$FR$10</definedName>
    <definedName name="Z_12DD01B4_018F_4D05_82B6_0CD1B211DDD9_.wvu.FilterData" localSheetId="3" hidden="1">Sheet1!$CF$2:$CF$7</definedName>
    <definedName name="Z_19DB6B39_1D69_48DC_9FF6_C3EC1A324B47_.wvu.FilterData" localSheetId="3" hidden="1">Sheet1!$EF$2:$EF$5</definedName>
    <definedName name="Z_19EE979D_ADE4_4219_8E3F_3433717D1EEF_.wvu.FilterData" localSheetId="3" hidden="1">Sheet1!$CH$2:$CH$7</definedName>
    <definedName name="Z_1BEBB13E_9864_4196_954B_5B39C272EC7C_.wvu.FilterData" localSheetId="3" hidden="1">Sheet1!$GD$2:$GD$10</definedName>
    <definedName name="Z_23BCAA78_C6F6_4BE1_8096_9A37D3396017_.wvu.FilterData" localSheetId="3" hidden="1">Sheet1!$EN$2:$EN$3</definedName>
    <definedName name="Z_23F8F4B8_3BCD_40DD_B1BB_BB548503F48F_.wvu.FilterData" localSheetId="3" hidden="1">Sheet1!$CL$2:$CL$3</definedName>
    <definedName name="Z_26A889F6_0779_4935_B6D2_06E38BF890ED_.wvu.FilterData" localSheetId="3" hidden="1">Sheet1!$CN$2:$CN$4</definedName>
    <definedName name="Z_30BDE5F4_1AC1_45B2_BB26_AA455966E20A_.wvu.FilterData" localSheetId="3" hidden="1">Sheet1!$BR$151:$BR$153</definedName>
    <definedName name="Z_32032092_F956_4A99_AD92_CB2747857ED4_.wvu.FilterData" localSheetId="3" hidden="1">Sheet1!$FL$2:$FL$7</definedName>
    <definedName name="Z_35355830_B06E_40B4_A43B_3B4847F4202B_.wvu.FilterData" localSheetId="3" hidden="1">Sheet1!$FD$2:$FD$7</definedName>
    <definedName name="Z_36EF9C21_35D2_4A78_9931_94F7C93853B2_.wvu.FilterData" localSheetId="3" hidden="1">Sheet1!$DT$2:$DT$3</definedName>
    <definedName name="Z_3B7C19EC_3444_4467_B26B_166F18091A3E_.wvu.FilterData" localSheetId="3" hidden="1">Sheet1!$ET$2:$ET$3</definedName>
    <definedName name="Z_3CBA89FD_46B1_4A08_B2D2_3519FEC2346D_.wvu.FilterData" localSheetId="3" hidden="1">Sheet1!$DH$2:$DH$5</definedName>
    <definedName name="Z_3EA79D85_5E6B_4A55_A257_E0346E2D105C_.wvu.FilterData" localSheetId="3" hidden="1">Sheet1!$DL$2:$DL$6</definedName>
    <definedName name="Z_4BC33E2F_DAE7_46FC_9195_3F09D55CB0FD_.wvu.FilterData" localSheetId="3" hidden="1">Sheet1!$DJ$2:$DJ$3</definedName>
    <definedName name="Z_4F5EABD5_9768_4B31_A669_78F2B1190F8E_.wvu.FilterData" localSheetId="3" hidden="1">Sheet1!$EJ$2:$EJ$3</definedName>
    <definedName name="Z_504730C0_5EF4_4029_933C_66395909A449_.wvu.FilterData" localSheetId="3" hidden="1">Sheet1!$CJ$2:$CJ$3</definedName>
    <definedName name="Z_55862971_955F_4B71_A932_AB5FC2AD45AC_.wvu.FilterData" localSheetId="3" hidden="1">Sheet1!$GH$2:$GH$4</definedName>
    <definedName name="Z_57C9BD02_9895_49F8_962E_0831F4A982F0_.wvu.FilterData" localSheetId="3" hidden="1">Sheet1!$BZ$2:$BZ$3</definedName>
    <definedName name="Z_581CE30B_064E_4CF6_84AB_DE0E83BC501D_.wvu.FilterData" localSheetId="3" hidden="1">Sheet1!$FJ$2:$FJ$12</definedName>
    <definedName name="Z_58394A05_7959_4B20_B7CB_704A68018CD4_.wvu.FilterData" localSheetId="3" hidden="1">Sheet1!$CV$2:$CV$6</definedName>
    <definedName name="Z_5871463B_A986_4226_9D97_66F1329BA3D2_.wvu.FilterData" localSheetId="3" hidden="1">Sheet1!$EX$2:$EX$4</definedName>
    <definedName name="Z_5F9ABC1C_04CD_4AF3_B51A_B3652154F6FC_.wvu.FilterData" localSheetId="3" hidden="1">Sheet1!$DB$2:$DB$5</definedName>
    <definedName name="Z_60C8C5CA_F625_4915_AC10_74D56DD88863_.wvu.FilterData" localSheetId="3" hidden="1">Sheet1!$FH$2:$FH$8</definedName>
    <definedName name="Z_626833D3_606C_45FD_B628_0647E76B6597_.wvu.FilterData" localSheetId="3" hidden="1">Sheet1!$GF$2:$GF$8</definedName>
    <definedName name="Z_6731AA42_FE79_41DB_97B2_77AFDB1EFA8A_.wvu.FilterData" localSheetId="3" hidden="1">Sheet1!$X$2:$Z$155</definedName>
    <definedName name="Z_7351CE4F_8EFA_4EE9_92F3_4A6DE8867A6E_.wvu.FilterData" localSheetId="3" hidden="1">Sheet1!$BT$2:$BT$9</definedName>
    <definedName name="Z_758AD95B_028B_4683_87BB_054D34DF4A62_.wvu.FilterData" localSheetId="3" hidden="1">Sheet1!$A$2:$B$7</definedName>
    <definedName name="Z_765EE89A_25ED_48E6_A52D_D35FE9C1C1D9_.wvu.FilterData" localSheetId="3" hidden="1">Sheet1!$FT$2:$FT$9</definedName>
    <definedName name="Z_76C7779C_1E6A_4ECD_B83C_9A8CA52B3693_.wvu.FilterData" localSheetId="3" hidden="1">Sheet1!$BR$2:$BR$3</definedName>
    <definedName name="Z_7BC9FA8B_7A3F_4E93_9372_FF2153A4F4B4_.wvu.FilterData" localSheetId="3" hidden="1">Sheet1!$AS$2:$AT$32</definedName>
    <definedName name="Z_7EFB0A79_490D_407D_8341_F66CBC5AC007_.wvu.FilterData" localSheetId="3" hidden="1">Sheet1!$CD$2:$CD$3</definedName>
    <definedName name="Z_88D865EC_C0AA_4489_A947_1DDE8B414CAF_.wvu.FilterData" localSheetId="3" hidden="1">Sheet1!$FP$2:$FP$6</definedName>
    <definedName name="Z_8B5975A1_ED13_471D_998B_46EAC1889E2E_.wvu.FilterData" localSheetId="3" hidden="1">Sheet1!$DX$2:$DX$3</definedName>
    <definedName name="Z_8E6FBEDD_9329_4782_8494_2779B3D627F0_.wvu.FilterData" localSheetId="3" hidden="1">Sheet1!$BX$2:$BX$4</definedName>
    <definedName name="Z_9038924B_06D3_4A22_A1F6_9C55AEF6223B_.wvu.FilterData" localSheetId="3" hidden="1">Sheet1!$FB$2:$FB$14</definedName>
    <definedName name="Z_94C69D9A_FEBB_47DB_854E_7F2687C2799C_.wvu.FilterData" localSheetId="3" hidden="1">Sheet1!$BU$151:$BU$156</definedName>
    <definedName name="Z_9846DBD8_F43A_410A_B5C3_0B8A7337ED51_.wvu.FilterData" localSheetId="3" hidden="1">Sheet1!$FZ$2:$FZ$6</definedName>
    <definedName name="Z_9AE15F20_F8CF_46FC_896C_4A788001DD0F_.wvu.FilterData" localSheetId="3" hidden="1">Sheet1!$DF$2:$DF$3</definedName>
    <definedName name="Z_9FB89AF3_3486_41C1_AC83_3C3B9AD098BF_.wvu.FilterData" localSheetId="3" hidden="1">Sheet1!$EH$2:$EH$3</definedName>
    <definedName name="Z_9FCA1BAD_602D_4CB6_BDC3_135FDE8E4A0E_.wvu.FilterData" localSheetId="3" hidden="1">Sheet1!$CB$2:$CB$3</definedName>
    <definedName name="Z_A3DB024B_378B_403E_BC40_B63EF106E369_.wvu.FilterData" localSheetId="3" hidden="1">Sheet1!$FF$2:$FF$7</definedName>
    <definedName name="Z_A52829F1_EF05_492A_897A_5B034A9E00A9_.wvu.FilterData" localSheetId="3" hidden="1">Sheet1!$AX$2:$AY$8</definedName>
    <definedName name="Z_AAF22817_1714_4AB9_B654_252A07F3A6CC_.wvu.FilterData" localSheetId="3" hidden="1">Sheet1!$ER$2:$ER$5</definedName>
    <definedName name="Z_AB0AF8F2_D180_4294_84EF_8222A1E3F90C_.wvu.FilterData" localSheetId="3" hidden="1">Sheet1!$EZ$2:$EZ$14</definedName>
    <definedName name="Z_B4138793_DDFD_442D_83B5_56B278D2D3C9_.wvu.FilterData" localSheetId="3" hidden="1">Sheet1!$BV$2:$BV$6</definedName>
    <definedName name="Z_B611170C_791F_4D2C_8758_5283A2BCB065_.wvu.FilterData" localSheetId="3" hidden="1">Sheet1!$CP$2:$CP$4</definedName>
    <definedName name="Z_B852F5E6_CDBD_4B97_BE9C_F7C58AD972F2_.wvu.FilterData" localSheetId="3" hidden="1">Sheet1!$DN$2:$DN$4</definedName>
    <definedName name="Z_C0D71DCA_89EA_4F67_A4DC_40AFC4FAD6E1_.wvu.FilterData" localSheetId="3" hidden="1">Sheet1!$DZ$2:$DZ$8</definedName>
    <definedName name="Z_C3C5C3C9_7A10_44E4_A8DD_DD111132452C_.wvu.FilterData" localSheetId="3" hidden="1">Sheet1!$FN$2:$FN$8</definedName>
    <definedName name="Z_C8BEB3DC_1432_44F3_B08B_11F5CFB759D2_.wvu.FilterData" localSheetId="3" hidden="1">Sheet1!$ED$2:$ED$5</definedName>
    <definedName name="Z_CCAAAE4D_0E99_4B15_942A_C5A30D8025FD_.wvu.FilterData" localSheetId="3" hidden="1">Sheet1!$CR$2:$CR$3</definedName>
    <definedName name="Z_D0FEBF80_9133_4423_828D_862AD2CCFAE1_.wvu.FilterData" localSheetId="3" hidden="1">Sheet1!$DR$2:$DR$9</definedName>
    <definedName name="Z_D11D51F0_B9B3_4604_A242_F9093A6073C5_.wvu.FilterData" localSheetId="3" hidden="1">Sheet1!$GB$2:$GB$6</definedName>
    <definedName name="Z_D3508D49_A1B5_4BFF_931A_D7E86C77D7F6_.wvu.FilterData" localSheetId="3" hidden="1">Sheet1!$FX$2:$FX$3</definedName>
    <definedName name="Z_D8150995_D32E_4D47_AFEB_09EBEAE9C970_.wvu.FilterData" localSheetId="3" hidden="1">Sheet1!$EL$2:$EL$6</definedName>
    <definedName name="Z_D878FF6A_5A02_4062_8C3D_279E853C65C5_.wvu.FilterData" localSheetId="3" hidden="1">Sheet1!$EP$2:$EP$4</definedName>
    <definedName name="Z_E07F3317_82B2_4CEF_BD2F_9D364F780F72_.wvu.FilterData" localSheetId="3" hidden="1">Sheet1!$DP$2:$DP$4</definedName>
    <definedName name="Z_E2612ECA_2D8E_45B7_A18C_F7F78A0872E0_.wvu.FilterData" localSheetId="3" hidden="1">Sheet1!$F$2:$I$16</definedName>
    <definedName name="Z_E289748E_E930_4125_8207_0B0164DB122A_.wvu.FilterData" localSheetId="3" hidden="1">Sheet1!$BO$2:$BO$7</definedName>
    <definedName name="Z_F0DDF9E7_2D82_4668_A33E_9EB9C2EAFC80_.wvu.FilterData" localSheetId="3" hidden="1">Sheet1!$CZ$2:$CZ$7</definedName>
    <definedName name="Z_F1E9D2A0_60E8_4AC0_9BB3_4C38422F06D2_.wvu.FilterData" localSheetId="3" hidden="1">Sheet1!$EV$2:$EV$6</definedName>
    <definedName name="Z_F41D55D9_920B_4B8A_BFAA_E26245CE160A_.wvu.FilterData" localSheetId="3" hidden="1">Sheet1!$CT$2:$CT$3</definedName>
    <definedName name="Z_F6706533_5157_4B66_A64F_6A95C4B35CF5_.wvu.FilterData" localSheetId="3" hidden="1">Sheet1!$BT$151:$BT$155</definedName>
    <definedName name="Z_FA5753BF_A108_4D4B_BEAC_3B1B523F93C0_.wvu.FilterData" localSheetId="3" hidden="1">Sheet1!$AM$2:$AN$148</definedName>
    <definedName name="Z_FF3B780F_C6C9_49B9_BFAE_8C955401FEEC_.wvu.FilterData" localSheetId="3" hidden="1">Sheet1!$DD$2:$DD$5</definedName>
  </definedNames>
  <calcPr calcId="191029"/>
  <customWorkbookViews>
    <customWorkbookView name="VICEPRESIDENCIA_DE_FINANZAS filter view" guid="{00E43C4F-1D56-4BA5-B346-E3CAFBB8A01D}" maximized="1" windowWidth="0" windowHeight="0" activeSheetId="0"/>
    <customWorkbookView name="GERENCIA_DE_MANTENIMIENTO_PLANTA filter view" guid="{35355830-B06E-40B4-A43B-3B4847F4202B}" maximized="1" windowWidth="0" windowHeight="0" activeSheetId="0"/>
    <customWorkbookView name="SUPERINTENDENCIA_DE_ALMACENES_Y_CONTROL_DE_INVENTARIOS filter view" guid="{19EE979D-ADE4-4219-8E3F-3433717D1EEF}" maximized="1" windowWidth="0" windowHeight="0" activeSheetId="0"/>
    <customWorkbookView name="SUPERINTENDENCIA_DE_RELACIONES_PÚBLICAS filter view" guid="{9FCA1BAD-602D-4CB6-BDC3-135FDE8E4A0E}" maximized="1" windowWidth="0" windowHeight="0" activeSheetId="0"/>
    <customWorkbookView name="SUPERINTENDENCIA_DE_GESTION_COMERCIAL filter view" guid="{23F8F4B8-3BCD-40DD-B1BB-BB548503F48F}" maximized="1" windowWidth="0" windowHeight="0" activeSheetId="0"/>
    <customWorkbookView name="Table97 filter view" guid="{A52829F1-EF05-492A-897A-5B034A9E00A9}" maximized="1" windowWidth="0" windowHeight="0" activeSheetId="0"/>
    <customWorkbookView name="SUPERINTENDENCIA_DE_MANTENIMIENTO_PLANIFICACIÓN filter view" guid="{C3C5C3C9-7A10-44E4-A8DD-DD111132452C}" maximized="1" windowWidth="0" windowHeight="0" activeSheetId="0"/>
    <customWorkbookView name="GERENCIA_DE_OPERACIONES_PLANTA filter view" guid="{9846DBD8-F43A-410A-B5C3-0B8A7337ED51}" maximized="1" windowWidth="0" windowHeight="0" activeSheetId="0"/>
    <customWorkbookView name="Table32 filter view" guid="{758AD95B-028B-4683-87BB-054D34DF4A62}" maximized="1" windowWidth="0" windowHeight="0" activeSheetId="0"/>
    <customWorkbookView name="SUPERINTENDENCIA_DE_RECURSOS_HUMANOS filter view" guid="{F0DDF9E7-2D82-4668-A33E-9EB9C2EAFC80}" maximized="1" windowWidth="0" windowHeight="0" activeSheetId="0"/>
    <customWorkbookView name="Table75 filter view" guid="{FA5753BF-A108-4D4B-BEAC-3B1B523F93C0}" maximized="1" windowWidth="0" windowHeight="0" activeSheetId="0"/>
    <customWorkbookView name="SUPERINTENDENCIA_DE_SERVICIOS_DE_EXPLORACIÓN filter view" guid="{058784DF-0E95-4ECF-8C4E-D68F1D345992}" maximized="1" windowWidth="0" windowHeight="0" activeSheetId="0"/>
    <customWorkbookView name="SUPERINTENDENCIA_DE_MANTENIMIENTO_MEC._PLTA._CHANCADO_MOLIENDA_Y_LUBRICACIÓN filter view" guid="{581CE30B-064E-4CF6-84AB-DE0E83BC501D}" maximized="1" windowWidth="0" windowHeight="0" activeSheetId="0"/>
    <customWorkbookView name="Table64 filter view" guid="{6731AA42-FE79-41DB-97B2-77AFDB1EFA8A}" maximized="1" windowWidth="0" windowHeight="0" activeSheetId="0"/>
    <customWorkbookView name="SUPERVISIÓN_SENIOR_DE_SEGURIDAD_FÍSICA filter view" guid="{FF3B780F-C6C9-49B9-BFAE-8C955401FEEC}" maximized="1" windowWidth="0" windowHeight="0" activeSheetId="0"/>
    <customWorkbookView name="GERENCIA_DE_SEGURIDAD_INDUSTRIAL filter view" guid="{4BC33E2F-DAE7-46FC-9195-3F09D55CB0FD}" maximized="1" windowWidth="0" windowHeight="0" activeSheetId="0"/>
    <customWorkbookView name="SUPERINTENDENCIA_DE_PLANIFICACIÓN_FINANCIERA filter view" guid="{4F5EABD5-9768-4B31-A669-78F2B1190F8E}" maximized="1" windowWidth="0" windowHeight="0" activeSheetId="0"/>
    <customWorkbookView name="GERENCIA_DE_OPERACIONES_MINA filter view" guid="{88D865EC-C0AA-4489-A947-1DDE8B414CAF}" maximized="1" windowWidth="0" windowHeight="0" activeSheetId="0"/>
    <customWorkbookView name="SUPERINTENDENCIA_DE_IMPUESTOS filter view" guid="{9FB89AF3-3486-41C1-AC83-3C3B9AD098BF}" maximized="1" windowWidth="0" windowHeight="0" activeSheetId="0"/>
    <customWorkbookView name="SUPERVISIÓN_DE_SEGURIDAD_DE_LA_INFORMACIÓN_CISO filter view" guid="{3B7C19EC-3444-4467-B26B-166F18091A3E}" maximized="1" windowWidth="0" windowHeight="0" activeSheetId="0"/>
    <customWorkbookView name="SUPERINTENDENCIA_DE_MANTENIMIENTO_ELÉCTRICO_E_INSTRUMENTACIÓN_PLANTA filter view" guid="{A3DB024B-378B-403E-BC40-B63EF106E369}" maximized="1" windowWidth="0" windowHeight="0" activeSheetId="0"/>
    <customWorkbookView name="GERENCIA_DE_SERVICIOS_DE_TRANSPORTE_Y_AVIACIÓN filter view" guid="{B852F5E6-CDBD-4B97-BE9C-F7C58AD972F2}" maximized="1" windowWidth="0" windowHeight="0" activeSheetId="0"/>
    <customWorkbookView name="VICEPRESIDENCIA_DE_DESARROLLO_DE_PROYECTOS filter view" guid="{36EF9C21-35D2-4A78-9931-94F7C93853B2}" maximized="1" windowWidth="0" windowHeight="0" activeSheetId="0"/>
    <customWorkbookView name="juan95 filter view" guid="{94C69D9A-FEBB-47DB-854E-7F2687C2799C}" maximized="1" windowWidth="0" windowHeight="0" activeSheetId="0"/>
    <customWorkbookView name="SUPERVISIÓN_DE_ENTRENAMIENTO_MINA filter view" guid="{D3508D49-A1B5-4BFF-931A-D7E86C77D7F6}" maximized="1" windowWidth="0" windowHeight="0" activeSheetId="0"/>
    <customWorkbookView name="GERENCIA_DE_COMERCIALIZACIÓN_Y_SERVICIOS filter view" guid="{12DD01B4-018F-4D05-82B6-0CD1B211DDD9}" maximized="1" windowWidth="0" windowHeight="0" activeSheetId="0"/>
    <customWorkbookView name="SUPERINTENDENCIA_DE_DESARROLLO_DEL_NEGOCIO filter view" guid="{23BCAA78-C6F6-4BE1-8096-9A37D3396017}" maximized="1" windowWidth="0" windowHeight="0" activeSheetId="0"/>
    <customWorkbookView name="SUPERINTENDENCIA_DE_SERVICIOS_TÉCNICOS filter view" guid="{626833D3-606C-45FD-B628-0647E76B6597}" maximized="1" windowWidth="0" windowHeight="0" activeSheetId="0"/>
    <customWorkbookView name="SUPERINTENDENCIA_DE_SERVICIOS_DE_TRANSPORTE_DE_PERSONAL filter view" guid="{D0FEBF80-9133-4423-828D-862AD2CCFAE1}" maximized="1" windowWidth="0" windowHeight="0" activeSheetId="0"/>
    <customWorkbookView name="SUPERINTENDENCIA_DE_SERVICIOS_DE_AVIACIÓN filter view" guid="{E07F3317-82B2-4CEF-BD2F-9D364F780F72}" maximized="1" windowWidth="0" windowHeight="0" activeSheetId="0"/>
    <customWorkbookView name="SUPERINTENDENCIA_DE_MANTENIMIENTO_MEC._PLTA._FLOT._FILTROS_TALLER_GRAL._Y_RH filter view" guid="{32032092-F956-4A99-AD92-CB2747857ED4}" maximized="1" windowWidth="0" windowHeight="0" activeSheetId="0"/>
    <customWorkbookView name="GERENCIA_CORPORATIVA_ filter view" guid="{7EFB0A79-490D-407D-8341-F66CBC5AC007}" maximized="1" windowWidth="0" windowHeight="0" activeSheetId="0"/>
    <customWorkbookView name="SUPERINTENDENCIA_DE_INGENIERÍA_MINA filter view" guid="{0FACE99F-6A2B-4345-BA0F-D63F5D034D92}" maximized="1" windowWidth="0" windowHeight="0" activeSheetId="0"/>
    <customWorkbookView name="SUPERINTENDENCIA_DE_TI filter view" guid="{D878FF6A-5A02-4062-8C3D-279E853C65C5}" maximized="1" windowWidth="0" windowHeight="0" activeSheetId="0"/>
    <customWorkbookView name="SUPERINTENDENCIA_DE_MANEJO_DE_MATERIALES filter view" guid="{B611170C-791F-4D2C-8758-5283A2BCB065}" maximized="1" windowWidth="0" windowHeight="0" activeSheetId="0"/>
    <customWorkbookView name="GERENCIA_DE_RELACIONES_COMUNITARIAS filter view" guid="{9AE15F20-F8CF-46FC-896C-4A788001DD0F}" maximized="1" windowWidth="0" windowHeight="0" activeSheetId="0"/>
    <customWorkbookView name="SUPERINTENDENCIA_DE_OPERACIONES_MINA filter view" guid="{765EE89A-25ED-48E6-A52D-D35FE9C1C1D9}" maximized="1" windowWidth="0" windowHeight="0" activeSheetId="0"/>
    <customWorkbookView name="SUPERINTENDENCIA_DE_EXPORTACIONES filter view" guid="{504730C0-5EF4-4029-933C-66395909A449}" maximized="1" windowWidth="0" windowHeight="0" activeSheetId="0"/>
    <customWorkbookView name="vice_ filter view" guid="{E289748E-E930-4125-8207-0B0164DB122A}" maximized="1" windowWidth="0" windowHeight="0" activeSheetId="0"/>
    <customWorkbookView name="GERENCIA_DE_PROYECTOS filter view" guid="{0879CC13-5F61-42AB-B6F0-F54E95601EDA}" maximized="1" windowWidth="0" windowHeight="0" activeSheetId="0"/>
    <customWorkbookView name="SUPERINTENDENCIA_DE_DESARROLLO_SOSTENIBLE_Y_RELACIONES_COMUNITARIAS filter view" guid="{3CBA89FD-46B1-4A08-B2D2-3519FEC2346D}" maximized="1" windowWidth="0" windowHeight="0" activeSheetId="0"/>
    <customWorkbookView name="SUPERINTENDENCIA_SÉNIOR_DE_MANTENIMIENTO_MINA filter view" guid="{AB0AF8F2-D180-4294-84EF-8222A1E3F90C}" maximized="1" windowWidth="0" windowHeight="0" activeSheetId="0"/>
    <customWorkbookView name="GERENCIA_DE_MEDIO_AMBIENTE filter view" guid="{CCAAAE4D-0E99-4B15-942A-C5A30D8025FD}" maximized="1" windowWidth="0" windowHeight="0" activeSheetId="0"/>
    <customWorkbookView name="Presidencia_Ejecutiva filter view" guid="{76C7779C-1E6A-4ECD-B83C-9A8CA52B3693}" maximized="1" windowWidth="0" windowHeight="0" activeSheetId="0"/>
    <customWorkbookView name="SUPERINTENDENCIA_DE_TO filter view" guid="{AAF22817-1714-4AB9-B654-252A07F3A6CC}" maximized="1" windowWidth="0" windowHeight="0" activeSheetId="0"/>
    <customWorkbookView name="GERENCIA_CORPORATIVA filter view" guid="{B4138793-DDFD-442D-83B5-56B278D2D3C9}" maximized="1" windowWidth="0" windowHeight="0" activeSheetId="0"/>
    <customWorkbookView name="VICEPRESIDENCIA_DE_OPERACIONES filter view" guid="{F1E9D2A0-60E8-4AC0-9BB3-4C38422F06D2}" maximized="1" windowWidth="0" windowHeight="0" activeSheetId="0"/>
    <customWorkbookView name="GERENCIA_DE_TI_Y_DESARROLLO_DEL_NEGOCIO filter view" guid="{D8150995-D32E-4D47-AFEB-09EBEAE9C970}" maximized="1" windowWidth="0" windowHeight="0" activeSheetId="0"/>
    <customWorkbookView name="SUPERINTENDENCIA_DE_RELACIONES_INSTITUCIONALES filter view" guid="{57C9BD02-9895-49F8-962E-0831F4A982F0}" maximized="1" windowWidth="0" windowHeight="0" activeSheetId="0"/>
    <customWorkbookView name="nombre93 filter view" guid="{30BDE5F4-1AC1-45B2-BB26-AA455966E20A}" maximized="1" windowWidth="0" windowHeight="0" activeSheetId="0"/>
    <customWorkbookView name="GERENCIA_DE_RECURSOS_HUMANOS_Y_SERVICIOS_DE_PERSONAL filter view" guid="{58394A05-7959-4B20-B7CB-704A68018CD4}" maximized="1" windowWidth="0" windowHeight="0" activeSheetId="0"/>
    <customWorkbookView name="SUPERINTENDENCIA_DE_CONTABILIDAD filter view" guid="{19DB6B39-1D69-48DC-9FF6-C3EC1A324B47}" maximized="1" windowWidth="0" windowHeight="0" activeSheetId="0"/>
    <customWorkbookView name="SUPERINTENDENCIA_DE_LOGÍSTICA filter view" guid="{26A889F6-0779-4935-B6D2-06E38BF890ED}" maximized="1" windowWidth="0" windowHeight="0" activeSheetId="0"/>
    <customWorkbookView name="Table43 filter view" guid="{E2612ECA-2D8E-45B7-A18C-F7F78A0872E0}" maximized="1" windowWidth="0" windowHeight="0" activeSheetId="0"/>
    <customWorkbookView name="SUPERINTENDENCIA_ADMINISTRATIVO_DE_OPERACIONES filter view" guid="{8B5975A1-ED13-471D-998B-46EAC1889E2E}" maximized="1" windowWidth="0" windowHeight="0" activeSheetId="0"/>
    <customWorkbookView name="Table86 filter view" guid="{7BC9FA8B-7A3F-4E93-9372-FF2153A4F4B4}" maximized="1" windowWidth="0" windowHeight="0" activeSheetId="0"/>
    <customWorkbookView name="SUPERINTENDENCIA_DE_MANTENIMIENTO_INGENIERÍA_DE_CONFIABILIDAD filter view" guid="{60C8C5CA-F625-4915-AC10-74D56DD88863}" maximized="1" windowWidth="0" windowHeight="0" activeSheetId="0"/>
    <customWorkbookView name="SUPERINTENDENCIA_SÉNIOR_DE_SALUD filter view" guid="{5F9ABC1C-04CD-4AF3-B51A-B3652154F6FC}" maximized="1" windowWidth="0" windowHeight="0" activeSheetId="0"/>
    <customWorkbookView name="SUPERINTENDENCIA_DE_INGENIERÍA_PLANTA filter view" guid="{C0D71DCA-89EA-4F67-A4DC-40AFC4FAD6E1}" maximized="1" windowWidth="0" windowHeight="0" activeSheetId="0"/>
    <customWorkbookView name="SUPERINTENDENTE_DE_MANTENIMIENTO_MINA_PLANIFICACIÓN_Y_PROGRAMACIÓN filter view" guid="{9038924B-06D3-4A22-A1F6-9C55AEF6223B}" maximized="1" windowWidth="0" windowHeight="0" activeSheetId="0"/>
    <customWorkbookView name="ramiro94 filter view" guid="{F6706533-5157-4B66-A64F-6A95C4B35CF5}" maximized="1" windowWidth="0" windowHeight="0" activeSheetId="0"/>
    <customWorkbookView name="GERENCIA_DE_FINANZAS filter view" guid="{C8BEB3DC-1432-44F3-B08B-11F5CFB759D2}" maximized="1" windowWidth="0" windowHeight="0" activeSheetId="0"/>
    <customWorkbookView name="SUPERINTENDENCIA_DE_MEDIO_AMBIENTE filter view" guid="{F41D55D9-920B-4B8A-BFAA-E26245CE160A}" maximized="1" windowWidth="0" windowHeight="0" activeSheetId="0"/>
    <customWorkbookView name="SUPERINTENDENCIA_DE_OPERACIONES_PLANTA filter view" guid="{1BEBB13E-9864-4196-954B-5B39C272EC7C}" maximized="1" windowWidth="0" windowHeight="0" activeSheetId="0"/>
    <customWorkbookView name="SUPERINTENDENCIA_DE_ADQUISICIONES filter view" guid="{8E6FBEDD-9329-4782-8494-2779B3D627F0}" maximized="1" windowWidth="0" windowHeight="0" activeSheetId="0"/>
    <customWorkbookView name="GERENCIA_DE_MANTENIMIENTO_MINA filter view" guid="{5871463B-A986-4226-9D97-66F1329BA3D2}" maximized="1" windowWidth="0" windowHeight="0" activeSheetId="0"/>
    <customWorkbookView name="GERENCIA_DE_OPERACIONES_PLANTA_ filter view" guid="{55862971-955F-4B71-A932-AB5FC2AD45AC}" maximized="1" windowWidth="0" windowHeight="0" activeSheetId="0"/>
    <customWorkbookView name="SUPERINTENDENCIA_DE_SEGURIDAD_INDUSTRIAL filter view" guid="{3EA79D85-5E6B-4A55-A257-E0346E2D105C}" maximized="1" windowWidth="0" windowHeight="0" activeSheetId="0"/>
    <customWorkbookView name="VICEPRESIDENCIA_CORPORATIVA filter view" guid="{7351CE4F-8EFA-4EE9-92F3-4A6DE8867A6E}" maximized="1" windowWidth="0" windowHeight="0" activeSheetId="0"/>
    <customWorkbookView name="SUPERINTENDENCIA_DE_GESTIÓN_DE_RELAVES_Y_SERVICIOS_AUXILIARES filter view" guid="{D11D51F0-B9B3-4604-A242-F9093A6073C5}" maximized="1" windowWidth="0" windowHeight="0" activeSheetId="0"/>
    <customWorkbookView name="SUPERINTENDENCIA_DE_CAMPAMENTO filter view" guid="{06995EBC-9C31-411E-9EBF-7315C9D7463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23" i="4" l="1"/>
  <c r="CA122" i="4"/>
  <c r="CA121" i="4"/>
  <c r="CA120" i="4"/>
  <c r="CA119" i="4"/>
  <c r="CA118" i="4"/>
  <c r="CA117" i="4"/>
  <c r="CA116" i="4"/>
  <c r="CA115" i="4"/>
  <c r="CA114" i="4"/>
  <c r="CA113" i="4"/>
  <c r="CA112" i="4"/>
  <c r="CA111" i="4"/>
  <c r="CA110" i="4"/>
  <c r="CA109" i="4"/>
  <c r="CA108" i="4"/>
  <c r="CA107" i="4"/>
  <c r="CA106" i="4"/>
  <c r="CA105" i="4"/>
  <c r="CA104" i="4"/>
  <c r="EX41" i="4"/>
  <c r="EX40" i="4"/>
  <c r="EX39" i="4"/>
  <c r="EX38" i="4"/>
  <c r="EX37" i="4"/>
  <c r="EX36" i="4"/>
  <c r="EX35" i="4"/>
  <c r="EX34" i="4"/>
  <c r="EX33" i="4"/>
  <c r="EX32" i="4"/>
  <c r="EX31" i="4"/>
  <c r="EX30" i="4"/>
  <c r="EX29" i="4"/>
  <c r="EX28" i="4"/>
  <c r="E113" i="3"/>
  <c r="D113" i="3"/>
  <c r="C113" i="3"/>
  <c r="B113" i="3"/>
  <c r="E112" i="3"/>
  <c r="D112" i="3"/>
  <c r="C112" i="3"/>
  <c r="B112" i="3"/>
  <c r="E111" i="3"/>
  <c r="D111" i="3"/>
  <c r="C111" i="3"/>
  <c r="B111" i="3"/>
  <c r="E110" i="3"/>
  <c r="D110" i="3"/>
  <c r="C110" i="3"/>
  <c r="B110" i="3"/>
  <c r="E109" i="3"/>
  <c r="D109" i="3"/>
  <c r="C109" i="3"/>
  <c r="B109" i="3"/>
  <c r="E108" i="3"/>
  <c r="D108" i="3"/>
  <c r="C108" i="3"/>
  <c r="B108" i="3"/>
  <c r="E107" i="3"/>
  <c r="D107" i="3"/>
  <c r="C107" i="3"/>
  <c r="B107" i="3"/>
  <c r="E106" i="3"/>
  <c r="D106" i="3"/>
  <c r="C106" i="3"/>
  <c r="B106" i="3"/>
  <c r="E105" i="3"/>
  <c r="D105" i="3"/>
  <c r="C105" i="3"/>
  <c r="B105" i="3"/>
  <c r="E104" i="3"/>
  <c r="D104" i="3"/>
  <c r="C104" i="3"/>
  <c r="B104" i="3"/>
  <c r="E103" i="3"/>
  <c r="D103" i="3"/>
  <c r="C103" i="3"/>
  <c r="B103" i="3"/>
  <c r="E102" i="3"/>
  <c r="D102" i="3"/>
  <c r="C102" i="3"/>
  <c r="B102" i="3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B84" i="3"/>
  <c r="E83" i="3"/>
  <c r="D83" i="3"/>
  <c r="C83" i="3"/>
  <c r="B83" i="3"/>
  <c r="E82" i="3"/>
  <c r="D82" i="3"/>
  <c r="C82" i="3"/>
  <c r="B82" i="3"/>
  <c r="E81" i="3"/>
  <c r="D81" i="3"/>
  <c r="C81" i="3"/>
  <c r="B81" i="3"/>
  <c r="E80" i="3"/>
  <c r="D80" i="3"/>
  <c r="C80" i="3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C2" i="3"/>
  <c r="B2" i="3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B2" i="2" s="1"/>
  <c r="G2" i="2"/>
  <c r="F2" i="2"/>
  <c r="F145" i="1"/>
  <c r="E146" i="1" s="1"/>
  <c r="E145" i="1"/>
  <c r="F134" i="1"/>
  <c r="E135" i="1" s="1"/>
  <c r="E134" i="1"/>
  <c r="F109" i="1"/>
  <c r="F103" i="1"/>
  <c r="F99" i="1"/>
  <c r="F90" i="1"/>
  <c r="F88" i="1" s="1"/>
  <c r="E89" i="1" s="1"/>
  <c r="E88" i="1"/>
  <c r="F75" i="1"/>
  <c r="E76" i="1" s="1"/>
  <c r="E75" i="1"/>
  <c r="F66" i="1"/>
  <c r="N31" i="1" s="1"/>
  <c r="E66" i="1"/>
  <c r="F48" i="1"/>
  <c r="F46" i="1"/>
  <c r="E46" i="1"/>
  <c r="E47" i="1" s="1"/>
  <c r="F32" i="1"/>
  <c r="E33" i="1" s="1"/>
  <c r="E32" i="1"/>
  <c r="J11" i="1" a="1"/>
  <c r="J11" i="1" s="1"/>
  <c r="H11" i="1" a="1"/>
  <c r="H11" i="1" s="1"/>
  <c r="G11" i="1" a="1"/>
  <c r="G11" i="1" s="1"/>
  <c r="F11" i="1" a="1"/>
  <c r="F11" i="1"/>
  <c r="E11" i="1" a="1"/>
  <c r="E11" i="1" s="1"/>
  <c r="N10" i="1"/>
  <c r="A2" i="2" s="1"/>
  <c r="C10" i="1" a="1"/>
  <c r="C10" i="1"/>
  <c r="E2" i="2" s="1"/>
  <c r="C9" i="1" a="1"/>
  <c r="C9" i="1" s="1"/>
  <c r="D2" i="2" s="1"/>
  <c r="C8" i="1" a="1"/>
  <c r="C8" i="1" s="1"/>
  <c r="C2" i="2" s="1"/>
  <c r="A111" i="3" l="1"/>
  <c r="A99" i="3"/>
  <c r="A87" i="3"/>
  <c r="A75" i="3"/>
  <c r="A63" i="3"/>
  <c r="A51" i="3"/>
  <c r="A39" i="3"/>
  <c r="A27" i="3"/>
  <c r="A15" i="3"/>
  <c r="A3" i="3"/>
  <c r="A106" i="3"/>
  <c r="A94" i="3"/>
  <c r="A82" i="3"/>
  <c r="A70" i="3"/>
  <c r="A58" i="3"/>
  <c r="A46" i="3"/>
  <c r="A34" i="3"/>
  <c r="A22" i="3"/>
  <c r="A10" i="3"/>
  <c r="A113" i="3"/>
  <c r="A101" i="3"/>
  <c r="A89" i="3"/>
  <c r="A77" i="3"/>
  <c r="A65" i="3"/>
  <c r="A53" i="3"/>
  <c r="A41" i="3"/>
  <c r="A29" i="3"/>
  <c r="A17" i="3"/>
  <c r="A5" i="3"/>
  <c r="A108" i="3"/>
  <c r="A96" i="3"/>
  <c r="A84" i="3"/>
  <c r="A72" i="3"/>
  <c r="A60" i="3"/>
  <c r="A48" i="3"/>
  <c r="A36" i="3"/>
  <c r="A24" i="3"/>
  <c r="A12" i="3"/>
  <c r="A103" i="3"/>
  <c r="A91" i="3"/>
  <c r="A79" i="3"/>
  <c r="A67" i="3"/>
  <c r="A55" i="3"/>
  <c r="A43" i="3"/>
  <c r="A31" i="3"/>
  <c r="A19" i="3"/>
  <c r="A7" i="3"/>
  <c r="A110" i="3"/>
  <c r="A98" i="3"/>
  <c r="A86" i="3"/>
  <c r="A74" i="3"/>
  <c r="A62" i="3"/>
  <c r="A50" i="3"/>
  <c r="A38" i="3"/>
  <c r="A26" i="3"/>
  <c r="A14" i="3"/>
  <c r="A2" i="3"/>
  <c r="A105" i="3"/>
  <c r="A93" i="3"/>
  <c r="A81" i="3"/>
  <c r="A69" i="3"/>
  <c r="A57" i="3"/>
  <c r="A45" i="3"/>
  <c r="A33" i="3"/>
  <c r="A21" i="3"/>
  <c r="A9" i="3"/>
  <c r="A112" i="3"/>
  <c r="A100" i="3"/>
  <c r="A88" i="3"/>
  <c r="A76" i="3"/>
  <c r="A64" i="3"/>
  <c r="A52" i="3"/>
  <c r="A40" i="3"/>
  <c r="A28" i="3"/>
  <c r="A16" i="3"/>
  <c r="A4" i="3"/>
  <c r="A107" i="3"/>
  <c r="A95" i="3"/>
  <c r="A83" i="3"/>
  <c r="A71" i="3"/>
  <c r="A59" i="3"/>
  <c r="A47" i="3"/>
  <c r="A35" i="3"/>
  <c r="A23" i="3"/>
  <c r="A11" i="3"/>
  <c r="A102" i="3"/>
  <c r="A90" i="3"/>
  <c r="A78" i="3"/>
  <c r="A66" i="3"/>
  <c r="A54" i="3"/>
  <c r="A42" i="3"/>
  <c r="A30" i="3"/>
  <c r="A18" i="3"/>
  <c r="A6" i="3"/>
  <c r="A109" i="3"/>
  <c r="A97" i="3"/>
  <c r="A85" i="3"/>
  <c r="A73" i="3"/>
  <c r="A61" i="3"/>
  <c r="A49" i="3"/>
  <c r="A37" i="3"/>
  <c r="A25" i="3"/>
  <c r="A13" i="3"/>
  <c r="A104" i="3"/>
  <c r="A92" i="3"/>
  <c r="A80" i="3"/>
  <c r="A68" i="3"/>
  <c r="A56" i="3"/>
  <c r="A44" i="3"/>
  <c r="A32" i="3"/>
  <c r="A20" i="3"/>
  <c r="A8" i="3"/>
  <c r="I11" i="1" a="1"/>
  <c r="I11" i="1" s="1"/>
  <c r="E67" i="1"/>
</calcChain>
</file>

<file path=xl/sharedStrings.xml><?xml version="1.0" encoding="utf-8"?>
<sst xmlns="http://schemas.openxmlformats.org/spreadsheetml/2006/main" count="6780" uniqueCount="2638">
  <si>
    <t>ID</t>
  </si>
  <si>
    <t>codigo</t>
  </si>
  <si>
    <t>Item</t>
  </si>
  <si>
    <t>Sub_Item</t>
  </si>
  <si>
    <t>valor</t>
  </si>
  <si>
    <t>Gerencia</t>
  </si>
  <si>
    <t>comentario</t>
  </si>
  <si>
    <t>SuperIntendencia</t>
  </si>
  <si>
    <t>Area</t>
  </si>
  <si>
    <t>Supervisor</t>
  </si>
  <si>
    <t>Lugar</t>
  </si>
  <si>
    <t>Fecha_Inspeccion</t>
  </si>
  <si>
    <t>Nro_Inspeccion</t>
  </si>
  <si>
    <t>Regla_oro</t>
  </si>
  <si>
    <t>Persona_Inspeccion1</t>
  </si>
  <si>
    <t>Persona_Inspeccion2</t>
  </si>
  <si>
    <t>Persona_Inspeccion3</t>
  </si>
  <si>
    <t>Persona_Inspeccion4</t>
  </si>
  <si>
    <t>Persona_Inspeccion5</t>
  </si>
  <si>
    <t>Persona_Inspeccion6</t>
  </si>
  <si>
    <t>cargo1</t>
  </si>
  <si>
    <t>cargo2</t>
  </si>
  <si>
    <t>cargo3</t>
  </si>
  <si>
    <t>cargo4</t>
  </si>
  <si>
    <t>cargo5</t>
  </si>
  <si>
    <t>cargo6</t>
  </si>
  <si>
    <t>Aspectos_positivos_encontrados</t>
  </si>
  <si>
    <t>Aspectos_adicionales_encontrados</t>
  </si>
  <si>
    <t>INSPECCIÓN DE SEGURIDAD OPERATIVA (ISOP)</t>
  </si>
  <si>
    <t>1.02.P06.F12
Revisión: 8</t>
  </si>
  <si>
    <t>INTERNA</t>
  </si>
  <si>
    <t>INFORMACIÓN GENERAL</t>
  </si>
  <si>
    <t xml:space="preserve">Gerencia:  </t>
  </si>
  <si>
    <t>Supervisor:</t>
  </si>
  <si>
    <t>Inspección N°:</t>
  </si>
  <si>
    <t xml:space="preserve">Superintendencia:   </t>
  </si>
  <si>
    <t>Lugar inspeccionado:</t>
  </si>
  <si>
    <t>Empresa:</t>
  </si>
  <si>
    <t>MSC</t>
  </si>
  <si>
    <t xml:space="preserve">Área:   </t>
  </si>
  <si>
    <t xml:space="preserve">Fecha inspección
(yyyy-mm-aa): </t>
  </si>
  <si>
    <t>Codigo:</t>
  </si>
  <si>
    <t>EQUIPO DE INSPECCIÓN</t>
  </si>
  <si>
    <t xml:space="preserve">Nombre </t>
  </si>
  <si>
    <t>CARGO</t>
  </si>
  <si>
    <t>FIRMA</t>
  </si>
  <si>
    <t>1.-</t>
  </si>
  <si>
    <t>2.-</t>
  </si>
  <si>
    <t>3.-</t>
  </si>
  <si>
    <t>vice</t>
  </si>
  <si>
    <t>gere</t>
  </si>
  <si>
    <t>super</t>
  </si>
  <si>
    <t>4.-</t>
  </si>
  <si>
    <t>cuidado con los codigos</t>
  </si>
  <si>
    <t>PRESIDENCIA EJECUTIVA&gt;VICEPRESIDENCIA DE DESARROLLO DE PROYECTOS&gt;GERENCIA DE PROYECTOS&gt;SUPERINTENDENCIA DE INGENIERÍA PLANTA&gt;SUPERVISIÓN SÉNIOR DE PROYECTOS Y MODIFICACIONES&gt;</t>
  </si>
  <si>
    <t>5.-</t>
  </si>
  <si>
    <t>6.-</t>
  </si>
  <si>
    <t>VALORACIÓN &amp; CRITERIO:</t>
  </si>
  <si>
    <t>CONFORMACIÓN DEL EQUIPO DE INSPECCIÓN</t>
  </si>
  <si>
    <t>Valoración</t>
  </si>
  <si>
    <t>Criterio</t>
  </si>
  <si>
    <t>ISOP para MSC</t>
  </si>
  <si>
    <t>id</t>
  </si>
  <si>
    <t>ISOP para EECC</t>
  </si>
  <si>
    <t>Vicepresidencia</t>
  </si>
  <si>
    <r>
      <rPr>
        <sz val="10"/>
        <color theme="1"/>
        <rFont val="Calibri"/>
      </rPr>
      <t xml:space="preserve">El ítem </t>
    </r>
    <r>
      <rPr>
        <b/>
        <sz val="10"/>
        <color theme="1"/>
        <rFont val="Calibri"/>
      </rPr>
      <t>NO</t>
    </r>
    <r>
      <rPr>
        <sz val="10"/>
        <color theme="1"/>
        <rFont val="Calibri"/>
      </rPr>
      <t xml:space="preserve"> cumple o cumple </t>
    </r>
    <r>
      <rPr>
        <b/>
        <sz val="10"/>
        <color theme="1"/>
        <rFont val="Calibri"/>
      </rPr>
      <t>menos del 50%</t>
    </r>
    <r>
      <rPr>
        <sz val="10"/>
        <color theme="1"/>
        <rFont val="Calibri"/>
      </rPr>
      <t xml:space="preserve"> de las veces </t>
    </r>
    <r>
      <rPr>
        <b/>
        <sz val="10"/>
        <color theme="1"/>
        <rFont val="Calibri"/>
      </rPr>
      <t>(el ítem tiene más de dos desviaciones)</t>
    </r>
  </si>
  <si>
    <t>Supervisor/coordinador del área inspeccionada.</t>
  </si>
  <si>
    <t>ant_v</t>
  </si>
  <si>
    <t>ant_g</t>
  </si>
  <si>
    <t>Supervisor de contrato</t>
  </si>
  <si>
    <t>ant_s</t>
  </si>
  <si>
    <t>nro</t>
  </si>
  <si>
    <r>
      <rPr>
        <sz val="10"/>
        <color theme="1"/>
        <rFont val="Calibri"/>
      </rPr>
      <t xml:space="preserve">El ítem cumple entre el </t>
    </r>
    <r>
      <rPr>
        <b/>
        <sz val="10"/>
        <color theme="1"/>
        <rFont val="Calibri"/>
      </rPr>
      <t>51% al 70%</t>
    </r>
    <r>
      <rPr>
        <sz val="10"/>
        <color theme="1"/>
        <rFont val="Calibri"/>
      </rPr>
      <t xml:space="preserve"> de las veces </t>
    </r>
    <r>
      <rPr>
        <b/>
        <sz val="10"/>
        <color theme="1"/>
        <rFont val="Calibri"/>
      </rPr>
      <t>(el ítem tiene dos desviaciones)</t>
    </r>
  </si>
  <si>
    <t>vice_cod</t>
  </si>
  <si>
    <t>gere_cod</t>
  </si>
  <si>
    <t>superint_cod</t>
  </si>
  <si>
    <t>Trabajadores del área por lo menos 1.</t>
  </si>
  <si>
    <t>Responsable de la EECC</t>
  </si>
  <si>
    <t>nombre_sp</t>
  </si>
  <si>
    <t>Supervision</t>
  </si>
  <si>
    <r>
      <rPr>
        <sz val="10"/>
        <color theme="1"/>
        <rFont val="Calibri"/>
      </rPr>
      <t xml:space="preserve">El ítem cumple entre el </t>
    </r>
    <r>
      <rPr>
        <b/>
        <sz val="10"/>
        <color theme="1"/>
        <rFont val="Calibri"/>
      </rPr>
      <t>71% al 90%</t>
    </r>
    <r>
      <rPr>
        <sz val="10"/>
        <color theme="1"/>
        <rFont val="Calibri"/>
      </rPr>
      <t xml:space="preserve"> de las veces  </t>
    </r>
    <r>
      <rPr>
        <b/>
        <sz val="10"/>
        <color theme="1"/>
        <rFont val="Calibri"/>
      </rPr>
      <t>(el ítem tiene máximo una desviación)</t>
    </r>
  </si>
  <si>
    <t>superinte</t>
  </si>
  <si>
    <t>Personal de áreas invitadas por lo menos 1</t>
  </si>
  <si>
    <t>Trabajadores de la EECC por lo menos 1.</t>
  </si>
  <si>
    <t>superv</t>
  </si>
  <si>
    <t>superv_1</t>
  </si>
  <si>
    <t>area</t>
  </si>
  <si>
    <r>
      <rPr>
        <sz val="10"/>
        <color theme="1"/>
        <rFont val="Calibri"/>
      </rPr>
      <t xml:space="preserve">El ítem cumple a cabalidad </t>
    </r>
    <r>
      <rPr>
        <b/>
        <sz val="10"/>
        <color theme="1"/>
        <rFont val="Calibri"/>
      </rPr>
      <t>más del 91%</t>
    </r>
    <r>
      <rPr>
        <sz val="10"/>
        <color theme="1"/>
        <rFont val="Calibri"/>
      </rPr>
      <t xml:space="preserve"> </t>
    </r>
    <r>
      <rPr>
        <b/>
        <sz val="10"/>
        <color theme="1"/>
        <rFont val="Calibri"/>
      </rPr>
      <t>(el ítem no tiene desviaciones)</t>
    </r>
  </si>
  <si>
    <t>Empresa</t>
  </si>
  <si>
    <t>Comité Mixto por lo menos 1 (si se tiene en el área)</t>
  </si>
  <si>
    <t>Personal de MSC invitadas por lo menos 1</t>
  </si>
  <si>
    <t>Archivo</t>
  </si>
  <si>
    <t>N/A</t>
  </si>
  <si>
    <t>El ítem no es aplicable</t>
  </si>
  <si>
    <t>version</t>
  </si>
  <si>
    <t>Fecha (yyyymmdd)</t>
  </si>
  <si>
    <t>Comité Mixto por lo menos 1 o coordinador</t>
  </si>
  <si>
    <t>Código</t>
  </si>
  <si>
    <t>AREA1</t>
  </si>
  <si>
    <t>AREA</t>
  </si>
  <si>
    <t>Nota</t>
  </si>
  <si>
    <t>El ítem en color rojo es obligatorio; si se coloca N/A, se debe justificar en los comentarios el motivo por el cual NO APLICA.</t>
  </si>
  <si>
    <t>Presi</t>
  </si>
  <si>
    <t>Personal de HSEQ</t>
  </si>
  <si>
    <t>VICEPRESIDENCIA_CORPORATIVA</t>
  </si>
  <si>
    <t>GERENCIA_CORPORATIVA</t>
  </si>
  <si>
    <t>SUPERINTENDENCIA_DE_ADQUISICIONES</t>
  </si>
  <si>
    <t>LISTA DE VERIFICACIÓN:</t>
  </si>
  <si>
    <t>SUPERINTENDENCIA_DE_RELACIONES_INSTITUCIONALES</t>
  </si>
  <si>
    <t>SUPERINTENDENCIA_DE_RELACIONES_PÚBLICAS</t>
  </si>
  <si>
    <t xml:space="preserve"> A.  INSPECCIÓN ISOP</t>
  </si>
  <si>
    <t>GERENCIA_CORPORATIVA_</t>
  </si>
  <si>
    <t>GERENCIA_DE_COMERCIALIZACIÓN_Y_SERVICIOS</t>
  </si>
  <si>
    <t>% Cumplimiento Global:</t>
  </si>
  <si>
    <t>SUPERINTENDENCIA_DE_ALMACENES_Y_CONTROL_DE_INVENTARIOS</t>
  </si>
  <si>
    <t>SUPERINTENDENCIA_DE_EXPORTACIONES</t>
  </si>
  <si>
    <t>SUPERINTENDENCIA_DE_GESTION_COMERCIAL</t>
  </si>
  <si>
    <t>SUPERINTENDENCIA_DE_LOGÍSTICA</t>
  </si>
  <si>
    <t>SUPERINTENDENCIA_DE_MANEJO_DE_MATERIALES</t>
  </si>
  <si>
    <t>GERENCIA_DE_MEDIO_AMBIENTE</t>
  </si>
  <si>
    <t>SUPERINTENDENCIA_DE_MEDIO_AMBIENTE</t>
  </si>
  <si>
    <t>GERENCIA_DE_RECURSOS_HUMANOS_Y_SERVICIOS_DE_PERSONAL</t>
  </si>
  <si>
    <t>SUPERINTENDENCIA_DE_CAMPAMENTO</t>
  </si>
  <si>
    <t>SUPERINTENDENCIA_DE_RECURSOS_HUMANOS</t>
  </si>
  <si>
    <t>1.  ORDEN Y ASEO (5Ss)</t>
  </si>
  <si>
    <t>SUPERINTENDENCIA_SÉNIOR_DE_SALUD</t>
  </si>
  <si>
    <t>SUPERVISIÓN_SENIOR_DE_SEGURIDAD_FÍSICA</t>
  </si>
  <si>
    <t>Máximo Puntaje:</t>
  </si>
  <si>
    <t>GERENCIA_DE_RELACIONES_COMUNITARIAS</t>
  </si>
  <si>
    <t>SUPERINTENDENCIA_DE_DESARROLLO_SOSTENIBLE_Y_RELACIONES_COMUNITARIAS</t>
  </si>
  <si>
    <t>GERENCIA_DE_SEGURIDAD_INDUSTRIAL</t>
  </si>
  <si>
    <t>SUPERINTENDENCIA_DE_SEGURIDAD_INDUSTRIAL</t>
  </si>
  <si>
    <t>GERENCIA_DE_SERVICIOS_DE_TRANSPORTE_Y_AVIACIÓN</t>
  </si>
  <si>
    <t>SUPERINTENDENCIA_DE_SERVICIOS_DE_AVIACIÓN</t>
  </si>
  <si>
    <t>SUPERINTENDENCIA_DE_SERVICIOS_DE_TRANSPORTE_DE_PERSONAL</t>
  </si>
  <si>
    <t>VICEPRESIDENCIA_DE_DESARROLLO_DE_PROYECTOS</t>
  </si>
  <si>
    <t>Comentarios</t>
  </si>
  <si>
    <t>GERENCIA_DE_PROYECTOS</t>
  </si>
  <si>
    <t>SUPERINTENDENCIA_ADMINISTRATIVO_DE_OPERACIONES</t>
  </si>
  <si>
    <t>SUPERINTENDENCIA_DE_INGENIERÍA_PLANTA</t>
  </si>
  <si>
    <t>% Cumplimiento Alcanzado:</t>
  </si>
  <si>
    <t>VICEPRESIDENCIA_DE_FINANZAS</t>
  </si>
  <si>
    <t>GERENCIA_DE_FINANZAS</t>
  </si>
  <si>
    <t>SUPERINTENDENCIA_DE_CONTABILIDAD</t>
  </si>
  <si>
    <t>SUPERINTENDENCIA_DE_IMPUESTOS</t>
  </si>
  <si>
    <t>SUPERINTENDENCIA_DE_PLANIFICACIÓN_FINANCIERA</t>
  </si>
  <si>
    <t>1.1</t>
  </si>
  <si>
    <t>GERENCIA_DE_TI_Y_DESARROLLO_DEL_NEGOCIO</t>
  </si>
  <si>
    <t>¿Se encuentran los materiales almacenados considerando tipo, categorías y grupo? (Ej. Eléctrico - Palas - Mangueras)?</t>
  </si>
  <si>
    <t>SUPERINTENDENCIA_DE_DESARROLLO_DEL_NEGOCIO</t>
  </si>
  <si>
    <t>SUPERINTENDENCIA_DE_TI</t>
  </si>
  <si>
    <t>SUPERINTENDENCIA_DE_TO</t>
  </si>
  <si>
    <t>SUPERVISIÓN_DE_SEGURIDAD_DE_LA_INFORMACIÓN_CISO</t>
  </si>
  <si>
    <t>VICEPRESIDENCIA_DE_OPERACIONES</t>
  </si>
  <si>
    <t>1.2</t>
  </si>
  <si>
    <t>¿Los pasillos de circulación están libres de materiales u objetos que obstaculicen el tránsito?</t>
  </si>
  <si>
    <t>GERENCIA_DE_MANTENIMIENTO_MINA</t>
  </si>
  <si>
    <t>SUPERINTENDENCIA_SÉNIOR_DE_MANTENIMIENTO_MINA</t>
  </si>
  <si>
    <t>SUPERINTENDENTE_DE_MANTENIMIENTO_MINA_PLANIFICACIÓN_Y_PROGRAMACIÓN</t>
  </si>
  <si>
    <t>GERENCIA_DE_MANTENIMIENTO_PLANTA</t>
  </si>
  <si>
    <t>1.3</t>
  </si>
  <si>
    <t>¿Las vías de circulación están demarcadas con franjas en áreas donde existen equipos, maquinarias, materiales que afecten a la libre circulación (Área de operación y/o Almacen)?</t>
  </si>
  <si>
    <t>SUPERINTENDENCIA_DE_MANTENIMIENTO_ELÉCTRICO_E_INSTRUMENTACIÓN_PLANTA</t>
  </si>
  <si>
    <t>SUPERINTENDENCIA_DE_MANTENIMIENTO_INGENIERÍA_DE_CONFIABILIDAD</t>
  </si>
  <si>
    <t>SUPERINTENDENCIA_DE_MANTENIMIENTO_MEC._PLTA._CHANCADO_MOLIENDA_Y_LUBRICACIÓN</t>
  </si>
  <si>
    <t>1.4</t>
  </si>
  <si>
    <t>¿Las estructuras de almacenamiento a baja altura están señalizadas y se controla el riesgo de "golpeado contra"?</t>
  </si>
  <si>
    <t>SUPERINTENDENCIA_DE_MANTENIMIENTO_MEC._PLTA._FLOT._FILTROS_TALLER_GRAL._Y_RH</t>
  </si>
  <si>
    <t>SUPERINTENDENCIA_DE_MANTENIMIENTO_PLANIFICACIÓN</t>
  </si>
  <si>
    <t>GERENCIA_DE_OPERACIONES_MINA</t>
  </si>
  <si>
    <t>1.5</t>
  </si>
  <si>
    <t>SUPERINTENDENCIA_DE_INGENIERÍA_MINA</t>
  </si>
  <si>
    <r>
      <rPr>
        <sz val="10"/>
        <color rgb="FF000000"/>
        <rFont val="Calibri"/>
      </rPr>
      <t xml:space="preserve">¿El lugar de trabajo se encuentra limpio, libre de residuos y desechos </t>
    </r>
    <r>
      <rPr>
        <sz val="10"/>
        <color rgb="FF000000"/>
        <rFont val="Calibri"/>
      </rPr>
      <t>(en el piso u otros lugares que no sean basureros)?</t>
    </r>
  </si>
  <si>
    <t>SUPERINTENDENCIA_DE_OPERACIONES_MINA</t>
  </si>
  <si>
    <t>SUPERINTENDENCIA_DE_SERVICIOS_DE_EXPLORACIÓN</t>
  </si>
  <si>
    <t>SUPERVISIÓN_DE_ENTRENAMIENTO_MINA</t>
  </si>
  <si>
    <t>GERENCIA_DE_OPERACIONES_PLANTA</t>
  </si>
  <si>
    <t>1.6</t>
  </si>
  <si>
    <t>SUPERINTENDENCIA_DE_GESTIÓN_DE_RELAVES_Y_SERVICIOS_AUXILIARES</t>
  </si>
  <si>
    <t>¿Se cuenta con recipientes (basureros) para la clasificación de residuos e identificados según el residuo que contiene?</t>
  </si>
  <si>
    <t>SUPERINTENDENCIA_DE_OPERACIONES_PLANTA</t>
  </si>
  <si>
    <t>SUPERINTENDENCIA_DE_SERVICIOS_TÉCNICOS</t>
  </si>
  <si>
    <t>GERENCIA_DE_OPERACIONES_PLANTA_</t>
  </si>
  <si>
    <t>1.7</t>
  </si>
  <si>
    <t>¿Los residuos se depositan en los recipientes que corresponden obedeciendo a su clasificación?</t>
  </si>
  <si>
    <t>00</t>
  </si>
  <si>
    <t>Presidencia Ejecutiva</t>
  </si>
  <si>
    <t>01</t>
  </si>
  <si>
    <t>1.8</t>
  </si>
  <si>
    <t>¿Se promueve las 5'S (Clasificación, Orden, Limpieza, Normalización y Disciplina) en el lugar de trabajo mediante afiches o señalética?</t>
  </si>
  <si>
    <t>GERENCIA CORPORATIVA</t>
  </si>
  <si>
    <t>1.9</t>
  </si>
  <si>
    <t>¿Las instalaciones cuentan con registro de sanitización, desratización, etc.?</t>
  </si>
  <si>
    <t>SUPERINTENDENCIA DE ADQUISICIONES</t>
  </si>
  <si>
    <t>04</t>
  </si>
  <si>
    <t>11</t>
  </si>
  <si>
    <t>28</t>
  </si>
  <si>
    <t>ASW</t>
  </si>
  <si>
    <t>ACHO SURCO WILFREDO</t>
  </si>
  <si>
    <t>1.10</t>
  </si>
  <si>
    <t>ACHO SURCO WILFREDO - ELECTROMECÁNICO DE MANTENIMIENTO MINA</t>
  </si>
  <si>
    <t>¿Los cables eléctricos están instalados (canalizados) de manera que no hay riesgo de tropiezos o daños a su aislamiento?</t>
  </si>
  <si>
    <t>VICEPRESIDENCIA DE OPERACIONES</t>
  </si>
  <si>
    <t>GERENCIA DE MANTENIMIENTO MINA</t>
  </si>
  <si>
    <t>SUPERINTENDENCIA SÉNIOR DE INGENIERÍA Y SEGURIDAD DE EQUIPOS MÓVILES</t>
  </si>
  <si>
    <t>SUPERINTENDENCIA DE MANTENIMIENTO MINA - EJECUCIÓN</t>
  </si>
  <si>
    <t>SUPERVISIÓN DE MANTENIMIENTO MINA - CARGUÍO</t>
  </si>
  <si>
    <t>MANTENIMIENTO MINA - EJECUCIÓN</t>
  </si>
  <si>
    <t>000</t>
  </si>
  <si>
    <t>1.11</t>
  </si>
  <si>
    <t>¿Los materiales que puedan rodar están asegurados con cuñas, tacos u otros elementos que impidan su desplazamiento?</t>
  </si>
  <si>
    <t>PGR</t>
  </si>
  <si>
    <t>version0</t>
  </si>
  <si>
    <t>1.12</t>
  </si>
  <si>
    <t>¿Se encuentran todas las luminarias en  funcionamiento, limpias y  sin presentar opacidad notoria?</t>
  </si>
  <si>
    <t>010</t>
  </si>
  <si>
    <t>10 AREA MINA</t>
  </si>
  <si>
    <t>ADMINISTRATIVO DE OPERACIONES</t>
  </si>
  <si>
    <t>Presidencia_Ejecutiva</t>
  </si>
  <si>
    <t>2.  PREPARACIÓN PARA EMERGENCIAS</t>
  </si>
  <si>
    <t>URIA_ALANES_CLAUDIA_FATIMA_-_SUPERVISOR_DE_ADQUISICIONES_DE_BIENES</t>
  </si>
  <si>
    <t>CASANOVA_AGUIRRE_JAIME_SANTIAGO_-_ESPECIALISTA_DE_GESTIONES_ADMINISTRATIVAS</t>
  </si>
  <si>
    <t>DALENCE_ROJAS_PATRICIA_BEATRIZ_-_SUPERINTENDENTE_DE_RELACIONES_PÚBLICAS</t>
  </si>
  <si>
    <t>IMAÑA_CASTRO_RUBEN_MARCELO_-_AUDITOR_INTERNO</t>
  </si>
  <si>
    <t>CLAROS_MONTAÑO_JUAN_CARLOS_-_SUPERVISOR_SÉNIOR_DE_ALMACÉN_PLANTA_Y_COMBUSTIBLES</t>
  </si>
  <si>
    <t>CARBALLO_RIVERO_ROBERTO_ALCIDES_-_ANALISTA_SÉNIOR_DE_EXPORTACIONES</t>
  </si>
  <si>
    <t>CAMARGO_TICONA_ARMANDO_RICARDO_-_SUPERINTENDENTE_DE_GESTIÓN_COMERCIAL</t>
  </si>
  <si>
    <t>LLORENTY_SOLIZ_JORGE_AMED_-_SUPERVISOR_DE_EXPEDITING</t>
  </si>
  <si>
    <t>MOLINA_DAVALOS_JESUS_ARMANDO_-_SUPERVISOR_DE_MANEJO_DE_MATERIALES_OPERACIONES_Y_ENTRENAMIENTO</t>
  </si>
  <si>
    <t>MASSY_QUIROGA_NELSON_-_SUPERVISOR_DE_MEDIO_AMBIENTE</t>
  </si>
  <si>
    <t>General</t>
  </si>
  <si>
    <t>ACHÁ_RUIZ_MARCOS_ROBERTO_-_ESPECIALISTA_DE_COMEDOR_Y_ALIMENTOS</t>
  </si>
  <si>
    <t>ANDRADE_LANZA_WILDER_ELOY_-_SUPERVISOR_SÉNIOR_DE_CAPACITACIÓN</t>
  </si>
  <si>
    <t>ARAMAYO_QUIROGA_CARLOS_ANDRES_-_SUPERVISOR_DE_SERVICIOS_Y_PROGRAMAS_DE_SALUD</t>
  </si>
  <si>
    <t>CALCINA_CALIZAYA_EFRAÍN_-_SUPERVISOR_DE_SEGURIDAD_FÍSICA</t>
  </si>
  <si>
    <t>AZURDUY_ROSSEL_VLADIMIR_PEDRO_-_SUPERVISOR_DE_DESARROLLO_SOSTENIBLE</t>
  </si>
  <si>
    <t>2.1</t>
  </si>
  <si>
    <t>¿Las vías de evacuación y punto de reunión se encuentran expeditas, señalizadas, para garantizar una evacuación segura? Según la RM 849/2014</t>
  </si>
  <si>
    <t>CASTRO_TORRICO_MIGUEL_ANGEL_-_SUPERVISOR_DE_SEGURIDAD_INDUSTRIAL</t>
  </si>
  <si>
    <t>ALBA_URQUIZO_FERNANDO_JUSTO_-_SUPERVISOR_DE_OPERACIONES_AÉREAS</t>
  </si>
  <si>
    <t>2.2</t>
  </si>
  <si>
    <t>¿Todos los trabajadores conocen el protocolo de comunicación de emergencias establecido en el Plan de Gestión de emergencias de MSC 3.02.P01.PL01. Como el 71227742 , 911, canal 6 (mina), canal 5? (Es necesario consultar a 3 personas para verificar esta información)</t>
  </si>
  <si>
    <t>AYALA_VENEROS_DOUGLAS_MAURICIO_-_SUPERINTENDENTE_DE_SERVICIOS_DE_TRANSPORTE_DE_PERSONAL</t>
  </si>
  <si>
    <t>MAIDANA_TARQUINO_MARCELO_-_SUPERINTENDENTE_ADMINISTRATIVO_DE_OPERACIONES</t>
  </si>
  <si>
    <t>2.3</t>
  </si>
  <si>
    <t>¿Se realizó la inspección mensual de los sistemas de emergencia y se envió la evidencia al área de Emergencias (solo sistemas de emergencias propiedad de MSC)? (últimos 3 meses)</t>
  </si>
  <si>
    <t>ANAYA_RODRIGUEZ_CRISTHIAN_FRANKLIN_-_SUPERVISOR_DE_DISEÑO_Y_CONSTRUCCIÓN</t>
  </si>
  <si>
    <t>2.4</t>
  </si>
  <si>
    <t>BELTRÁN_RIOS_CLAUDIA_XIMENA_-_SUPERVISOR_DE_REPORTES_Y_CUMPLIMIENTO</t>
  </si>
  <si>
    <t>Se realiza el seguimiento de los hallazgos identificados de la inspección de sistemas de emergencias?</t>
  </si>
  <si>
    <t>TARDIO_ROMAY_IRMA_VICENTA_-_SUPERINTENDENTE_DE_IMPUESTOS</t>
  </si>
  <si>
    <t>RODRIGUEZ_CALDERÓN_JAIME_RAMIRO_-_SUPERINTENDENTE_DE_PLANIFICACIÓN_FINANCIERA_(FP&amp;A)</t>
  </si>
  <si>
    <t>2.5</t>
  </si>
  <si>
    <t>¿Se cuenta con un listado ACTUALIZADO del personal para realizar el conteo en caso de evacuación (3.02.P01.F23 Registro de Personal para Conteo en Evacuación)?</t>
  </si>
  <si>
    <t>REYES_ARISPE_GUSTAVO_JAVIER_-_SUPERINTENDENTE_DE_DESARROLLO_DEL_NEGOCIO</t>
  </si>
  <si>
    <t>PEREZ_MONDACA_CARLOS_ALBERTO_-_SUPERVISOR_DE_APLICACIONES_DE_TI</t>
  </si>
  <si>
    <t>2.6</t>
  </si>
  <si>
    <t>¿Los extintores portátiles se encuentran con su manómetro o indicador de presión en la posición o rango operable (zona verde), o en el caso de extintor de químico seco operado por cartucho, con el indicador de presión desactivado (abajo)?</t>
  </si>
  <si>
    <t>MENDOZA_GOMEZ_DIEGO_ENRIQUE_-_SUPERINTENDENTE_DE_TO</t>
  </si>
  <si>
    <t>JUAN_PABLO_OVIEDO_LLANOS_-_SUPERVISIÓN_DE_SEGURIDAD_DE_LA_INFORMACIÓN_(CISO)</t>
  </si>
  <si>
    <t>BALDERRAMA_HINOJOSA_JUAN_CARLOS_-_COORDINADOR_GENERAL_DE_MANTENIMIENTO_DE_VEHÍCULOS_Y_EQUIPOS_MÓVILES</t>
  </si>
  <si>
    <t>2.7</t>
  </si>
  <si>
    <t>¿El adhesivo de identificación e instrucciones del extintor se encuentra visible y en estado legible?</t>
  </si>
  <si>
    <t>TERÁN_GALATOIRE_ROBERTO_CARLOS_-_SUPERINTENDENTE_DE_MANTENIMIENTO_MINA_PLANIFICACIÓN_Y_PROGRAMACIÓN</t>
  </si>
  <si>
    <t>BALLADARES_ROCHA_SAUL_RAMIRO_-_SUPERVISOR_DE_MANTENIMIENTO</t>
  </si>
  <si>
    <t>CRUZ_RODRIGUEZ_WILMERS_-_ANALISTA_SÉNIOR_DE_CONFIABILIDAD</t>
  </si>
  <si>
    <t>2.8</t>
  </si>
  <si>
    <t>¿Los extintores portátiles se encuentran con su tarjeta de mantenimiento, con la fecha actualizada y vigente?</t>
  </si>
  <si>
    <t>ALI SALGADO JHONNY AGUSTIN - SUPERVISOR DE MANTENIMIENTO</t>
  </si>
  <si>
    <t>ADUANA ROCABADO OSCAR - SUPERVISOR DE MANTENIMIENTO</t>
  </si>
  <si>
    <t>AGUAYO ROJAS VICTOR HUGO - PLANIFICADOR SÉNIOR DE MANTENIMIENTO</t>
  </si>
  <si>
    <t>2.9</t>
  </si>
  <si>
    <t>¿Los extintores portátiles se inspeccionan mensualmente y se registra correctamente en la tarjeta de inspección correspondiente?</t>
  </si>
  <si>
    <t>AYARACHI FERNANDEZ ORLANDO - PLANIFICADOR SÉNIOR DE MINA A CORTO PLAZO</t>
  </si>
  <si>
    <t>ALIAGA RODRIGUEZ MARIO ALBERTO - SUPERINTENDENTE DE OPERACIONES MINA</t>
  </si>
  <si>
    <t>2.10</t>
  </si>
  <si>
    <t>¿Los extintores portátiles se mantienen limpios (libre de polvo u otras sustancias) y se encuentren en el lugar establecido?</t>
  </si>
  <si>
    <t>BASILIO TICONA CORNELIO YECID - RESPONSABLE DE ENTRENAMIENTO MINA</t>
  </si>
  <si>
    <t>CARREÑO UZQUIANO CARLOS HUGO - SUPERINTENDENTE DE GESTION DE RELAVES Y SERVICIOS AUXILIARES</t>
  </si>
  <si>
    <t>2.11</t>
  </si>
  <si>
    <t>CABRERA MAMANI RUBEN RODY - METALURGISTA DE PROCESO</t>
  </si>
  <si>
    <t>¿Los extintores que están expuestos a la intemperie se encuentran libres de daños por oxidación u otro posible deterioro?</t>
  </si>
  <si>
    <t>JARPA CALLAHUANCA ARIEL JACINTO - JEFE DE TURNO</t>
  </si>
  <si>
    <t>CHURATA HUARACHI WILBER - GERENTE DE OPERACIONES PLANTA</t>
  </si>
  <si>
    <t>2.12</t>
  </si>
  <si>
    <t>¿Los extintores portátiles cuentan con su soporte correctamente instalado, firme y asegurado, además de la señalización claramente visible?</t>
  </si>
  <si>
    <t>VICEPRESIDENCIA CORPORATIVA</t>
  </si>
  <si>
    <t>02</t>
  </si>
  <si>
    <t>2.13</t>
  </si>
  <si>
    <t>Los extintores se encuentran visibles, disponibles y accesibles de acuerdo al plano de evacuación del área?.</t>
  </si>
  <si>
    <t>GERENCIA DE COMERCIALIZACIÓN Y SERVICIOS</t>
  </si>
  <si>
    <t>SUPERINTENDENCIA DE RELACIONES INSTITUCIONALES</t>
  </si>
  <si>
    <t>2.14</t>
  </si>
  <si>
    <t>¿El extintor portátil utilizado es el adecuado para la clase de fuego identificado en el área de trabajo?</t>
  </si>
  <si>
    <t>12</t>
  </si>
  <si>
    <t>32</t>
  </si>
  <si>
    <t>ARO</t>
  </si>
  <si>
    <t>ADUANA ROCABADO OSCAR</t>
  </si>
  <si>
    <t>2.15</t>
  </si>
  <si>
    <t>¿En el lugar de trabajo se encuentran instaladas luces de emergencia?</t>
  </si>
  <si>
    <t>GERENCIA DE MANTENIMIENTO PLANTA</t>
  </si>
  <si>
    <t>SUPERINTENDENCIA DE MANTENIMIENTO - MEC. PLTA. CHANCADO, MOLIENDA Y LUBRICACIÓN</t>
  </si>
  <si>
    <t>SUPERVISIÓN DE MANTENIMIENTO - CHANCADO / CORREAS TRANSPORTADORAS</t>
  </si>
  <si>
    <t/>
  </si>
  <si>
    <t>MANTENIMIENTO - CHANCADO / CORREAS TRANSPORTADORAS</t>
  </si>
  <si>
    <t>2.16</t>
  </si>
  <si>
    <t>¿Las luces de emergencia se encuentran en funcionamiento. (verificar mediante desconexión y comprobación)?</t>
  </si>
  <si>
    <t>001</t>
  </si>
  <si>
    <t>Apraccuk</t>
  </si>
  <si>
    <t>ISOP</t>
  </si>
  <si>
    <t>2.17</t>
  </si>
  <si>
    <t>Los detectores de incendio se encuentran operativos? (ver destello intermitente color luz verde en dispositivo)</t>
  </si>
  <si>
    <t>version1</t>
  </si>
  <si>
    <t>101 Frente de Carguío</t>
  </si>
  <si>
    <t>ADQUISICIONES</t>
  </si>
  <si>
    <t>3. ELEMENTOS DE PROTECCIÓN PERSONAL</t>
  </si>
  <si>
    <t>ZAMORA_CORTEZ_LESLIE_MAGDA_-_SUPERVISOR_DE_ADQUISICIONES_DE_SERVICIOS</t>
  </si>
  <si>
    <t>CLAVIJO_DOYNEL_MARCO_ANTONIO_-_SUPERVISOR_DE_CONTROL_DE_CALIDAD_DE_ALMACENES</t>
  </si>
  <si>
    <t>TORREZ_SALDIAS_GONZALO_-_SUPERVISOR_DE_IMPORTACIONES</t>
  </si>
  <si>
    <t>OJITO_ESTRADA_REMBERTO_-_SUPERINTENDENTE_DE_MANEJO_DE_MATERIALES</t>
  </si>
  <si>
    <t>MAMANI_QUISPE_ERNESTO_-_SUPERVISOR_DE_GESTIÓN_DE_RESÍDUOS_Y_ÁREAS_VERDES</t>
  </si>
  <si>
    <t>CALIZAYA_MENA_MIKAELA_LISSETTE_-_SUPERVISOR_DE_ADMINISTRACIÓN_DE_RECURSOS_HUMANOS</t>
  </si>
  <si>
    <t>ESTEPA_SUAREZ_CARMEN_ZULEMA_-_SUPERVISOR_DE_SERVICIOS_DE_SALUD_EXTERNA</t>
  </si>
  <si>
    <t>LEAÑO_SAAVEDRA_MARCO_ANTONIO_-_SUPERVISOR_DE_SEGURIDAD_FÍSICA</t>
  </si>
  <si>
    <t>NUÑEZ_MOLINA_MARCELO_MAURICIO_-_SUPERVISOR_DE_RESPONSABILIDAD_SOCIAL_EXTERNA</t>
  </si>
  <si>
    <t>GUMUCIO_LÓPEZ_MIRKO_GEOVANY_-_SUPERVISOR_DE_HIGIENE_INDUSTRIAL</t>
  </si>
  <si>
    <t>3.1</t>
  </si>
  <si>
    <t>¿El personal cuenta con el Equipo de Protección Personal (EPP) básico?</t>
  </si>
  <si>
    <t>ROCA_FERNANDEZ_RAIMUNDO_-_SUPERVISOR_DE_MANTENIMIENTO_AERONÁUTICO</t>
  </si>
  <si>
    <t>CRUZ_LOVERA_SANTOS_ADOLFO_-_COORDINADOR_TÉCNICO_OPERATIVO</t>
  </si>
  <si>
    <t>3.2</t>
  </si>
  <si>
    <t>¿El personal conoce y utiliza correctamente su Equipo de Protección Personal (EPP)?</t>
  </si>
  <si>
    <t>FERNANDEZ_RUIZ_RAMIRO_-_SUPERINTENDENTE_DE_INGENIERIA_PLANTA</t>
  </si>
  <si>
    <t>3.3</t>
  </si>
  <si>
    <t>¿Los Equipo de Protección Personal (EPP) inspeccionados se encuentran sin un desgaste excesivo? (Inspeccionar los EPP de 3 trabajadores al azar)</t>
  </si>
  <si>
    <t>MOSCOSO_ABRAHAM_JESUS_ALEJANDRO_-_SUPERVISOR_DE_TESORERÍA_Y_CUENTAS_POR_PAGAR</t>
  </si>
  <si>
    <t>VELARDE_LEON_CRISTIAN_HUMBERTO_-_SUPERVISOR_DE_INFRAESTRUCTURA_DE_TI</t>
  </si>
  <si>
    <t>MERCADO_CHOQUETICLLA_FRANZ_ARIEL_-_SUPERVISOR_TO_MINA</t>
  </si>
  <si>
    <t>3.4</t>
  </si>
  <si>
    <t>¿Los Equipos de Protección Personal (EPP) inspeccionados se encuentran sin deformaciones? (Inspeccionar los EPP de 3 trabajadores al azar)</t>
  </si>
  <si>
    <t>BADEA_ROMERO_ALEXANDRO_-_SUPERINTENDENCIA_SÉNIOR_DE_MANTENIMIENTO_MINA</t>
  </si>
  <si>
    <t>3.5</t>
  </si>
  <si>
    <t>¿Los Equipos de Protección Personal (EPP) inspeccionados son de uso personal? (Inspeccionar los EPP de 3 trabajadores al azar)</t>
  </si>
  <si>
    <t>CAPURATA_FLORES_OVIDIO_-_SUPERINTENDENTE_DE_MANTENIMIENTO</t>
  </si>
  <si>
    <t>HERBAS_TORREZ_HENRY_-_SUPERVISOR_DE_ANÁLISIS_DE_CONFIABILIDAD</t>
  </si>
  <si>
    <t>3.6</t>
  </si>
  <si>
    <t>¿Los Equipos de Protección Personal (EPP) inspeccionados son los proporcionados por la empresa y se encuentran sin alteraciones en su diseño original? (Inspeccionar los EPP de 3 trabajadores al azar)</t>
  </si>
  <si>
    <t>CAMATA QUISPE EDILBER - SUPERVISOR DE MANTENIMIENTO</t>
  </si>
  <si>
    <t>ARANDIA COCA MARCO ANTONIO - SUPERVISOR DE MANTENIMIENTO - MOLIENDA</t>
  </si>
  <si>
    <t>FLORES GUTIERREZ NESTOR ROMAN - PLANIFICADOR SÉNIOR DE MANTENIMIENTO</t>
  </si>
  <si>
    <t>3.7</t>
  </si>
  <si>
    <t>¿El personal cuenta con Equipos de Protección Personal (EPP) adicionales de acuerdo a los riesgos específicos de su labor? (Inspeccionar los EPP de 3 trabajadores al azar)</t>
  </si>
  <si>
    <t>BALDERRAMA ZÁRATE BORIZ MARCELO - SUPERVISOR DE SERVICIOS DE EXPLORACIÓN</t>
  </si>
  <si>
    <t>CASTRO RAMIREZ MARCIAL - SUPERVISOR DE CARGUÍO Y ACARREO</t>
  </si>
  <si>
    <t>CASTEDO FRANCO CLAUDIO ANDRES - SUPERVISOR DE SERVICIOS AUXILIARES</t>
  </si>
  <si>
    <t>4.  HERRAMIENTAS DE MANO</t>
  </si>
  <si>
    <t>CAYO CRUZ JAIME - METALURGISTA DE PROCESO</t>
  </si>
  <si>
    <t>MIRANDA OSSIO RAFAEL JUAN - JEFE DE TURNO</t>
  </si>
  <si>
    <t>COPA CALCINA EDDY EDWIN - COORDINADOR PRINCIPAL DE SISTEMAS DE AGUA</t>
  </si>
  <si>
    <t>VICEPRESIDENCIA DE DESARROLLO DE PROYECTOS</t>
  </si>
  <si>
    <t>03</t>
  </si>
  <si>
    <t>GERENCIA DE MEDIO AMBIENTE</t>
  </si>
  <si>
    <t>SUPERINTENDENCIA DE RELACIONES PÚBLICAS</t>
  </si>
  <si>
    <t xml:space="preserve"> </t>
  </si>
  <si>
    <t>AGRE</t>
  </si>
  <si>
    <t>4.1</t>
  </si>
  <si>
    <t>AGREDA GOMEZ RODRIGO EMMANUEL</t>
  </si>
  <si>
    <t>¿Las herramientas se encuentran almacenadas en tableros, maletas o cajas portaherramientas designadas para su almacenamiento?</t>
  </si>
  <si>
    <t>AGREDA GÓMEZ RODRIGO EMMANUEL - GERENTE CORPORATIVO</t>
  </si>
  <si>
    <t>4.2</t>
  </si>
  <si>
    <t>¿Las herramientas fueron inspeccionadas y cuentan con la codificación correspondiente al trimestre actual?</t>
  </si>
  <si>
    <t>139</t>
  </si>
  <si>
    <t>ACHUPALLA</t>
  </si>
  <si>
    <t>4.3</t>
  </si>
  <si>
    <t>(IRO) - AISLAMIENTO</t>
  </si>
  <si>
    <t>¿Las herramientas cuentan con sus mangos sanos y limpios, libres de astillas, rebabas o grasa?</t>
  </si>
  <si>
    <t>version2</t>
  </si>
  <si>
    <t>4.4</t>
  </si>
  <si>
    <t>¿Los mazos de las herramientas de golpe están libres de rebabas y con zonas de impacto no redondeadas?</t>
  </si>
  <si>
    <t>102 Malla de Voladura</t>
  </si>
  <si>
    <t>ADQUISICIONES DE BIENES</t>
  </si>
  <si>
    <t>4.5</t>
  </si>
  <si>
    <t>¿Las herramientas eléctricas cuentan con mangos y protecciones de fábrica?</t>
  </si>
  <si>
    <t>4.6</t>
  </si>
  <si>
    <t>¿Las herramientas eléctricas cuentan con conexión a tierra o doble aislamiento?</t>
  </si>
  <si>
    <t>GUTIERREZ_TORRES_LUGO_VINICIO_-_SUPERINTENDENTE_DE_EXPORTACIONES</t>
  </si>
  <si>
    <t>4.7</t>
  </si>
  <si>
    <t>¿Las herramientas eléctricas cuentan con su cable de alimentación en buenas condiciones, sin daños en su aislación, clavija o conexión al equipo?</t>
  </si>
  <si>
    <t>OSUNA_VACAFLOR_JOSE_DANIEL_-_SUPERVISOR_SÉNIOR_DE_CAMPAMENTO</t>
  </si>
  <si>
    <t>4.8</t>
  </si>
  <si>
    <t>¿Las herramientas eléctricas y sus conductores de alimentación se encuentran libres de contacto con la humedad?</t>
  </si>
  <si>
    <t>QUISPE_CASTRO_CRISTIAN_-_SUPERVISOR_SÉNIOR_DE_GESTIÓN_DE_RECURSOS_HUMANOS</t>
  </si>
  <si>
    <t>MOHEBBI_ORTUÑO_VAHID_FLAVIO_-_SUPERVISOR_DE_SALUD_OCUPACIONAL</t>
  </si>
  <si>
    <t>NAVAJAS_FLORES_RENE_GONZALO_-_SUPERVISOR_SÉNIOR_DE_SEGURIDAD_FÍSICA</t>
  </si>
  <si>
    <t>4.9</t>
  </si>
  <si>
    <t>¿Se observaron herramientas hechizas en el área de trabajo?</t>
  </si>
  <si>
    <t>RAMIREZ_VALVERDE_DELIO_-_SUPERVISOR_DE_RELACIONES_COMUNITARIAS</t>
  </si>
  <si>
    <t>PEREZ_ROMERO_FRANZ_REYNALDO_-_SUPERVISOR_ELÉCTRICO_DE_SEGURIDAD_INDUSTRIAL-EMERGENCIAS</t>
  </si>
  <si>
    <t>4.10</t>
  </si>
  <si>
    <t>GONZÁLES_COPA_BASILIO_-_COORDINADOR_TÉCNICO_OPERATIVO</t>
  </si>
  <si>
    <t>¿Las herramientas en mal estado se encuentran identificadas con cinta de color rojo o tarjeta de "Fuera de Servicio" y lejos del alcance del personal ?</t>
  </si>
  <si>
    <t>MONTAÑO_ORTIZ_SERGIO_REINALDO_-_SUPERVISOR_SÉNIOR_DE_PROYECTOS_Y_MODIFICACIONES</t>
  </si>
  <si>
    <t>4.11</t>
  </si>
  <si>
    <t>¿El trabajador utiliza la herramienta para los fines que fue diseñada y fabricada?. Observar a 3 trabajadores</t>
  </si>
  <si>
    <t>URQUIDI_SELICH_MARIA_ALEJANDRA_-_SUPERVISOR_DE_CONTABILIDAD_Y_CUENTAS_POR_COBRAR</t>
  </si>
  <si>
    <t>5.- INSTALACIONES DE FAENA/ OFICINAS</t>
  </si>
  <si>
    <t>SORIA_CONDORI_MARCO_ANTONIO_-_JEFE_TO_PLANTA</t>
  </si>
  <si>
    <t>CARVAJAL_ZABALA_GUIDO_MARCELO_-_SUPERVISOR_DE_MANTENIMIENTO_MINA</t>
  </si>
  <si>
    <t>GOMEZ_VELASCO_LIMBERT_-_SUPERVISOR_DE_MANTENIMIENTO</t>
  </si>
  <si>
    <t>HUAYLLANI_DELGADO_JUAN_DE_DIOS_-_SUPERVISOR_DE_MANTENIMIENTO</t>
  </si>
  <si>
    <t>CARRASCO FLORES RAUL PEDRO - SUPERVISOR DE MANTENIMIENTO</t>
  </si>
  <si>
    <t>GARCIA AGREDA MARCO ANTONIO - SUPERVISOR DE MANTENIMIENTO</t>
  </si>
  <si>
    <t>PAUCARA HILARI DIONISIO - PLANIFICADOR SÉNIOR DE MANTENIMIENTO</t>
  </si>
  <si>
    <t>CHACON RUIZ JUAN HERNAN - SUPERVISOR DE GEOLOGÍA</t>
  </si>
  <si>
    <t>GARNICA NUGETT ROGER SERGIO - SUPERVISOR DE CARGUÍO Y ACARREO</t>
  </si>
  <si>
    <t>DURAN SAPIENCIA RONALD ABEL - SUPERVISOR DE SERVICIOS AUXILIARES</t>
  </si>
  <si>
    <t>CHOQUE PEREIRA CALIXTO - QUÍMICO SÉNIOR</t>
  </si>
  <si>
    <t>RAMOS MAYORGA MARIN - JEFE DE TURNO</t>
  </si>
  <si>
    <t>VICEPRESIDENCIA DE FINANZAS</t>
  </si>
  <si>
    <t>GERENCIA DE RECURSOS HUMANOS Y SERVICIOS DE PERSONAL</t>
  </si>
  <si>
    <t xml:space="preserve">GERENCIA CORPORATIVA </t>
  </si>
  <si>
    <t>Oficinas y otros ambientes</t>
  </si>
  <si>
    <t>34</t>
  </si>
  <si>
    <t>ARVH</t>
  </si>
  <si>
    <t>AGUAYO ROJAS VICTOR HUGO</t>
  </si>
  <si>
    <t>SUPERINTENDENCIA DE MANTENIMIENTO - PLANIFICACIÓN</t>
  </si>
  <si>
    <t>MANTENIMIENTO - PLANIFICACIÓN</t>
  </si>
  <si>
    <t>140</t>
  </si>
  <si>
    <t>ACTIVA FITNESS</t>
  </si>
  <si>
    <t>5.1</t>
  </si>
  <si>
    <t>¿En todos los aparatos y tomas de corriente eléctrica incluyendo los Schuko, se indica claramente su tensión?</t>
  </si>
  <si>
    <t>(IRO) - IZAJE</t>
  </si>
  <si>
    <t>version3</t>
  </si>
  <si>
    <t>103 Taller Llantas Mina</t>
  </si>
  <si>
    <t>5.2</t>
  </si>
  <si>
    <t>¿Los cables eléctricos se encuentran canalizados?. No incluye los cables de computadoras, teléfonos u otros</t>
  </si>
  <si>
    <t>ADQUISICIONES DE SERVICIOS</t>
  </si>
  <si>
    <t>5.3</t>
  </si>
  <si>
    <t>Los cables de las computadoras, teléfonos, celulares u otros, están ordenados y sujetados.</t>
  </si>
  <si>
    <t>ORELLANA_LLANOS_ARIEL_ISAAC_-_SUPERVISOR_DE_CONTROL_DE_INVENTARIOS</t>
  </si>
  <si>
    <t>5.4</t>
  </si>
  <si>
    <t>¿Todos los equipos e instalaciones eléctricas han sido construidos, instalados y conservados de manera que prevengan el peligro de contacto con elementos energizados y el riesgo de incendio?</t>
  </si>
  <si>
    <t>RAMOS_COLQUE_AUDO_-_SUPERVISOR_DE_SERVICIOS_E_INFRAESTRUCTURA</t>
  </si>
  <si>
    <t>RIVERA_ARZABE_ANDRÉS_CRISTIAN_-_SUPERVISOR_DE_DESARROLLO_ORGANIZACIONAL</t>
  </si>
  <si>
    <t>5.5</t>
  </si>
  <si>
    <t>¿Las repisas están ordenadas y sin riesgo de caída de elementos desde altura?</t>
  </si>
  <si>
    <t>RODRIGUEZ_TAPIA_ALEJANDRO_-_SUPERVISOR_DE_SEGURIDAD_INDUSTRIAL</t>
  </si>
  <si>
    <t>QUISPE_CAYO_GERMÁN_GILBERTO_-_COORDINADOR_TÉCNICO_OPERATIVO</t>
  </si>
  <si>
    <t>5.6</t>
  </si>
  <si>
    <t>¿Las sillas o asientos se encuentran limpios, en buen estado, con patas firmes, respaldo en su lugar, apoya brazos y tapiz sin daños?</t>
  </si>
  <si>
    <t>POMA_CRUZ_DAVID_RENE_-_SUPERVISOR_SÉNIOR_DE_PROYECTOS_Y_MODIFICACIONES</t>
  </si>
  <si>
    <t>5.7</t>
  </si>
  <si>
    <t>¿Las sillas o asientos cuentan con regulación de altura y ángulo de trabajo?</t>
  </si>
  <si>
    <t>CONDARCO_GONZALES_TATIANA_LITZI_-_ANALISTA_SÉNIOR_DE_MANTENIMIENTO_MINA</t>
  </si>
  <si>
    <t>5.8</t>
  </si>
  <si>
    <t>¿Los cajones de escritorios se encuentran en buen estado, alineados en su guía y con su fondo firme y limpio?</t>
  </si>
  <si>
    <t>TORRICO_MORALES_ALEXANDER_WALBY_-_SUPERVISOR_DE_MANTENIMIENTO</t>
  </si>
  <si>
    <t>LAZO_CAYO_WILSON_VICENTE_-_SUPERINTENDENTE_DE_MANTENIMIENTO</t>
  </si>
  <si>
    <t>CAYO BARTOLOME EDWIN VIDAL - SUPERVISOR DE MANTENIMIENTO</t>
  </si>
  <si>
    <t>MUÑOZ ARANDIA ERICK RICARDO - SUPERVISOR DE MANTENIMIENTO</t>
  </si>
  <si>
    <t>Calefactores Verticales, Calefactores de Radiación para techo/pared, Estufas</t>
  </si>
  <si>
    <t>POQUECHOQUE MENESES JHONNY - PLANIFICADOR SÉNIOR DE MANTENIMIENTO</t>
  </si>
  <si>
    <t>COLQUE FLORES HERIBERTO RAMIRO - SUPERVISOR DE OPERACIONES DEL SISTEMA DE CONTROL DE FLOTA</t>
  </si>
  <si>
    <t>MAMANI DONAIRE LUCRECIO - COORDINADOR DE DRENAJE</t>
  </si>
  <si>
    <t>QUISPE RAMOS EUSEBIO - SUPERVISOR SERVICIOS AUXILIARES</t>
  </si>
  <si>
    <t>LLAVE COLQUE ABRAHAM OVIDIO - COORDINADOR PRINCIPAL DE SISTEMAS DE AGUA</t>
  </si>
  <si>
    <t>SAAVEDRA ANTEZANA FERNANDO ANTONIO - SUPERINTENDENTE DE SERVICIOS TECNICOS</t>
  </si>
  <si>
    <t>5.9</t>
  </si>
  <si>
    <t>Se realiza las inspecciones mensuales a los calefactores verticales, de techo o estufas según formulario   1.02.P06.F72 Inspección de Calefactores Verticales, Techo y Estufas.</t>
  </si>
  <si>
    <t>05</t>
  </si>
  <si>
    <t>GERENCIA DE RELACIONES COMUNITARIAS</t>
  </si>
  <si>
    <t>5.10</t>
  </si>
  <si>
    <t>¿Los calefactores verticales, calefactores de radiación para techo, estufas se encuentran funcionando según sus capacidades definidas?.</t>
  </si>
  <si>
    <t>SUPERINTENDENCIA DE ALMACENES Y CONTROL DE INVENTARIOS</t>
  </si>
  <si>
    <t>15</t>
  </si>
  <si>
    <t>ARNJ</t>
  </si>
  <si>
    <t>5.11</t>
  </si>
  <si>
    <t xml:space="preserve"> Los calefactores verticales, estufas cuentan con su sistema de conexión eléctrica sin daños o deterioros.</t>
  </si>
  <si>
    <t>AGUIRRE ROMAY NORMA JEANNETH</t>
  </si>
  <si>
    <t>AGUIRRE ROMAY NORMA JEANNETH - ASISTENTE DE OFICINA EN POTOSÍ</t>
  </si>
  <si>
    <t>SUPERINTENDENCIA DE DESARROLLO SOSTENIBLE Y RELACIONES COMUNITARIAS</t>
  </si>
  <si>
    <t>SUPERVISIÓN DE RESPONSABILIDAD SOCIAL EXTERNA</t>
  </si>
  <si>
    <t>Cafeterías</t>
  </si>
  <si>
    <t>RESPONSABILIDAD SOCIAL EXTERNA</t>
  </si>
  <si>
    <t>002</t>
  </si>
  <si>
    <t>Banco Bisa</t>
  </si>
  <si>
    <t>(IRO) - SUSTANCIAS PELIGROSAS</t>
  </si>
  <si>
    <t>version4</t>
  </si>
  <si>
    <t>104 Taller Equipos Mina</t>
  </si>
  <si>
    <t>ALMACÉN MINA</t>
  </si>
  <si>
    <t>5.12</t>
  </si>
  <si>
    <t>¿El termo o caldera eléctrica se encuentra en un lugar seguro, sin riesgo de caídas o volcamiento, con su cable de alimentación en buenas condiciones, sin daños en su aislación, clavija o conexión al equipo?</t>
  </si>
  <si>
    <t>5.13</t>
  </si>
  <si>
    <t>¿Las zonas de almacenamiento de alimentos se encuentran limpias y ordenadas?, los alimentos o conservas están dentro su fecha de vencimiento</t>
  </si>
  <si>
    <t>5.14</t>
  </si>
  <si>
    <t>¿Las superficies de los muebles y mesones son lisas y de fácil limpieza?</t>
  </si>
  <si>
    <t>VALVERDE_ROJAS_JORGE_-_SUPERVISOR_DE_ALMACÉN_MINA</t>
  </si>
  <si>
    <t>SALVATIERRA_BAUTISTA_OSCAR_-_SUPERVISOR_OPERATIVO_DE_MANTENIMIENTO_CAMPAMENTO</t>
  </si>
  <si>
    <t>5.15</t>
  </si>
  <si>
    <t>¿Se cuenta con abastecimiento de agua ?</t>
  </si>
  <si>
    <t>SILES_MUÑOZ_HUMBERTO_PABLO_-_SUPERVISOR_SÉNIOR_DE_RELACIONES_LABORALES</t>
  </si>
  <si>
    <t>QUISPE_RAMOS_SANTOS_JAVIER_-_COORDINADOR_DE_OPERACIONES_DE_AERÓDROMO,_ASEO_Y_MANTENIMIENTO_PISTA</t>
  </si>
  <si>
    <t>RAMOS_GORDILLO_RENZO_MARTIN_-_SUPERVISOR_DE_PROYECTOS_Y_MODIFICACIONES</t>
  </si>
  <si>
    <t>5.16</t>
  </si>
  <si>
    <t>¿Los refrigeradores se encuentran limpios, sin alimentos vencidos o guardados por mucho tiempo?</t>
  </si>
  <si>
    <t>GOMEZ_ECHENIQUE_JORGE_JOHANN_-_SUPERVISOR_SÉNIOR_DE_MANTENIMIENTO_MINA_-_REPARACIÓN_DE_COMPONENTES</t>
  </si>
  <si>
    <t>Duchas, Vestidores y Servicios Higiénicos</t>
  </si>
  <si>
    <t>VIÑOLA_VARGAS_JOSE_LUIS_-_SUPERVISOR_DE_MANTENIMIENTO</t>
  </si>
  <si>
    <t>PONCE_ANTEQUERA_ALAIN_ROLANDO_-_INGENIERO_SÉNIOR_DE_CONFIABILIDAD_ELÉCTRICA</t>
  </si>
  <si>
    <t>CONDARCO FUENTES JHONY - SUPERVISOR DE MANTENIMIENTO</t>
  </si>
  <si>
    <t>NAVARRO LOROÑO JULIO DAVID - SUPERINTENDENTE DE MANTENIMIENTO</t>
  </si>
  <si>
    <t>QUINTEROS SAUCEDO ROBERTO - PLANIFICADOR SÉNIOR DE MANTENIMIENTO</t>
  </si>
  <si>
    <t>HUARACHI MAMANI NOEL OVIDIO - SUPERVISOR DE PERFORACIÓN Y VOLADURA</t>
  </si>
  <si>
    <t>5.17</t>
  </si>
  <si>
    <t>¿Existe registro de la sanitización o desinfección de las duchas, vestidores y servicios higiénicos (con certificado pegado en la instalación)?</t>
  </si>
  <si>
    <t>MAMANI MAMANI LUIS ORLANDO - SUPERVISOR DE CARGUÍO Y ACARREO</t>
  </si>
  <si>
    <t>MALLCU LIMACHE GUIDO - METALURGISTA DE PROCESO</t>
  </si>
  <si>
    <t>5.18</t>
  </si>
  <si>
    <t>VIDAL DIAZ SILVIA ABIGAIL - INGENIERO SENIOR DE CONTROL AVANZADO</t>
  </si>
  <si>
    <t>¿Los pisos de las duchas cuentan con sistema antideslizante para prevenir caídas?</t>
  </si>
  <si>
    <t>06</t>
  </si>
  <si>
    <t>GERENCIA DE SEGURIDAD INDUSTRIAL</t>
  </si>
  <si>
    <t>5.19</t>
  </si>
  <si>
    <t>¿Las duchas cuentan con cortinas de baño?</t>
  </si>
  <si>
    <t>SUPERINTENDENCIA DE EXPORTACIONES</t>
  </si>
  <si>
    <t>AEVH</t>
  </si>
  <si>
    <t>AIZA EUGENIO VICTOR HUMBERTO</t>
  </si>
  <si>
    <t>AIZA EUGENIO VICTOR HUMBERTO - ELECTROMECÁNICO DE MANTENIMIENTO MINA</t>
  </si>
  <si>
    <t>5.20</t>
  </si>
  <si>
    <t>¿Las duchas cuentan con cabezal de ducha para irrigar agua?</t>
  </si>
  <si>
    <t>003</t>
  </si>
  <si>
    <t>C &amp; C</t>
  </si>
  <si>
    <t>5.21</t>
  </si>
  <si>
    <t>¿Las duchas cuentan con sistemas de drenaje?</t>
  </si>
  <si>
    <t>(IRO) - TALUDES FRENTES DE CARGUÍO BANQUINAS</t>
  </si>
  <si>
    <t>version5</t>
  </si>
  <si>
    <t>5.22</t>
  </si>
  <si>
    <t>¿Los sistemas de drenaje se encuentran libres de elementos extraños que impidan el escurrimiento del agua?</t>
  </si>
  <si>
    <t>105 Almacenes Combustibles</t>
  </si>
  <si>
    <t>ALMACÉN PLANTA Y COMBUSTIBLES</t>
  </si>
  <si>
    <t>5.23</t>
  </si>
  <si>
    <t>¿Existe sistema de ventilación mediante extractores? (cuando aplique)</t>
  </si>
  <si>
    <t>UNZUETA_CARDOZO_ALEJANDRA_-_ESPECIALISTA_DE_COMEDOR_Y_ALIMENTOS</t>
  </si>
  <si>
    <t>5.24</t>
  </si>
  <si>
    <t>¿Existe agua caliente en todas las duchas del área?</t>
  </si>
  <si>
    <t>QUISPE_VALDA_ELIAS_-_COORDINADOR_TÉCNICO_OPERATIVO</t>
  </si>
  <si>
    <t>TRUJILLO_LLANO_LEONARDO_-_SUPERVISOR_SÉNIOR_DE_PROYECTOS_Y_MODIFICACIONES</t>
  </si>
  <si>
    <t>5.25</t>
  </si>
  <si>
    <t>¿Los sistemas de calentamiento del agua se encuentran en el exterior de la instalaciones?</t>
  </si>
  <si>
    <t>HUARACHI_LEAÑO_RICHARD_ANTONIO_-_SUPERVISOR_SÉNIOR_DE_MANTENIMIENTO_MINA_-_SOLDADURA_Y_FABRICACIÓN</t>
  </si>
  <si>
    <t>RAMIREZ_RIVEROS_RUPERTO_JUAN_-_ANALISTA_SÉNIOR_DE_CONFIABILIDAD</t>
  </si>
  <si>
    <t>LOPEZ QUIROGA ROSSIO KATTIA - SUPERVISOR DE MANTENIMIENTO</t>
  </si>
  <si>
    <t>5.26</t>
  </si>
  <si>
    <t>¿La descarga de las válvulas de alivio de los sistemas de calentamiento no están direccionadas hacia el tránsito de las personas?</t>
  </si>
  <si>
    <t>THOMPSON VELASQUEZ ERIK EDUARDO - SUPERINTENDENTE DE MANTENIMIENTO</t>
  </si>
  <si>
    <t>PEREZ BERNA GUALBERTO - SUPERVISOR GEOTECNISTA</t>
  </si>
  <si>
    <t>OROSCO ARANCIBIA JUAN CARLOS - SUPERVISOR DE CARGUÍO Y ACARREO</t>
  </si>
  <si>
    <t>SÁNCHEZ RIVERA LIMBERT - QUÍMICO SÉNIOR</t>
  </si>
  <si>
    <t>5.27</t>
  </si>
  <si>
    <t>¿El personal expuesto a agentes contaminantes cuenta con casillero que permite mantener separada la ropa limpia de la contaminada?</t>
  </si>
  <si>
    <t>VILLAFUERTE SUAREZ BERNABE - JEFE DE TURNO</t>
  </si>
  <si>
    <t>07</t>
  </si>
  <si>
    <t>GERENCIA DE SERVICIOS DE TRANSPORTE Y AVIACIÓN</t>
  </si>
  <si>
    <t>5.28</t>
  </si>
  <si>
    <t>¿Existen bancos o asientos adecuados y suficientes para el cambio de ropa?</t>
  </si>
  <si>
    <t>SUPERINTENDENCIA DE GESTION COMERCIAL</t>
  </si>
  <si>
    <t>ALBA</t>
  </si>
  <si>
    <t>ALARCON LEAÑO BLANCA ANDREA</t>
  </si>
  <si>
    <t>5.29</t>
  </si>
  <si>
    <t>¿La instalación cuenta con urinarios?</t>
  </si>
  <si>
    <t>ALARCÓN LEAÑO BLANCA ANDREA - ESPECIALISTA DE SEGUROS Y GARANTÍAS</t>
  </si>
  <si>
    <t>CORPORATIVA</t>
  </si>
  <si>
    <t>004</t>
  </si>
  <si>
    <t>Cayara</t>
  </si>
  <si>
    <t>5.30</t>
  </si>
  <si>
    <t>¿La instalación cuenta con lavamanos?</t>
  </si>
  <si>
    <t>(IRO) - TRABAJO ELÉCTRICO (Actos Sub Estándar)</t>
  </si>
  <si>
    <t>106 Surtidor Combustibles</t>
  </si>
  <si>
    <t>5.31</t>
  </si>
  <si>
    <t>¿La instalación cuenta con letrinas?</t>
  </si>
  <si>
    <t>ALMACENES Y CONTROL DE INVENTARIOS</t>
  </si>
  <si>
    <t>5.32</t>
  </si>
  <si>
    <t>¿Las letrinas están separadas por sexo?</t>
  </si>
  <si>
    <t>SOUKUP_MANRIQUEZ_LIBUSE_-_ESPECIALISTA_DE_DISPOSICIÓN_DE_MATERIALES</t>
  </si>
  <si>
    <t>5.33</t>
  </si>
  <si>
    <t>¿Las letrinas cuentan con puerta?</t>
  </si>
  <si>
    <t>LAZO_CAYO_BLADIMIR_BRAULIO_-_SUPERVISOR_SÉNIOR_DE_GESTIÓN_DE_MANTENIMIENTO_DE_VEHÍCULOS_Y_EQUIPOS_MÓVILES</t>
  </si>
  <si>
    <t>5.34</t>
  </si>
  <si>
    <t>¿Las letrinas se encuentran separadas por paredes o tabiques?</t>
  </si>
  <si>
    <t>MOLINA MORALES VLADIMIR DAVID - SUPERVISOR DE MANTENIMIENTO</t>
  </si>
  <si>
    <t>ROCHA CHUGAR GROVER ANGEL - SUPERVISOR DE TOPOGRAFIA</t>
  </si>
  <si>
    <t>5.35</t>
  </si>
  <si>
    <t>¿Los servicios higiénicos están a menos de 75 metros del punto de trabajo?</t>
  </si>
  <si>
    <t>QUISPE SALVATIERRA MARIN - COORDINADOR DE DRENAJE</t>
  </si>
  <si>
    <t>SEMPÉRTEGUI VELASCO GUSTAVO FERNANDO - QUÍMICO SÉNIOR</t>
  </si>
  <si>
    <t>08</t>
  </si>
  <si>
    <t>5.36</t>
  </si>
  <si>
    <t xml:space="preserve">¿Los Servicios Higiénicos están en cantidad suficiente en relación al número de trabajadores.(Ver Art. 353 Ley 16.998)?
Usar la Tabla para verificar cual aplica: ARTEFACTOS SANITARIOS SEGÚN NUMERO DE TRABAJADORES
</t>
  </si>
  <si>
    <t>GERENCIA DE PROYECTOS</t>
  </si>
  <si>
    <t>SUPERINTENDENCIA DE LOGÍSTICA</t>
  </si>
  <si>
    <t>09</t>
  </si>
  <si>
    <t>21</t>
  </si>
  <si>
    <t>AQMA</t>
  </si>
  <si>
    <t>ALARCON QUISPE MARIA ANTONIETA</t>
  </si>
  <si>
    <t>ALARCON QUISPE MARIA ANTONIETA - ANALISTA SÉNIOR CONTABLE</t>
  </si>
  <si>
    <t>GERENCIA DE FINANZAS</t>
  </si>
  <si>
    <t>SUPERINTENDENCIA DE CONTABILIDAD</t>
  </si>
  <si>
    <t>5.37</t>
  </si>
  <si>
    <t>SUPERVISIÓN DE CONTABILIDAD Y CUENTAS POR COBRAR</t>
  </si>
  <si>
    <t>¿Cuentan los Servicios Higiénicos con papel higiénico y basurero?</t>
  </si>
  <si>
    <t>CONTABILIDAD Y CUENTAS POR COBRAR</t>
  </si>
  <si>
    <t>144</t>
  </si>
  <si>
    <t>COINTAR</t>
  </si>
  <si>
    <t>5.38</t>
  </si>
  <si>
    <t>¿Se encuentran separados por tabiques a distancia no menor a 60 cm los urinarios de canal continuo?</t>
  </si>
  <si>
    <t>(IRO) - TRABAJO EN ALTURA</t>
  </si>
  <si>
    <t>107 Polvorín</t>
  </si>
  <si>
    <t>APLICACIONES DE TI</t>
  </si>
  <si>
    <t>5.39</t>
  </si>
  <si>
    <t>¿Existen elementos para el secado de manos, como toallas de papel o calefactores?</t>
  </si>
  <si>
    <t>5.40</t>
  </si>
  <si>
    <t>¿En la zona de aseo del personal existe jabón?</t>
  </si>
  <si>
    <t>NAVARRO_CALDERÓN_DANIEL_IVÁN_-_SUPERVISOR_DE_MANTENIMIENTO_MINA_-_PLANIFICACIÓN,_PROGRAMACIÓN_Y_CONFIABILIDAD</t>
  </si>
  <si>
    <t>PACO RAMOS ERICK MIROSLAV - SUPERVISOR DE MANTENIMIENTO</t>
  </si>
  <si>
    <t>RODRIGUEZ ARCE ANTONIO - SUPERVISOR SENIOR DE PERFORACIÓN Y VOLADURA</t>
  </si>
  <si>
    <t>6.- SEÑALIZACIÓN</t>
  </si>
  <si>
    <t>TABOADA PRUDENCIO MARCELINO - JEFE DE LABORATORIO QUÍMICO</t>
  </si>
  <si>
    <t>SUPERINTENDENCIA DE MANEJO DE MATERIALES</t>
  </si>
  <si>
    <t>17</t>
  </si>
  <si>
    <t>AUFJ</t>
  </si>
  <si>
    <t>ALBA URQUIZO FERNANDO JUSTO</t>
  </si>
  <si>
    <t>ALBA URQUIZO FERNANDO JUSTO - SUPERVISOR DE OPERACIONES AÉREAS</t>
  </si>
  <si>
    <t>SUPERINTENDENCIA DE SERVICIOS DE AVIACIÓN</t>
  </si>
  <si>
    <t>SUPERVISIÓN SÉNIOR DE SERVICIOS DE AVIACIÓN</t>
  </si>
  <si>
    <t>SUPERVISIÓN DE OPERACIONES AÉREAS</t>
  </si>
  <si>
    <t>SERVICIOS DE AVIACIÓN</t>
  </si>
  <si>
    <t>005</t>
  </si>
  <si>
    <t>Comser</t>
  </si>
  <si>
    <t>(IRO) - TRABAJOS EN CALIENTE</t>
  </si>
  <si>
    <t>108 Almacenes Materiales</t>
  </si>
  <si>
    <t>CAMPAMENTO</t>
  </si>
  <si>
    <t>6.1</t>
  </si>
  <si>
    <t>¿Son visibles las señalizaciones/letreros/carteles sin obstrucciones para el personal ubicado en el área?</t>
  </si>
  <si>
    <t>OSSIO_MEZA_EVANS_-_SUPERVISOR_DE_MANTENIMIENTO_MINA</t>
  </si>
  <si>
    <t>RUBIN DE CELIS CANDIA MIGUEL MARTIN - SUPERINTENDENTE DE MANTENIMIENTO</t>
  </si>
  <si>
    <t>6.2</t>
  </si>
  <si>
    <t>¿Las señalizaciones para el personal tienen mensajes claros y entendibles ? Acorde a la RM 849/2014</t>
  </si>
  <si>
    <t>10</t>
  </si>
  <si>
    <t>GERENCIA DE TI, TO Y SISTEMA DE GESTIÓN</t>
  </si>
  <si>
    <t>6.3</t>
  </si>
  <si>
    <t>¿Los letreros/señalizaciones/carteles se encuentran limpios y en buen estado ?</t>
  </si>
  <si>
    <t>SUPERINTENDENCIA DE MEDIO AMBIENTE</t>
  </si>
  <si>
    <t>AMGI</t>
  </si>
  <si>
    <t>ALBIS MANCILLA GEOVANNY ISRAEL</t>
  </si>
  <si>
    <t>6.4</t>
  </si>
  <si>
    <t>¿Se señalizan correctamente todos los tableros eléctricos (riesgo de choque eléctrico)?</t>
  </si>
  <si>
    <t>ALBIS MANCILLA GEOVANNY ISRAEL - ANALISTA SENIOR EN OBRAS DE INFRAESTRUCTURA PARA EL CIERRE DE PROCESOS</t>
  </si>
  <si>
    <t>006</t>
  </si>
  <si>
    <t>6.5</t>
  </si>
  <si>
    <t>¿Existe la señalización  del equipo de protección personal (EPP) que se requieren en las áreas de trabajo?</t>
  </si>
  <si>
    <t>Cooperativa 11 de Julio</t>
  </si>
  <si>
    <t>(IRO) - TRABAJOS EN ESPACIOS CONFINADOS</t>
  </si>
  <si>
    <t>6.6</t>
  </si>
  <si>
    <t>¿Se utiliza señalización temporal durante la limpieza de pisos u otras tareas que lo requieran?</t>
  </si>
  <si>
    <t>109 Playas de Almacenamiento</t>
  </si>
  <si>
    <t>CAPACITACIÓN</t>
  </si>
  <si>
    <t>6.7</t>
  </si>
  <si>
    <t>¿Todos los materiales y sustancias peligrosas cuentan con su rotulado, señalización y rombo NFPA 704, etc.?</t>
  </si>
  <si>
    <t>6.8</t>
  </si>
  <si>
    <t>¿Los estantes u otros muebles que soportan cargas cuentan con la señalización de carga máxima de almacenaje por bandeja o repisa?</t>
  </si>
  <si>
    <t>6.9</t>
  </si>
  <si>
    <t>¿Están señalizados los desniveles, partes salientes, partes bajas, etc.?</t>
  </si>
  <si>
    <t>RAMIREZ_MENDEZ_VICTOR_HUGO_-_SUPERVISOR_ENCARGADO_DE_REPARACIÓN_DE_COMPONENTES_MANTENIMIENTO_MINA</t>
  </si>
  <si>
    <t>7.- VEHÍCULOS/ ESTACIONAMIENTOS</t>
  </si>
  <si>
    <t>YUCRA YUCRA HAROLD ZACARIAS - SUPERVISOR DE MANTENIMIENTO</t>
  </si>
  <si>
    <t>SUPERINTENDENCIA DE CAMPAMENTO</t>
  </si>
  <si>
    <t>AMDC</t>
  </si>
  <si>
    <t>ALFARO MIRANDA DAYSI CINTHIA</t>
  </si>
  <si>
    <t>ALFARO MIRANDA DAYSI CINTHIA - SUPERINTENDENTE DE RELACIONES INSTITUCIONALES</t>
  </si>
  <si>
    <t>RELACIONES INSTITUCIONALES</t>
  </si>
  <si>
    <t>7.1</t>
  </si>
  <si>
    <t>007</t>
  </si>
  <si>
    <t>¿Sus herramientas manuales se encuentran inspeccionadas y codificadas (Cinta del trimestre)?</t>
  </si>
  <si>
    <t>Cooperativa Nor Lipez</t>
  </si>
  <si>
    <t>(IRO) - TRABAJOS EN EXCAVACIONES</t>
  </si>
  <si>
    <t>7.2</t>
  </si>
  <si>
    <t>¿Cuenta con barra antivuelco en las camionetas?</t>
  </si>
  <si>
    <t>110 Almacenes Reactivos</t>
  </si>
  <si>
    <t>CARGUÍO Y ACARREO</t>
  </si>
  <si>
    <t>7.3</t>
  </si>
  <si>
    <t>¿Tiene la identificación como un código interno de MSC o el logo de la empresa? (para contratistas el código interno proporcionado por MSC.</t>
  </si>
  <si>
    <t>7.4</t>
  </si>
  <si>
    <t>¿En caso de transportar sustancias peligrosas está señalizada según norma?</t>
  </si>
  <si>
    <t>TINTAYA_QUENTA_JUAN_ROBERTO_-_SUPERVISOR_SÉNIOR_DE_MANTENIMIENTO_MINA</t>
  </si>
  <si>
    <t>7.5</t>
  </si>
  <si>
    <t>¿Cuenta con cuñas para asegurar el vehículo?</t>
  </si>
  <si>
    <t>7.6</t>
  </si>
  <si>
    <t>¿Utiliza las cuñas al estacionarse en una pendiente?</t>
  </si>
  <si>
    <t>SUPERINTENDENCIA DE RECURSOS HUMANOS</t>
  </si>
  <si>
    <t>7.7</t>
  </si>
  <si>
    <t>¿Está equipado con su pértiga y baliza para ingresar a mina, cuando aplique?</t>
  </si>
  <si>
    <t>AA</t>
  </si>
  <si>
    <t>ALI AYDEE</t>
  </si>
  <si>
    <t>ALI AYDEE - ENCARGADO DE PROYECTOS SOCIALES</t>
  </si>
  <si>
    <t>7.8</t>
  </si>
  <si>
    <t>SUPERVISIÓN DE RELACIONES COMUNITARIAS</t>
  </si>
  <si>
    <t>¿Tiene su letrero  de identificación con código interno de MSC (colocado en la barra antivuelco)  para trabajos en mina? (para contratistas es el código interno proporcionado por MSC)</t>
  </si>
  <si>
    <t>RELACIONES COMUNITARIAS</t>
  </si>
  <si>
    <t>008</t>
  </si>
  <si>
    <t>Cooperativa San Cristóbal de Lípez</t>
  </si>
  <si>
    <t>(IRO) - TRABAJO ELÉCTRICO (Condiciones Sub Estándar)</t>
  </si>
  <si>
    <t>7.9</t>
  </si>
  <si>
    <t>¿El vehículo cuenta con un extintor y se encuentra en buen estado?</t>
  </si>
  <si>
    <t>111 Deposito de Material estéril</t>
  </si>
  <si>
    <t>CONTABILIDAD</t>
  </si>
  <si>
    <t>7.10</t>
  </si>
  <si>
    <t>¿La alarma de retroceso está operativa?</t>
  </si>
  <si>
    <t>7.11</t>
  </si>
  <si>
    <t>¿Todos los cinturones de seguridad se encuentran en condiciones de uso?</t>
  </si>
  <si>
    <t>VARGAS_SALAZAR_MARTIN_JORGE_-_SUPERVISOR_DE_MANTENIMIENTO_MINA</t>
  </si>
  <si>
    <t>7.12</t>
  </si>
  <si>
    <t>¿Cuenta con los últimos tres (3) formularios de Verificación de Vehículos y Equipos Móviles 3.04.P48.F03?</t>
  </si>
  <si>
    <t>7.13</t>
  </si>
  <si>
    <t>¿Dentro del vehículo se observa limpieza, sin botellas de agua vacías, sin desechos u otros residuos, etc.?</t>
  </si>
  <si>
    <t>13</t>
  </si>
  <si>
    <t>GERENCIA DE OPERACIONES MINA</t>
  </si>
  <si>
    <t>7.14</t>
  </si>
  <si>
    <t>¿Areas de estacionamiento cuentan con señalización de "Estacionamiento en Reversa"?</t>
  </si>
  <si>
    <t>SUPERINTENDENCIA SÉNIOR DE SALUD</t>
  </si>
  <si>
    <t>14</t>
  </si>
  <si>
    <t>40</t>
  </si>
  <si>
    <t>7.15</t>
  </si>
  <si>
    <t>ACSA</t>
  </si>
  <si>
    <t>¿Los topes metálicos, neumáticos reutilizados, Hº prefabricado están pintados de amarillo y negro?</t>
  </si>
  <si>
    <t>ALI CALCINA SAUL ALBERTO</t>
  </si>
  <si>
    <t>ALI CALCINA SAUL ALBERTO - OFICIAL DE AISLAMIENTO</t>
  </si>
  <si>
    <t>GERENCIA DE OPERACIONES PLANTA</t>
  </si>
  <si>
    <t>SUPERINTENDENCIA DE OPERACIONES PLANTA</t>
  </si>
  <si>
    <t>OPERACIONES PLANTA</t>
  </si>
  <si>
    <t>7.16</t>
  </si>
  <si>
    <t xml:space="preserve">¿Los topes traseros se encuentran libres de material colmatado?. </t>
  </si>
  <si>
    <t>009</t>
  </si>
  <si>
    <t>Emp. Trans. Mackay Taborga</t>
  </si>
  <si>
    <t>STOP</t>
  </si>
  <si>
    <t>112 Camino de Acarreo</t>
  </si>
  <si>
    <t>CONCLUSIONES y RECOMENDACIONES DEL EQUIPO DE INSPECCIÓN</t>
  </si>
  <si>
    <t>1.  Aspectos positivos encontrados:</t>
  </si>
  <si>
    <t>SUPERVISIÓN SENIOR DE SEGURIDAD FÍSICA</t>
  </si>
  <si>
    <t>ACM</t>
  </si>
  <si>
    <t>ALI COLQUE MARINA</t>
  </si>
  <si>
    <t>ALÍ COLQUE MARINA - ASISTENTE DE COMEDOR Y ALIMENTOS</t>
  </si>
  <si>
    <t>2. Oportunidades de mejora encontrados:</t>
  </si>
  <si>
    <t>ENTEL</t>
  </si>
  <si>
    <t>ISE</t>
  </si>
  <si>
    <t>113 Camino de acceso</t>
  </si>
  <si>
    <t>CONTROL DE CALIDAD DE ALMACENES</t>
  </si>
  <si>
    <t>Aclaraciones</t>
  </si>
  <si>
    <t>AGIL</t>
  </si>
  <si>
    <t>ALI GONZALES ISAAC LEONCIO</t>
  </si>
  <si>
    <t>ALÍ GONZÁLES ISAAC LEONCIO - INSTRUCTOR DE ENTRENAMIENTO MINA</t>
  </si>
  <si>
    <t>OPERACIONES MINA</t>
  </si>
  <si>
    <t>011</t>
  </si>
  <si>
    <t>ESMI</t>
  </si>
  <si>
    <r>
      <rPr>
        <sz val="12"/>
        <color rgb="FF366092"/>
        <rFont val="Calibri"/>
      </rPr>
      <t xml:space="preserve">1.- La inspección tiene una duración </t>
    </r>
    <r>
      <rPr>
        <b/>
        <sz val="12"/>
        <color rgb="FF366092"/>
        <rFont val="Calibri"/>
      </rPr>
      <t>máxima de 2 horas</t>
    </r>
    <r>
      <rPr>
        <sz val="12"/>
        <color rgb="FF366092"/>
        <rFont val="Calibri"/>
      </rPr>
      <t xml:space="preserve"> e incluye la elaboración del Plan de Acción en el formulario 1.02.P06.F41 Planilla de Seguimientos.
2.- Una vez finalizada la inspección, el equipo de Inspección realizará la evaluación y definirá el plan de acción de forma inmediata.
3.- En caso de identificar un riesgo </t>
    </r>
    <r>
      <rPr>
        <b/>
        <sz val="12"/>
        <color rgb="FF366092"/>
        <rFont val="Calibri"/>
      </rPr>
      <t>INACEPTABLE</t>
    </r>
    <r>
      <rPr>
        <sz val="12"/>
        <color rgb="FF366092"/>
        <rFont val="Calibri"/>
      </rPr>
      <t xml:space="preserve"> durante la actividad inspeccionada, se debe detener el trabajo de inmediato hasta minimizar el riesgo o corregir la observación.
4.- El equipo de inspección firmará la planilla en la sección "EQUIPO DE INSPECCIÓN".
5.- El Supervisor de área responsable de la inspección, enviará en formato digital formulario de inspección ISOP y el plan de Acción en la Planilla de Seguimiento 1.02.P06.F41 (Llenados correctamente) al Superintendente de su área y al área de Seguridad Industrial (correo Seguridad.Industrial@minerasancristobal.com) para su seguimiento.</t>
    </r>
  </si>
  <si>
    <t>CAPACITACION</t>
  </si>
  <si>
    <t>114 Zonas de Acopio Mineral</t>
  </si>
  <si>
    <t>CONTROL DE INVENTARIOS</t>
  </si>
  <si>
    <t>16</t>
  </si>
  <si>
    <t>SUPERINTENDENCIA DE SEGURIDAD INDUSTRIAL</t>
  </si>
  <si>
    <t>AP</t>
  </si>
  <si>
    <t>ALI PABLO</t>
  </si>
  <si>
    <t>ALI PABLO - CAPATAZ DE FILTROS Y CARGUÍO</t>
  </si>
  <si>
    <t>012</t>
  </si>
  <si>
    <t>Eurocom</t>
  </si>
  <si>
    <t>PLSEG (Planilla Seguimiento)</t>
  </si>
  <si>
    <t>115 Comedores</t>
  </si>
  <si>
    <t>33</t>
  </si>
  <si>
    <t>ASJA</t>
  </si>
  <si>
    <t>ALI SALGADO JHONNY AGUSTIN</t>
  </si>
  <si>
    <t>SUPERINTENDENCIA DE MANTENIMIENTO - MEC. PLTA. FLOT., FILTROS, TALLER GRAL. Y RH</t>
  </si>
  <si>
    <t>SUPERVISIÓN DE MANTENIMIENTO -  FILTRACIÓN Y CARGUÍO</t>
  </si>
  <si>
    <t>MEC. PLTA. FLOT., FILTROS, TALLER GRAL. Y RH</t>
  </si>
  <si>
    <t>013</t>
  </si>
  <si>
    <t>Fanexa</t>
  </si>
  <si>
    <t>INCIDENTES</t>
  </si>
  <si>
    <t>116 Cafeterías</t>
  </si>
  <si>
    <t>DESARROLLO ORGANIZACIONAL Y BIENESTAR LABORAL</t>
  </si>
  <si>
    <t>18</t>
  </si>
  <si>
    <t>SUPERINTENDENCIA DE SERVICIOS DE TRANSPORTE DE PERSONAL</t>
  </si>
  <si>
    <t>36</t>
  </si>
  <si>
    <t>AYF</t>
  </si>
  <si>
    <t>ALI YAÑEZ FREDDY</t>
  </si>
  <si>
    <t>ALI YAÑEZ FREDDY - CAPATAZ OPERATIVO MINA</t>
  </si>
  <si>
    <t>SUPERINTENDENCIA DE OPERACIONES MINA</t>
  </si>
  <si>
    <t>SUPERVISIÓN DE CARGUÍO Y ACARREO</t>
  </si>
  <si>
    <t>014</t>
  </si>
  <si>
    <t>FCA</t>
  </si>
  <si>
    <t>117 Oficinas</t>
  </si>
  <si>
    <t>DESARROLLO SOSTENIBLE</t>
  </si>
  <si>
    <t>19</t>
  </si>
  <si>
    <t>SUPERINTENDENCIA ADMINISTRATIVO DE OPERACIONES</t>
  </si>
  <si>
    <t>ARMA</t>
  </si>
  <si>
    <t>ALIAGA RODRIGUEZ MARIO ALBERTO</t>
  </si>
  <si>
    <t>015</t>
  </si>
  <si>
    <t>Finning</t>
  </si>
  <si>
    <t>118 Estacionamiento de Vehículos</t>
  </si>
  <si>
    <t>DESARROLLO SOSTENIBLE Y RELACIONES COMUNITARIAS</t>
  </si>
  <si>
    <t>20</t>
  </si>
  <si>
    <t>SUPERINTENDENCIA DE INGENIERÍA PLANTA</t>
  </si>
  <si>
    <t>35</t>
  </si>
  <si>
    <t>AGA</t>
  </si>
  <si>
    <t>ALY GONZALES ALBERTO</t>
  </si>
  <si>
    <t>ALY GONZÁLES ALBERTO - COORDINADOR DE PERFORACIÓN Y VOLADURA</t>
  </si>
  <si>
    <t>SUPERINTENDENCIA SÉNIOR DE INGENIERÍA MINA</t>
  </si>
  <si>
    <t>SUPERVISIÓN SÉNIOR DE PERFORACIÓN Y VOLADURA</t>
  </si>
  <si>
    <t>PERFORACIÓN Y VOLADURA</t>
  </si>
  <si>
    <t>016</t>
  </si>
  <si>
    <t>Fundación San Cristóbal</t>
  </si>
  <si>
    <t>119 Casa de Cambio</t>
  </si>
  <si>
    <t>ELECTRICO DE SEGURIDAD INDUSTRIAL/ EMERGENCIAS</t>
  </si>
  <si>
    <t>ARCF</t>
  </si>
  <si>
    <t>ANAYA RODRIGUEZ CRISTHIAN FRANKLIN</t>
  </si>
  <si>
    <t>ANAYA RODRIGUEZ CRISTHIAN FRANKLIN - SUPERVISOR DE DISEÑO Y CONSTRUCCIÓN</t>
  </si>
  <si>
    <t>SUPERVISIÓN SÉNIOR DE PROYECTOS Y MODIFICACIONES</t>
  </si>
  <si>
    <t>PROYECTOS Y MODIFICACIONES</t>
  </si>
  <si>
    <t>017</t>
  </si>
  <si>
    <t>Geotec</t>
  </si>
  <si>
    <t>120 Truck Shop</t>
  </si>
  <si>
    <t>EXPORTACIONES</t>
  </si>
  <si>
    <t>22</t>
  </si>
  <si>
    <t>SUPERINTENDENCIA DE IMPUESTOS</t>
  </si>
  <si>
    <t>ALWE</t>
  </si>
  <si>
    <t>ANDRADE LANZA WILDER ELOY</t>
  </si>
  <si>
    <t>ANDRADE LANZA WILDER ELOY - SUPERVISOR SÉNIOR DE DESARROLLO ORGANIZACIONAL Y BIENESTAR LABORAL</t>
  </si>
  <si>
    <t>SUPERVISIÓN SÉNIOR DE DESARROLLO ORGANIZACIONAL Y BIENESTAR LABORAL</t>
  </si>
  <si>
    <t>142</t>
  </si>
  <si>
    <t>GEO AGUAS</t>
  </si>
  <si>
    <t>121 Exploraciones Geológica</t>
  </si>
  <si>
    <t>FINANZAS</t>
  </si>
  <si>
    <t>23</t>
  </si>
  <si>
    <t>SUPERINTENDENCIA DE PLANIFICACIÓN FINANCIERA (FP&amp;A)</t>
  </si>
  <si>
    <t>ATMP</t>
  </si>
  <si>
    <t>ANTEZANA TORREZ MARCO PAUL</t>
  </si>
  <si>
    <t>ANTEZANA TORREZ MARCO PAUL - GERENTE DE SEGURIDAD INDUSTRIAL</t>
  </si>
  <si>
    <t>018</t>
  </si>
  <si>
    <t>Hexagon Inc.</t>
  </si>
  <si>
    <t>122 Campo Marina</t>
  </si>
  <si>
    <t>GEOLOGÍA</t>
  </si>
  <si>
    <t>24</t>
  </si>
  <si>
    <t>SUPERINTENDENCIA DE SISTEMA DE GESTIÓN</t>
  </si>
  <si>
    <t>AMJF</t>
  </si>
  <si>
    <t>ANZA MORALES JORGE FELIX</t>
  </si>
  <si>
    <t>ANZA MORALES JORGE FELIX - INGENIERO DE HIGIENE INDUSTRIAL</t>
  </si>
  <si>
    <t>SEGURIDAD INDUSTRIAL</t>
  </si>
  <si>
    <t>019</t>
  </si>
  <si>
    <t>INSEIN SRL</t>
  </si>
  <si>
    <t>123 Campo Roma</t>
  </si>
  <si>
    <t>GEOTECNIA</t>
  </si>
  <si>
    <t>25</t>
  </si>
  <si>
    <t>SUPERINTENDENCIA DE TI</t>
  </si>
  <si>
    <t>AQBR</t>
  </si>
  <si>
    <t>APAZA QUEVEDO BORIS RODRIGO</t>
  </si>
  <si>
    <t>APAZA QUEVEDO BORIS RODRIGO - ANALISTA SÉNIOR DE GESTIÓN DE INFORMACIÓN EN SALUD</t>
  </si>
  <si>
    <t>SALUD</t>
  </si>
  <si>
    <t>020</t>
  </si>
  <si>
    <t>Jayula</t>
  </si>
  <si>
    <t>124 Antenas Comunicación Dispach</t>
  </si>
  <si>
    <t>26</t>
  </si>
  <si>
    <t>SUPERINTENDENCIA DE TO</t>
  </si>
  <si>
    <t>AQCA</t>
  </si>
  <si>
    <t>ARAMAYO QUIROGA CARLOS ANDRES</t>
  </si>
  <si>
    <t>ARAMAYO QUIROGA CARLOS ANDRES - SUPERVISOR DE SERVICIOS Y PROGRAMAS DE SALUD</t>
  </si>
  <si>
    <t>SUPERVISIÓN DE SERVICIOS Y PROGRAMAS DE SALUD</t>
  </si>
  <si>
    <t>SERVICIOS Y PROGRAMAS DE SALUD</t>
  </si>
  <si>
    <t>021</t>
  </si>
  <si>
    <t>Juan Carlos Huaranca Ariste (Consultor)</t>
  </si>
  <si>
    <t>125 Chancador Parker</t>
  </si>
  <si>
    <t>27</t>
  </si>
  <si>
    <t>SUPERVISIÓN DE SEGURIDAD DE LA INFORMACIÓN (CISO)</t>
  </si>
  <si>
    <t>ACMA</t>
  </si>
  <si>
    <t>ARANDIA COCA MARCO ANTONIO</t>
  </si>
  <si>
    <t>MEC. PLTA. CHANCADO, MOLIENDA Y LUBRICACIÓN</t>
  </si>
  <si>
    <t>022</t>
  </si>
  <si>
    <t>Komatsu</t>
  </si>
  <si>
    <t>126 Plataforma 3 Gigantes</t>
  </si>
  <si>
    <t>SUPERINTENDENCIA DE GESTIÓN DE RELAVES Y SERVICIOS AUXILIARES</t>
  </si>
  <si>
    <t>ASJC</t>
  </si>
  <si>
    <t>ARANIBAR SAPIENCIA JUAN CARLOS</t>
  </si>
  <si>
    <t>ARANIBAR SAPIENCIA JUAN CARLOS - ESPECIALISTA EN GESTIÓN DE DATOS Y AUTOMATIZACIÓN</t>
  </si>
  <si>
    <t>138</t>
  </si>
  <si>
    <t>KLIMAX LTDA</t>
  </si>
  <si>
    <t>127 Área de Perforación</t>
  </si>
  <si>
    <t>29</t>
  </si>
  <si>
    <t>SUPERINTENDENTE DE MANTENIMIENTO MINA PLANIFICACIÓN Y PROGRAMACIÓN</t>
  </si>
  <si>
    <t>AEOB</t>
  </si>
  <si>
    <t>ARION ESCOBAR OMAR BERNARDO</t>
  </si>
  <si>
    <t>ARIÓN ESCOBAR OMAR BERNARDO - COORDINADOR PRINCIPAL DE MANTENIMIENTO MINA</t>
  </si>
  <si>
    <t>SUPERVISIÓN DE MANTENIMIENTO MINA - ACARREO</t>
  </si>
  <si>
    <t>023</t>
  </si>
  <si>
    <t>LEDUC</t>
  </si>
  <si>
    <t>128 Bahías Mina</t>
  </si>
  <si>
    <t>SUPERINTENDENCIA DE SERVICIOS TÉCNICOS</t>
  </si>
  <si>
    <t>30</t>
  </si>
  <si>
    <t>SUPERINTENDENCIA DE MANTENIMIENTO -  ELÉCTRICO E INSTRUMENTACIÓN PLANTA</t>
  </si>
  <si>
    <t>AANC</t>
  </si>
  <si>
    <t>ARMATA AGREDA NILDA CARMEN</t>
  </si>
  <si>
    <t>ARMATA AGREDA NILDA CARMEN - ASISTENTE EJECUTIVA</t>
  </si>
  <si>
    <t>RELACIONES PÚBLICAS</t>
  </si>
  <si>
    <t>024</t>
  </si>
  <si>
    <t>Maldonado Exploraciones</t>
  </si>
  <si>
    <t>129 Taller Soldadura Mina</t>
  </si>
  <si>
    <t>31</t>
  </si>
  <si>
    <t>SUPERINTENDENCIA DE MANTENIMIENTO - INGENIERÍA DE CONFIABILIDAD</t>
  </si>
  <si>
    <t>ALE</t>
  </si>
  <si>
    <t>AYALA LLAVE EDWIN</t>
  </si>
  <si>
    <t>AYALA LLAVE EDWIN - ELECTROMECÁNICO DE MANTENIMIENTO MINA A</t>
  </si>
  <si>
    <t>145</t>
  </si>
  <si>
    <t>MB White Metals Service &amp; Constructions Ltda.</t>
  </si>
  <si>
    <t>20 AREA PROCESOS</t>
  </si>
  <si>
    <t>AVDM</t>
  </si>
  <si>
    <t>AYALA VENEROS DOUGLAS MAURICIO</t>
  </si>
  <si>
    <t>AYALA VENEROS DOUGLAS MAURICIO - SUPERINTENDENTE DE SERVICIOS DE TRANSPORTE DE PERSONAL</t>
  </si>
  <si>
    <t>SERVICIOS DE TRANSPORTE DE PERSONAL</t>
  </si>
  <si>
    <t>025</t>
  </si>
  <si>
    <t>MegaMaquinaria</t>
  </si>
  <si>
    <t>201 Chancadora Primario</t>
  </si>
  <si>
    <t>AFJL</t>
  </si>
  <si>
    <t>AYARACHI FERNANDEZ JOSE LUIS</t>
  </si>
  <si>
    <t>AYARACHI FERNÁNDEZ JOSE LUIS - PLANIFICADOR DE MINA A LARGO PLAZO</t>
  </si>
  <si>
    <t>INGENIERÍA MINA</t>
  </si>
  <si>
    <t>026</t>
  </si>
  <si>
    <t>MELBI</t>
  </si>
  <si>
    <t>202 Separación de Finos</t>
  </si>
  <si>
    <t>AFO</t>
  </si>
  <si>
    <t>AYARACHI FERNANDEZ ORLANDO</t>
  </si>
  <si>
    <t>027</t>
  </si>
  <si>
    <t>Metso:Outotec</t>
  </si>
  <si>
    <t>203 Correa Transportadora CV 3</t>
  </si>
  <si>
    <t>ARJA</t>
  </si>
  <si>
    <t>AYAVIRI RAMOS JOSE ANGEL</t>
  </si>
  <si>
    <t>AYAVIRI RAMOS JOSÉ ANGEL - ELECTROMECÁNICO DE MANTENIMIENTO MINA B</t>
  </si>
  <si>
    <t>141</t>
  </si>
  <si>
    <t>MIRIAN QUISPE</t>
  </si>
  <si>
    <t>204 Otras Correas Transportadoras</t>
  </si>
  <si>
    <t>ARVP</t>
  </si>
  <si>
    <t>AZURDUY ROSSEL VLADIMIR PEDRO</t>
  </si>
  <si>
    <t>AZURDUY ROSSEL VLADIMIR PEDRO - SUPERVISOR DE DESARROLLO SOSTENIBLE</t>
  </si>
  <si>
    <t>SUPERVISIÓN DE DESARROLLO SOSTENIBLE</t>
  </si>
  <si>
    <t>028</t>
  </si>
  <si>
    <t>NEUMA BOLIVIA S.R.L.</t>
  </si>
  <si>
    <t>205 Pila de Acopio DOMO</t>
  </si>
  <si>
    <t>37</t>
  </si>
  <si>
    <t>SUPERINTENDENCIA DE SERVICIOS DE EXPLORACIÓN</t>
  </si>
  <si>
    <t>BRA</t>
  </si>
  <si>
    <t>BADEA ROMERO ALEXANDRO</t>
  </si>
  <si>
    <t>BADEA ROMERO ALEXANDRO - SUPERINTENDENTE SÉNIOR DE INGENIERÍA Y SEGURIDAD DE EQUIPOS MÓVILES</t>
  </si>
  <si>
    <t>INGENIERÍA Y SEGURIDAD DE EQUIPOS MÓVILES</t>
  </si>
  <si>
    <t>029</t>
  </si>
  <si>
    <t>NEWREST</t>
  </si>
  <si>
    <t>206 Stock de Reserva</t>
  </si>
  <si>
    <t>38</t>
  </si>
  <si>
    <t>SUPERVISIÓN DE ENTRENAMIENTO MINA</t>
  </si>
  <si>
    <t>BPJC</t>
  </si>
  <si>
    <t>BALBOA PATTY JUAN CARLOS</t>
  </si>
  <si>
    <t>BALBOA PATTY JUAN CARLOS - ESPECIALISTA SOLDADOR/TUBERO</t>
  </si>
  <si>
    <t>SUPERVISIÓN DE MANTENIMIENTO - GENERAL Y SOLDADURA</t>
  </si>
  <si>
    <t>MANTENIMIENTO - GENERAL Y SOLDADURA</t>
  </si>
  <si>
    <t>030</t>
  </si>
  <si>
    <t>OPEC</t>
  </si>
  <si>
    <t>207 Túnel transportación</t>
  </si>
  <si>
    <t>39</t>
  </si>
  <si>
    <t>BMA</t>
  </si>
  <si>
    <t>BALCAZAR MANUEL ALEJANDRO</t>
  </si>
  <si>
    <t>BALCAZAR MANUEL ALEJANDRO - ANALISTA SÉNIOR DE CONTROL DE INVENTARIOS</t>
  </si>
  <si>
    <t>SUPERVISIÓN DE CONTROL DE INVENTARIOS</t>
  </si>
  <si>
    <t>031</t>
  </si>
  <si>
    <t>REMSA</t>
  </si>
  <si>
    <t>208 Lechada de Cal</t>
  </si>
  <si>
    <t>GESTION COMERCIAL</t>
  </si>
  <si>
    <t>BHJC</t>
  </si>
  <si>
    <t>BALDERRAMA HINOJOSA JUAN CARLOS</t>
  </si>
  <si>
    <t>BALDERRAMA HINOJOSA JUAN CARLOS - COORDINADOR GENERAL DE MANTENIMIENTO DE VEHÍCULOS Y EQUIPOS MÓVILES</t>
  </si>
  <si>
    <t>SUPERVISIÓN SÉNIOR DE GESTIÓN DE MANTENIMIENTO DE VEHÍCULOS Y EQUIPOS MÓVILES</t>
  </si>
  <si>
    <t>GESTIÓN DE MANTENIMIENTO DE VEHÍCULOS Y EQUIPOS MÓVILES</t>
  </si>
  <si>
    <t>137</t>
  </si>
  <si>
    <t>REMAFIL</t>
  </si>
  <si>
    <t>209 Molienda</t>
  </si>
  <si>
    <t>41</t>
  </si>
  <si>
    <t>BZBM</t>
  </si>
  <si>
    <t>BALDERRAMA ZARATE BORIZ MARCELO</t>
  </si>
  <si>
    <t>SERVICIOS DE EXPLORACIÓN</t>
  </si>
  <si>
    <t>032</t>
  </si>
  <si>
    <t>Rolando Dominguez Moreno</t>
  </si>
  <si>
    <t>210 Flotación</t>
  </si>
  <si>
    <t>GESTIÓN DE RECURSOS HUMANOS</t>
  </si>
  <si>
    <t>42</t>
  </si>
  <si>
    <t>BRSR</t>
  </si>
  <si>
    <t>BALLADARES ROCHA SAUL RAMIRO</t>
  </si>
  <si>
    <t>BALLADARES ROCHA SAUL RAMIRO - SUPERVISOR DE MANTENIMIENTO</t>
  </si>
  <si>
    <t>MANTENIMIENTO -  ELÉCTRICO E INSTRUMENTACIÓN PLANTA</t>
  </si>
  <si>
    <t>033</t>
  </si>
  <si>
    <t>SafetyPro</t>
  </si>
  <si>
    <t>211 Espesadores</t>
  </si>
  <si>
    <t>GESTIÓN DE RELAVES Y SERVICIOS AUXILIARES</t>
  </si>
  <si>
    <t>BGB</t>
  </si>
  <si>
    <t>BALLESTEROS GUTIERREZ BENIGNO</t>
  </si>
  <si>
    <t>BALLESTEROS GUTIERREZ BENIGNO - ESPECIALISTA DE MANTENIMIENTO MECÁNICO / LUBRICACIÓN</t>
  </si>
  <si>
    <t>034</t>
  </si>
  <si>
    <t>SC Tesa</t>
  </si>
  <si>
    <t>212 Pila de Relaves</t>
  </si>
  <si>
    <t>43</t>
  </si>
  <si>
    <t>IMPUESTOS</t>
  </si>
  <si>
    <t>BDRA</t>
  </si>
  <si>
    <t>BALLIVIAN DONOSO RAFAEL ALBERTO</t>
  </si>
  <si>
    <t>BALLIVIAN DONOSO RAFAEL ALBERTO - SUPERINTENDENTE DE RECURSOS HUMANOS</t>
  </si>
  <si>
    <t>RECURSOS HUMANOS</t>
  </si>
  <si>
    <t>035</t>
  </si>
  <si>
    <t>SEINCAL</t>
  </si>
  <si>
    <t>213 Salas Eléctricas</t>
  </si>
  <si>
    <t>44</t>
  </si>
  <si>
    <t>INFRAESTRUCTURA DE TI</t>
  </si>
  <si>
    <t>BBJM</t>
  </si>
  <si>
    <t>BAPTISTA BAUTISTA JUAN MARCELO</t>
  </si>
  <si>
    <t>BAPTISTA BAUTISTA JUAN MARCELO - CAPATAZ DE FLOTACIÓN Y MOLIENDA</t>
  </si>
  <si>
    <t>036</t>
  </si>
  <si>
    <t>Semconst</t>
  </si>
  <si>
    <t>214 Sub Estación Eléctrica</t>
  </si>
  <si>
    <t>45</t>
  </si>
  <si>
    <t>BCP</t>
  </si>
  <si>
    <t>BAPTISTA CABEZAS PATRICIA</t>
  </si>
  <si>
    <t>BAPTISTA CABEZAS PATRICIA - ANALISTA SÉNIOR CONTABLE</t>
  </si>
  <si>
    <t>SUPERVISIÓN DE REPORTES Y CUMPLIMIENTO</t>
  </si>
  <si>
    <t>REPORTES Y CUMPLIMIENTO</t>
  </si>
  <si>
    <t>SILEX</t>
  </si>
  <si>
    <t>215 Laboratorio Químico</t>
  </si>
  <si>
    <t>46</t>
  </si>
  <si>
    <t>INGENIERÍA PLANTA</t>
  </si>
  <si>
    <t>BRLF</t>
  </si>
  <si>
    <t>BARBA RIVERO LUIS FERNANDO</t>
  </si>
  <si>
    <t>BARBA RIVERO LUIS FERNANDO - ENCARGADO DE REGISTROS Y ALMACÉN DE PARTES AERONÁUTICAS</t>
  </si>
  <si>
    <t>037</t>
  </si>
  <si>
    <t>SPECTROLAB</t>
  </si>
  <si>
    <t>216 Laboratorio Metalúrgico</t>
  </si>
  <si>
    <t>47</t>
  </si>
  <si>
    <t>BBVM</t>
  </si>
  <si>
    <t>BARRIOS BARZOLA VIVIAN MARGOT</t>
  </si>
  <si>
    <t>BARRIOS BARZOLA VIVIAN MARGOT - ANALISTA SENIOR DE CAPITAL SOCIAL</t>
  </si>
  <si>
    <t>038</t>
  </si>
  <si>
    <t>STT</t>
  </si>
  <si>
    <t>217 Oficinas</t>
  </si>
  <si>
    <t>48</t>
  </si>
  <si>
    <t>LOGÍSTICA</t>
  </si>
  <si>
    <t>BAAB</t>
  </si>
  <si>
    <t>BASILIO ACHA ALEX BORIS</t>
  </si>
  <si>
    <t>BASILIO ACHA ALEX BORIS - INGENIERO DE APLICACIONES TO PLANTA</t>
  </si>
  <si>
    <t>TO</t>
  </si>
  <si>
    <t>133</t>
  </si>
  <si>
    <t>Tesorera</t>
  </si>
  <si>
    <t>218 Sala de Control</t>
  </si>
  <si>
    <t>49</t>
  </si>
  <si>
    <t>MANEJO DE MATERIALES</t>
  </si>
  <si>
    <t>BCO</t>
  </si>
  <si>
    <t>BASILIO CALCINA OSCAR</t>
  </si>
  <si>
    <t>BASILIO CALCINA OSCAR - ESPECIALISTA DE PLANIFICACIÓN DE MANTENIMIENTO</t>
  </si>
  <si>
    <t>039</t>
  </si>
  <si>
    <t>TrackNet</t>
  </si>
  <si>
    <t>219 Cafetería</t>
  </si>
  <si>
    <t>50</t>
  </si>
  <si>
    <t>MANEJO DE MATERIALES OPERACIONES MINA</t>
  </si>
  <si>
    <t>BTCY</t>
  </si>
  <si>
    <t>BASILIO TICONA CORNELIO YECID</t>
  </si>
  <si>
    <t>040</t>
  </si>
  <si>
    <t>Trans Omar</t>
  </si>
  <si>
    <t>220 Casa de Cambio</t>
  </si>
  <si>
    <t>51</t>
  </si>
  <si>
    <t>BTPN</t>
  </si>
  <si>
    <t>BASILIO TICONA PAUL NIELS</t>
  </si>
  <si>
    <t>BASILIO TICONA PAUL NIELS - GEÓLOGO DE MINA - MAPEO</t>
  </si>
  <si>
    <t>SUPERVISIÓN DE GEOLOGÍA</t>
  </si>
  <si>
    <t>041</t>
  </si>
  <si>
    <t>TTMB</t>
  </si>
  <si>
    <t>221 Planta Osmosis</t>
  </si>
  <si>
    <t>52</t>
  </si>
  <si>
    <t>BVR</t>
  </si>
  <si>
    <t>BASILIO VENIZ RUBEN</t>
  </si>
  <si>
    <t>BASILIO VENIZ RUBÉN - ELECTROMECÁNICO DE MANTENIMIENTO MINA A</t>
  </si>
  <si>
    <t>134</t>
  </si>
  <si>
    <t>UATF</t>
  </si>
  <si>
    <t>222 Caminos de Acceso</t>
  </si>
  <si>
    <t>53</t>
  </si>
  <si>
    <t>MANTENIMIENTO - CONFIABILIDAD ELÉCTRICO</t>
  </si>
  <si>
    <t>BBBF</t>
  </si>
  <si>
    <t>BAUTISTA BAPTISTA BENITO FILEMON</t>
  </si>
  <si>
    <t>BAUTISTA BAPTISTA BENITO FILEMON - CAPATAZ DE FILTROS Y CARGUÍO</t>
  </si>
  <si>
    <t>143</t>
  </si>
  <si>
    <t>VOLTA ENERGY</t>
  </si>
  <si>
    <t>223 Líneas de Concentrado a Filtros</t>
  </si>
  <si>
    <t>54</t>
  </si>
  <si>
    <t>MANTENIMIENTO - ELÉCTRICO</t>
  </si>
  <si>
    <t>BCE</t>
  </si>
  <si>
    <t>BAUTISTA CORDOVA EUFRONIO</t>
  </si>
  <si>
    <t>BAUTISTA CÓRDOVA EUFRONIO - OPERADOR DE ALMACÉN</t>
  </si>
  <si>
    <t>SUPERVISIÓN SÉNIOR DE ALMACÉN PLANTA Y COMBUSTIBLES</t>
  </si>
  <si>
    <t>042</t>
  </si>
  <si>
    <t>WET Chemical Bolivia SRL</t>
  </si>
  <si>
    <t>224 Filtros</t>
  </si>
  <si>
    <t>55</t>
  </si>
  <si>
    <t>MANTENIMIENTO - FLOTACIÓN Y ESPESADORES</t>
  </si>
  <si>
    <t>BYJ</t>
  </si>
  <si>
    <t>BAUTISTA YUCRA JOSE</t>
  </si>
  <si>
    <t>BAUTISTA YUCRA JOSE - OFICIAL DE AISLAMIENTO</t>
  </si>
  <si>
    <t>043</t>
  </si>
  <si>
    <t>Wila Kara</t>
  </si>
  <si>
    <t>225 Secado</t>
  </si>
  <si>
    <t>56</t>
  </si>
  <si>
    <t>BRCX</t>
  </si>
  <si>
    <t>BELTRAN RIOS CLAUDIA XIMENA</t>
  </si>
  <si>
    <t>BELTRÁN RIOS CLAUDIA XIMENA - SUPERVISOR DE REPORTES Y CUMPLIMIENTO</t>
  </si>
  <si>
    <t>044</t>
  </si>
  <si>
    <t>zzz829</t>
  </si>
  <si>
    <t>226 Carguío</t>
  </si>
  <si>
    <t>57</t>
  </si>
  <si>
    <t>MANTENIMIENTO - INGENIERÍA DE CONFIABILIDAD</t>
  </si>
  <si>
    <t>BQJA</t>
  </si>
  <si>
    <t>BERNA QUISPE JOSE ANTONIO</t>
  </si>
  <si>
    <t>BERNA QUISPE JOSÉ ANTONIO - CAPATAZ DE CHANCADOR PRIMARIO</t>
  </si>
  <si>
    <t>045</t>
  </si>
  <si>
    <t>zzzAlanoca</t>
  </si>
  <si>
    <t>227 Patio de Carga Ferroviario</t>
  </si>
  <si>
    <t>58</t>
  </si>
  <si>
    <t>MANTENIMIENTO - INSTRUMENTACIÓN</t>
  </si>
  <si>
    <t>BQJC</t>
  </si>
  <si>
    <t>BERNA QUISPE JUAN CARLOS</t>
  </si>
  <si>
    <t>BERNA QUISPE JUAN CARLOS - ASISTENTE DE SERVICIOS DE CAMPAMENTO</t>
  </si>
  <si>
    <t>SUPERVISIÓN SÉNIOR DE CAMPAMENTO</t>
  </si>
  <si>
    <t>SUPERVISIÓN DE HOSPEDAJE, RECREACIONES E INVENTARIOS</t>
  </si>
  <si>
    <t>046</t>
  </si>
  <si>
    <t>zzzASOMEC</t>
  </si>
  <si>
    <t>228 Almacén de Concentrados</t>
  </si>
  <si>
    <t>59</t>
  </si>
  <si>
    <t>MANTENIMIENTO - LUBRICACIÓN, PUENTES GRÚA/LABORATORIOS</t>
  </si>
  <si>
    <t>BCIB</t>
  </si>
  <si>
    <t>BERNAL CRUZ IVAN BENITO</t>
  </si>
  <si>
    <t>BERNAL CRUZ IVAN BENITO - OFICIAL DE AISLAMIENTO</t>
  </si>
  <si>
    <t>047</t>
  </si>
  <si>
    <t>zzzAtlas Copco</t>
  </si>
  <si>
    <t>229 Taller Ferroviario</t>
  </si>
  <si>
    <t>60</t>
  </si>
  <si>
    <t>MANTENIMIENTO - MEC. PLTA. FLOT., FILTROS, TALLER GRAL. Y RH</t>
  </si>
  <si>
    <t>BDMV</t>
  </si>
  <si>
    <t>BLOCK DAZA MARIE VERENA</t>
  </si>
  <si>
    <t>BLOCK DAZA MARIE VERENA - ANALISTA SÉNIOR DE GESTIÓN DE PROCESOS Y MEJORA CONTINUA</t>
  </si>
  <si>
    <t>SISTEMA DE GESTIÓN</t>
  </si>
  <si>
    <t>048</t>
  </si>
  <si>
    <t>zzzBELLO</t>
  </si>
  <si>
    <t>230 Campos de Pozos</t>
  </si>
  <si>
    <t>61</t>
  </si>
  <si>
    <t>MANTENIMIENTO - MOLIENDA</t>
  </si>
  <si>
    <t>BAOM</t>
  </si>
  <si>
    <t>BRAVO AYLLON OMAR MIGUEL</t>
  </si>
  <si>
    <t>BRAVO AYLLON OMAR MIGUEL - ANALISTA SÉNIOR APLICACIONES TO MINA</t>
  </si>
  <si>
    <t>SUPERVISIÓN TO MINA</t>
  </si>
  <si>
    <t>TO MINA</t>
  </si>
  <si>
    <t>049</t>
  </si>
  <si>
    <t>zzzCabletel</t>
  </si>
  <si>
    <t>231 Taller de Pozos</t>
  </si>
  <si>
    <t>62</t>
  </si>
  <si>
    <t>BDLTUABJ</t>
  </si>
  <si>
    <t>BUSTILLOS DE LA TORRE UGARTE ALEJANDRO BLASCO JORGE</t>
  </si>
  <si>
    <t>BUSTILLOS DE LA TORRE UGARTE ALEJANDRO BLASCO JORGE - GERENTE DE FINANZAS</t>
  </si>
  <si>
    <t>050</t>
  </si>
  <si>
    <t>zzzCarlos Caballero</t>
  </si>
  <si>
    <t>232 Línea de Colas</t>
  </si>
  <si>
    <t>63</t>
  </si>
  <si>
    <t>MANTENIMIENTO - RECURSOS HÍDRICOS Y VÍAS FERREAS</t>
  </si>
  <si>
    <t>BFER</t>
  </si>
  <si>
    <t>BUSTOS FERNANDEZ EDWIN ROLANDO</t>
  </si>
  <si>
    <t>BUSTOS FERNÁNDEZ EDWIN ROLANDO - COORDINADOR DE MANTENIMIENTO MINA</t>
  </si>
  <si>
    <t>051</t>
  </si>
  <si>
    <t>zzzCasobra</t>
  </si>
  <si>
    <t>233 Laguna de Colas Willa Khara</t>
  </si>
  <si>
    <t>64</t>
  </si>
  <si>
    <t>MANTENIMIENTO GENERACIÓN Y AIRE ACONDICIONADO INDUSTRIAL</t>
  </si>
  <si>
    <t>CCE</t>
  </si>
  <si>
    <t>CABRERA CABRERA EDGAR</t>
  </si>
  <si>
    <t>CABRERA CABRERA EDGAR - ESPECIALISTA DE MANTENIMIENTO MECÁNICO / LUBRICACIÓN</t>
  </si>
  <si>
    <t>SUPERVISIÓN DE MANTENIMIENTO - FLOTACIÓN Y ESPESADORES</t>
  </si>
  <si>
    <t>052</t>
  </si>
  <si>
    <t>zzzCatering San Cristobal</t>
  </si>
  <si>
    <t>234 Líneas Captación de Agua</t>
  </si>
  <si>
    <t>65</t>
  </si>
  <si>
    <t>CCW</t>
  </si>
  <si>
    <t>CABRERA CHOQUE WILLSON</t>
  </si>
  <si>
    <t>CABRERA CHOQUE WILLSON - ELECTROMECÁNICO DE MANTENIMIENTO MINA</t>
  </si>
  <si>
    <t>053</t>
  </si>
  <si>
    <t>zzzCBA</t>
  </si>
  <si>
    <t>235 Planta tratamiento de Agua – Osmosis</t>
  </si>
  <si>
    <t>66</t>
  </si>
  <si>
    <t>MANTENIMIENTO MINA- REPARACIÓN Y COMPONENTES</t>
  </si>
  <si>
    <t>CMRR</t>
  </si>
  <si>
    <t>CABRERA MAMANI RUBEN RODY</t>
  </si>
  <si>
    <t>SERVICIOS TÉCNICOS</t>
  </si>
  <si>
    <t>054</t>
  </si>
  <si>
    <t>zzzCIS</t>
  </si>
  <si>
    <t>236 Dique almacenamiento de Agua</t>
  </si>
  <si>
    <t>67</t>
  </si>
  <si>
    <t>MANTENIMIENTO PLANTA</t>
  </si>
  <si>
    <t>CBL</t>
  </si>
  <si>
    <t>CALCINA BERNA LEONARDO</t>
  </si>
  <si>
    <t>CALCINA BERNA LEONARDO - RESPONSABLE DE SEGURIDAD DE TURNO</t>
  </si>
  <si>
    <t>SUPERVISIÓN DE SEGURIDAD FÍSICA</t>
  </si>
  <si>
    <t>SEGURIDAD FÍSICA</t>
  </si>
  <si>
    <t>055</t>
  </si>
  <si>
    <t>zzzCONGAR</t>
  </si>
  <si>
    <t>237 Estacionamiento de Vehículos</t>
  </si>
  <si>
    <t>68</t>
  </si>
  <si>
    <t>MANTTO. MINA - PLANIFICACIÓN, PROGRAMACIÓN Y CONFIABILIDAD</t>
  </si>
  <si>
    <t>CALCINA CALCINA EDWIN</t>
  </si>
  <si>
    <t>CALCINA CALCINA EDWIN - ANALISTA SÉNIOR DE SOPORTE DE RECURSOS HUMANOS</t>
  </si>
  <si>
    <t>SUPERVISIÓN DE CAPACITACIÓN</t>
  </si>
  <si>
    <t>056</t>
  </si>
  <si>
    <t>zzzCONSTEC &amp; ASOCIADOS</t>
  </si>
  <si>
    <t>238 Parada de Buses</t>
  </si>
  <si>
    <t>69</t>
  </si>
  <si>
    <t>CCET</t>
  </si>
  <si>
    <t>CALCINA CALCINA EMETERIO TELEDONIO</t>
  </si>
  <si>
    <t>CALCINA CALCINA EMETERIO TELEDONIO - COORDINADOR DE GUARDIA</t>
  </si>
  <si>
    <t>057</t>
  </si>
  <si>
    <t>zzzCoop. Luxar</t>
  </si>
  <si>
    <t>239 Bombas Bosther</t>
  </si>
  <si>
    <t>70</t>
  </si>
  <si>
    <t>CALCINA CALIZAYA EFRAIN</t>
  </si>
  <si>
    <t>CALCINA CALIZAYA EFRAÍN - SUPERVISOR DE SEGURIDAD FÍSICA</t>
  </si>
  <si>
    <t>058</t>
  </si>
  <si>
    <t>zzzCooperativa Centenario Uyuni</t>
  </si>
  <si>
    <t>240 Almacen Cores</t>
  </si>
  <si>
    <t>71</t>
  </si>
  <si>
    <t>MEDIO AMBIENTE</t>
  </si>
  <si>
    <t>CCJV</t>
  </si>
  <si>
    <t>CALCINA COLQUE JUAN VIANEY</t>
  </si>
  <si>
    <t>CALCINA COLQUE JUAN VIANEY - CAPATAZ DE CHANCADOR PRIMARIO</t>
  </si>
  <si>
    <t>059</t>
  </si>
  <si>
    <t>zzzCopa</t>
  </si>
  <si>
    <t>241 Hidro-Ciclones</t>
  </si>
  <si>
    <t>72</t>
  </si>
  <si>
    <t>OPERACIONES DEL SISTEMA DE CONTROL DE FLOTA</t>
  </si>
  <si>
    <t>CCI</t>
  </si>
  <si>
    <t>CALCINA COPA IVER</t>
  </si>
  <si>
    <t>CALCINA COPA IVER - COORDINADOR DE GUARDIA</t>
  </si>
  <si>
    <t>060</t>
  </si>
  <si>
    <t>zzzCruz del Norte</t>
  </si>
  <si>
    <t>242 Bombas de Colas</t>
  </si>
  <si>
    <t>73</t>
  </si>
  <si>
    <t>CFD</t>
  </si>
  <si>
    <t>CALCINA FLORES DIGNO</t>
  </si>
  <si>
    <t>CALCINA FLORES DIGNO - OPERADOR DE ALMACÉN</t>
  </si>
  <si>
    <t>061</t>
  </si>
  <si>
    <t>zzzDicsa Komatsu</t>
  </si>
  <si>
    <t>30 AREA ADMINISTRATIVA</t>
  </si>
  <si>
    <t>74</t>
  </si>
  <si>
    <t>CGMH</t>
  </si>
  <si>
    <t>CALCINA GONZALES MILTON HERNAN</t>
  </si>
  <si>
    <t>CALCINA GONZÁLES MILTON HERNÁN - ELECTROMECÁNICO DE MANTENIMIENTO MINA A</t>
  </si>
  <si>
    <t>062</t>
  </si>
  <si>
    <t>zzzEdeser</t>
  </si>
  <si>
    <t>301 Oficinas</t>
  </si>
  <si>
    <t>75</t>
  </si>
  <si>
    <t>CMHF</t>
  </si>
  <si>
    <t>CALCINA MURAÑA HUGO FAUSTINO</t>
  </si>
  <si>
    <t>CALCINA MURAÑA HUGO FAUSTINO - ELECTROMECÁNICO DE MANTENIMIENTO MINA A</t>
  </si>
  <si>
    <t>063</t>
  </si>
  <si>
    <t>zzzEncuadernaciones Tigre</t>
  </si>
  <si>
    <t>302 Salas Reunión</t>
  </si>
  <si>
    <t>76</t>
  </si>
  <si>
    <t>PLANIFICACIÓN FINANCIERA (FP&amp;A)</t>
  </si>
  <si>
    <t>CQR</t>
  </si>
  <si>
    <t>CALCINA QUISPE RAFAEL</t>
  </si>
  <si>
    <t>CALCINA QUISPE RAFAEL - COORDINADOR DE ALMACÉN</t>
  </si>
  <si>
    <t>064</t>
  </si>
  <si>
    <t>zzzENDE SyC</t>
  </si>
  <si>
    <t>303 Recepción</t>
  </si>
  <si>
    <t>77</t>
  </si>
  <si>
    <t>PLANIFICACIÓN Y CONTROL DE PROYECTOS</t>
  </si>
  <si>
    <t>CQRA</t>
  </si>
  <si>
    <t>CALCINA QUISPE RAUL ALBERTO</t>
  </si>
  <si>
    <t>CALCINA QUISPE RAÚL ALBERTO - INSTRUCTOR OPERATIVO MINA</t>
  </si>
  <si>
    <t>065</t>
  </si>
  <si>
    <t>zzzExaltación Lazo</t>
  </si>
  <si>
    <t>304 Cafetería</t>
  </si>
  <si>
    <t>78</t>
  </si>
  <si>
    <t>CMML</t>
  </si>
  <si>
    <t>CALIZAYA MENA MIKAELA LISSETTE</t>
  </si>
  <si>
    <t>CALIZAYA MENA MIKAELA LISSETTE - ESPECIALISTA SÉNIOR DE RECURSOS HUMANOS</t>
  </si>
  <si>
    <t>066</t>
  </si>
  <si>
    <t>zzzFamen</t>
  </si>
  <si>
    <t>305 Estacionamiento Vehículos</t>
  </si>
  <si>
    <t>79</t>
  </si>
  <si>
    <t>CFT</t>
  </si>
  <si>
    <t>CALLE FLORES TIBURCIO</t>
  </si>
  <si>
    <t>CALLE FLORES TIBURCIO - INSTRUCTOR OPERATIVO MINA</t>
  </si>
  <si>
    <t>067</t>
  </si>
  <si>
    <t>zzzFeprom</t>
  </si>
  <si>
    <t>306 Pasillos peatonales</t>
  </si>
  <si>
    <t>80</t>
  </si>
  <si>
    <t>RECURSOS HUMANOS Y SERVICIOS DE PERSONAL</t>
  </si>
  <si>
    <t>CHMR</t>
  </si>
  <si>
    <t>CALLE HUANCA MAX RUBEN</t>
  </si>
  <si>
    <t>CALLE HUANCA MAX RUBEN - COORDINADOR PRINCIPAL DE MANTENIMIENTO MINA</t>
  </si>
  <si>
    <t>068</t>
  </si>
  <si>
    <t>zzzGALVEC</t>
  </si>
  <si>
    <t>307 Cafetería</t>
  </si>
  <si>
    <t>81</t>
  </si>
  <si>
    <t>CRMC</t>
  </si>
  <si>
    <t>CALLE RODRIGUEZ MODESTO CRESENCIO</t>
  </si>
  <si>
    <t>CALLE RODRIGUEZ MODESTO CRESENCIO - ESPECIALISTA DE MANTENIMIENTO MECÁNICO / LUBRICACIÓN</t>
  </si>
  <si>
    <t>069</t>
  </si>
  <si>
    <t>zzzGCM</t>
  </si>
  <si>
    <t>308 Estacionamiento de Vehículos</t>
  </si>
  <si>
    <t>82</t>
  </si>
  <si>
    <t>CJA</t>
  </si>
  <si>
    <t>CALLEJAS JUAREZ ALBERTO</t>
  </si>
  <si>
    <t>CALLEJAS JUAREZ ALBERTO - COORDINADOR DE MANTENIMIENTO MINA</t>
  </si>
  <si>
    <t>070</t>
  </si>
  <si>
    <t>zzzGCR (Bridgestone Minning Solutions)</t>
  </si>
  <si>
    <t>40 AREA ALMACEN GENERAL</t>
  </si>
  <si>
    <t>83</t>
  </si>
  <si>
    <t>RELACIONES LABORALES</t>
  </si>
  <si>
    <t>CBR</t>
  </si>
  <si>
    <t>CALLISAYA BELTRAN RUBEN</t>
  </si>
  <si>
    <t>CALLISAYA BELTRÁN RUBEN - ELECTROMECÁNICO DE MANTENIMIENTO MINA</t>
  </si>
  <si>
    <t>071</t>
  </si>
  <si>
    <t>zzzGerimex</t>
  </si>
  <si>
    <t>401 Oficinas</t>
  </si>
  <si>
    <t>84</t>
  </si>
  <si>
    <t>CTAR</t>
  </si>
  <si>
    <t>CAMARGO TICONA ARMANDO RICARDO</t>
  </si>
  <si>
    <t>CAMARGO TICONA ARMANDO RICARDO - SUPERINTENDENTE DE GESTIÓN COMERCIAL</t>
  </si>
  <si>
    <t>072</t>
  </si>
  <si>
    <t>zzzGround Force</t>
  </si>
  <si>
    <t>402 Almacén Central</t>
  </si>
  <si>
    <t>85</t>
  </si>
  <si>
    <t>CFB</t>
  </si>
  <si>
    <t>CAMATA FLORES BENITO</t>
  </si>
  <si>
    <t>CAMATA FLORES BENITO - RESPONSABLE DE SEGURIDAD DE TURNO</t>
  </si>
  <si>
    <t>073</t>
  </si>
  <si>
    <t>zzzHansa</t>
  </si>
  <si>
    <t>403 Patio de Recepción</t>
  </si>
  <si>
    <t>86</t>
  </si>
  <si>
    <t>CQE</t>
  </si>
  <si>
    <t>CAMATA QUISPE EDILBER</t>
  </si>
  <si>
    <t>074</t>
  </si>
  <si>
    <t>zzzIndumotora</t>
  </si>
  <si>
    <t>404 Estacionamiento de Vehículos</t>
  </si>
  <si>
    <t>87</t>
  </si>
  <si>
    <t>CZRF</t>
  </si>
  <si>
    <t>CAMPERO ZAPATA RILKE FRANZ</t>
  </si>
  <si>
    <t>CAMPERO ZAPATA RILKE FRANZ - SUPERVISOR DE CAPACITACIÓN</t>
  </si>
  <si>
    <t>075</t>
  </si>
  <si>
    <t>zzzINFOCAL</t>
  </si>
  <si>
    <t>405 Almacenamiento Toldos</t>
  </si>
  <si>
    <t>88</t>
  </si>
  <si>
    <t>SEGURIDAD DE LA INFORMACIÓN (CISO)</t>
  </si>
  <si>
    <t>CBBT</t>
  </si>
  <si>
    <t>CAMPUZANO BOLAÑOS BERTHA TERESA</t>
  </si>
  <si>
    <t>CAMPUZANO BOLAÑOS BERTHA TERESA - GERENTE DE COMERCIALIZACIÓN Y SERVICIOS</t>
  </si>
  <si>
    <t>076</t>
  </si>
  <si>
    <t>zzzIngeniería de Tranportes</t>
  </si>
  <si>
    <t>406 Surtidor de Combustibles</t>
  </si>
  <si>
    <t>89</t>
  </si>
  <si>
    <t>CMO</t>
  </si>
  <si>
    <t>CANDIA MANSILLA OSWALDO</t>
  </si>
  <si>
    <t>CANDIA MANSILLA OSWALDO - SUPERINTENDENTE DE RELACIONES PÚBLICAS</t>
  </si>
  <si>
    <t>077</t>
  </si>
  <si>
    <t>zzzIntertek</t>
  </si>
  <si>
    <t>407 Playas de Almacenamiento Materiales</t>
  </si>
  <si>
    <t>90</t>
  </si>
  <si>
    <t>CRRO</t>
  </si>
  <si>
    <t>CANDIA ROJAS RICARDO OMAR</t>
  </si>
  <si>
    <t>CANDIA ROJAS RICARDO OMAR - ADMINISTRADOR DE APLICACIONES DE TI</t>
  </si>
  <si>
    <t>SUPERVISIÓN DE APLICACIONES DE TI</t>
  </si>
  <si>
    <t>078</t>
  </si>
  <si>
    <t>zzzIS/IT</t>
  </si>
  <si>
    <t>408 Almacén Reactivo</t>
  </si>
  <si>
    <t>91</t>
  </si>
  <si>
    <t>SERVICIOS AUXILIARES</t>
  </si>
  <si>
    <t>CMJJ</t>
  </si>
  <si>
    <t>CANIZARES MAMANI JUAN JOSE</t>
  </si>
  <si>
    <t>CANIZARES MAMANI JUAN JOSE - CAPATAZ DE FLOTACIÓN Y MOLIENDA</t>
  </si>
  <si>
    <t>079</t>
  </si>
  <si>
    <t>zzzJ&amp;R</t>
  </si>
  <si>
    <t>409 Almacén Lubricantes</t>
  </si>
  <si>
    <t>92</t>
  </si>
  <si>
    <t>CFO</t>
  </si>
  <si>
    <t>CAPURATA FLORES OVIDIO</t>
  </si>
  <si>
    <t>CAPURATA FLORES OVIDIO - SUPERINTENDENTE DE MANTENIMIENTO</t>
  </si>
  <si>
    <t>080</t>
  </si>
  <si>
    <t>zzzJayula</t>
  </si>
  <si>
    <t>410 Almacén Botellones Presurizados</t>
  </si>
  <si>
    <t>93</t>
  </si>
  <si>
    <t>CRRA</t>
  </si>
  <si>
    <t>CARBALLO RIVERO ROBERTO ALCIDES</t>
  </si>
  <si>
    <t>CARBALLO RIVERO ROBERTO ALCIDES - ANALISTA SÉNIOR DE EXPORTACIONES</t>
  </si>
  <si>
    <t>081</t>
  </si>
  <si>
    <t>zzzJCM</t>
  </si>
  <si>
    <t>411 Parada de Buses</t>
  </si>
  <si>
    <t>94</t>
  </si>
  <si>
    <t>SERVICIOS DE SALUD EXTERNA</t>
  </si>
  <si>
    <t>CVA</t>
  </si>
  <si>
    <t>CARDENAS VILLCA ABEL</t>
  </si>
  <si>
    <t>CARDENAS VILLCA ABEL - ELECTROMECÁNICO DE MANTENIMIENTO MINA B</t>
  </si>
  <si>
    <t>082</t>
  </si>
  <si>
    <t>zzzJL. Machine</t>
  </si>
  <si>
    <t>412 Almacén Bolas</t>
  </si>
  <si>
    <t>95</t>
  </si>
  <si>
    <t>GERENCIA DE TI Y DESARROLLO DEL NEGOCIO</t>
  </si>
  <si>
    <t>CFRP</t>
  </si>
  <si>
    <t>CARRASCO FLORES RAUL PEDRO</t>
  </si>
  <si>
    <t>083</t>
  </si>
  <si>
    <t>zzzKALTECH</t>
  </si>
  <si>
    <t>50 AREA MANTENIMIENTO GENERAL</t>
  </si>
  <si>
    <t>96</t>
  </si>
  <si>
    <t>CUCH</t>
  </si>
  <si>
    <t>CARREÑO UZQUIANO CARLOS HUGO</t>
  </si>
  <si>
    <t>CARREÑO UZQUIANO CARLOS HUGO - SUPERINTENDENTE DE GESTIÓN DE RELAVES Y SERVICIOS AUXILIARES</t>
  </si>
  <si>
    <t>084</t>
  </si>
  <si>
    <t>zzzLopez Miranda</t>
  </si>
  <si>
    <t>501 Oficinas</t>
  </si>
  <si>
    <t>97</t>
  </si>
  <si>
    <t>CZGM</t>
  </si>
  <si>
    <t>CARVAJAL ZABALA GUIDO MARCELO</t>
  </si>
  <si>
    <t>CARVAJAL ZABALA GUIDO MARCELO - SUPERVISOR DE MANTENIMIENTO MINA</t>
  </si>
  <si>
    <t>085</t>
  </si>
  <si>
    <t>zzzLuis Ampuero</t>
  </si>
  <si>
    <t>502 Sala Reunión</t>
  </si>
  <si>
    <t>98</t>
  </si>
  <si>
    <t>CAJS</t>
  </si>
  <si>
    <t>CASANOVA AGUIRRE JAIME SANTIAGO</t>
  </si>
  <si>
    <t>CASANOVA AGUIRRE JAIME SANTIAGO - ESPECIALISTA DE GESTIONES ADMINISTRATIVAS</t>
  </si>
  <si>
    <t>086</t>
  </si>
  <si>
    <t>zzzLuisa Quispe</t>
  </si>
  <si>
    <t>503 Cafetería</t>
  </si>
  <si>
    <t>99</t>
  </si>
  <si>
    <t>CCJF</t>
  </si>
  <si>
    <t>CASSAS CHAVEZ JOB FRANKLIN</t>
  </si>
  <si>
    <t>CASSAS CHAVEZ JOB FRANKLIN - ANALISTA SÉNIOR DE GESTIÓN COMERCIAL</t>
  </si>
  <si>
    <t>087</t>
  </si>
  <si>
    <t>zzzManti Ingenieria</t>
  </si>
  <si>
    <t>504 Taller Eléctrico</t>
  </si>
  <si>
    <t>100</t>
  </si>
  <si>
    <t>CFCA</t>
  </si>
  <si>
    <t>CASTEDO FRANCO CLAUDIO ANDRES</t>
  </si>
  <si>
    <t>SUPERVISIÓN DE SERVICIOS AUXILIARES</t>
  </si>
  <si>
    <t>088</t>
  </si>
  <si>
    <t>zzzMECANO</t>
  </si>
  <si>
    <t>505 Taller Soldadura</t>
  </si>
  <si>
    <t>101</t>
  </si>
  <si>
    <t>TOPOGRAFÍA</t>
  </si>
  <si>
    <t>CRM</t>
  </si>
  <si>
    <t>CASTRO RAMIREZ MARCIAL</t>
  </si>
  <si>
    <t>089</t>
  </si>
  <si>
    <t>zzzMETALCI</t>
  </si>
  <si>
    <t>506 Taller Mecánico Planta</t>
  </si>
  <si>
    <t>102</t>
  </si>
  <si>
    <t>TRANSPORTE INTERNO Y AERÓDROMO</t>
  </si>
  <si>
    <t>IMAÑA CASTRO RUBEN MARCELO - AUDITOR INTERNO</t>
  </si>
  <si>
    <t>CTMA</t>
  </si>
  <si>
    <t>CASTRO TORRICO MIGUEL ANGEL</t>
  </si>
  <si>
    <t>CASTRO TORRICO MIGUEL ANGEL - SUPERVISOR DE SEGURIDAD INDUSTRIAL</t>
  </si>
  <si>
    <t>SUPERVISIÓN DE SEGURIDAD INDUSTRIAL</t>
  </si>
  <si>
    <t>090</t>
  </si>
  <si>
    <t>zzzMICs</t>
  </si>
  <si>
    <t>507 Taller Instrumentación</t>
  </si>
  <si>
    <t>103</t>
  </si>
  <si>
    <t>CPOG</t>
  </si>
  <si>
    <t>CATARI PANKAMALLCO OSCAR GUIDO</t>
  </si>
  <si>
    <t>CATARI PANKAMALLCO OSCAR GUIDO - SUPERVISOR SÉNIOR DE SEGURIDAD FÍSICA</t>
  </si>
  <si>
    <t>091</t>
  </si>
  <si>
    <t>zzzMIRKORO</t>
  </si>
  <si>
    <t>508 Taller Modificaciones</t>
  </si>
  <si>
    <t>104</t>
  </si>
  <si>
    <t>VICEPRESIDENTE DE FINANZAS</t>
  </si>
  <si>
    <t>CRUZ RODRIGUEZ WILMERS - ANALISTA SÉNIOR DE CONFIABILIDAD</t>
  </si>
  <si>
    <t>CAC</t>
  </si>
  <si>
    <t>CAYO AYALA CESILIO</t>
  </si>
  <si>
    <t>CAYO AYALA CESILIO - COORDINADOR DE MANEJO DE EQUIPOS DE IZAJE</t>
  </si>
  <si>
    <t>SUPERVISIÓN DE MANEJO DE MATERIALES OPERACIONES MINA</t>
  </si>
  <si>
    <t>092</t>
  </si>
  <si>
    <t>zzzMONNET</t>
  </si>
  <si>
    <t>509 Taller Chancado</t>
  </si>
  <si>
    <t>105</t>
  </si>
  <si>
    <t>VICEPRESIDENTE DE OPERACIONES</t>
  </si>
  <si>
    <t>HERBAS TORREZ HENRY - SUPERVISOR DE ANÁLISIS DE CONFIABILIDAD</t>
  </si>
  <si>
    <t>CBA</t>
  </si>
  <si>
    <t>CAYO BARTOLOME ALFREDO</t>
  </si>
  <si>
    <t>CAYO BARTOLOME ALFREDO - ESPECIALISTA DE MANTENIMIENTO MECÁNICO / LUBRICACIÓN</t>
  </si>
  <si>
    <t>SUPERVISIÓN DE MANTENIMIENTO - MOLIENDA</t>
  </si>
  <si>
    <t>093</t>
  </si>
  <si>
    <t>zzzMorón Mejía</t>
  </si>
  <si>
    <t>510 Taller Molienda</t>
  </si>
  <si>
    <t>HUAYLLANI DELGADO JUAN DE DIOS - SUPERVISOR DE MANTENIMIENTO</t>
  </si>
  <si>
    <t>CBEV</t>
  </si>
  <si>
    <t>CAYO BARTOLOME EDWIN VIDAL</t>
  </si>
  <si>
    <t>094</t>
  </si>
  <si>
    <t>zzzNicolls</t>
  </si>
  <si>
    <t>511 Taller Flotación</t>
  </si>
  <si>
    <t>LAZO CAYO WILSON VICENTE - SUPERINTENDENTE DE MANTENIMIENTO</t>
  </si>
  <si>
    <t>CCJB</t>
  </si>
  <si>
    <t>CAYO COLQUE JAVIER BONIFACIO</t>
  </si>
  <si>
    <t>CAYO COLQUE JAVIER BONIFACIO - COORDINADOR OPERATIVO DE MANTENIMIENTO DE CAMPAMENTO</t>
  </si>
  <si>
    <t>SUPERVISIÓN OPERATIVO DE MANTENIMIENTO CAMPAMENTO</t>
  </si>
  <si>
    <t>095</t>
  </si>
  <si>
    <t>zzzOSCAR HIDALGO</t>
  </si>
  <si>
    <t>512 Taller Servicios Generales Aguirre</t>
  </si>
  <si>
    <t>PONCE ANTEQUERA ALAIN ROLANDO - INGENIERO SÉNIOR DE CONFIABILIDAD ELÉCTRICA</t>
  </si>
  <si>
    <t>CCFR</t>
  </si>
  <si>
    <t>CAYO COPA FREDDY RENAR</t>
  </si>
  <si>
    <t>CAYO COPA FREDDY RENAR - COORDINADOR DE MANTENIMIENTO MINA - REPARACIÓN DE COMPONENTES</t>
  </si>
  <si>
    <t>SUPERVISIÓN SÉNIOR DE MANTENIMIENTO MINA- REPARACIÓN Y COMPONENTES</t>
  </si>
  <si>
    <t>096</t>
  </si>
  <si>
    <t>zzzPORVENIR</t>
  </si>
  <si>
    <t>513 Taller Filtros</t>
  </si>
  <si>
    <t>RAMIREZ RIVEROS RUPERTO JUAN - ANALISTA SÉNIOR DE CONFIABILIDAD</t>
  </si>
  <si>
    <t>CCJ</t>
  </si>
  <si>
    <t>CAYO CRUZ JAIME</t>
  </si>
  <si>
    <t>097</t>
  </si>
  <si>
    <t>zzzPRODEM</t>
  </si>
  <si>
    <t>514 Bodega de Materiales</t>
  </si>
  <si>
    <t>CML</t>
  </si>
  <si>
    <t>CAYO MAYORGA LIZANDRO</t>
  </si>
  <si>
    <t>CAYO MAYORGA LIZANDRO - COORDINADOR DE MANTENIMIENTO MINA</t>
  </si>
  <si>
    <t>098</t>
  </si>
  <si>
    <t>zzzPRODMETAL</t>
  </si>
  <si>
    <t>515 Taller Correas</t>
  </si>
  <si>
    <t>CVLJ</t>
  </si>
  <si>
    <t>CELIS VARGAS LILIANA JUANA</t>
  </si>
  <si>
    <t>CELIS VARGAS LILIANA JUANA - ANALISTA SÉNIOR DE IMPUESTOS</t>
  </si>
  <si>
    <t>SUPERVISIÓN DE IMPUESTOS</t>
  </si>
  <si>
    <t>099</t>
  </si>
  <si>
    <t>zzzPROFIMAR</t>
  </si>
  <si>
    <t>516 Taller de Tornería</t>
  </si>
  <si>
    <t>CRJH</t>
  </si>
  <si>
    <t>CHACON RUIZ JUAN HERNAN</t>
  </si>
  <si>
    <t>zzzProve</t>
  </si>
  <si>
    <t>517 Bodega de Herramientas</t>
  </si>
  <si>
    <t>CBJA</t>
  </si>
  <si>
    <t>CHAMBILLA BELTRAN JHONNY ALONZO</t>
  </si>
  <si>
    <t>CHAMBILLA BELTRAN JHONNY ALONZO - PLANIFICADOR SÉNIOR DE CONTROL DE PROYECTOS</t>
  </si>
  <si>
    <t>SUPERVISIÓN DE PLANIFICACIÓN Y CONTROL DE PROYECTOS</t>
  </si>
  <si>
    <t>zzzQuenayani</t>
  </si>
  <si>
    <t>518 Caminos de acceso</t>
  </si>
  <si>
    <t>CCEL</t>
  </si>
  <si>
    <t>CHIRE CONDORI EDILBERTO LUCIO</t>
  </si>
  <si>
    <t>CHIRE CONDORI EDILBERTO LUCIO - ELECTROMECÁNICO DE MANTENIMIENTO MINA B</t>
  </si>
  <si>
    <t>zzzRESTEC</t>
  </si>
  <si>
    <t>60 AREA CAMPAMENTO TOLDOS</t>
  </si>
  <si>
    <t>CPC</t>
  </si>
  <si>
    <t>CHOQUE PEREIRA CALIXTO</t>
  </si>
  <si>
    <t>zzzRoberto Silva S.</t>
  </si>
  <si>
    <t>601 Taller Carpintería</t>
  </si>
  <si>
    <t>CMAO</t>
  </si>
  <si>
    <t>CHOQUERIVE MACHACA ABEL OMAR</t>
  </si>
  <si>
    <t>CHOQUERIVE MACHACA ABEL OMAR - ELECTROMECÁNICO DE MANTENIMIENTO MINA A</t>
  </si>
  <si>
    <t>zzzRubén Calcina</t>
  </si>
  <si>
    <t>602 Oficinas</t>
  </si>
  <si>
    <t>CHW</t>
  </si>
  <si>
    <t>CHURATA HUARACHI WILBER</t>
  </si>
  <si>
    <t>zzzSEICOPRAL</t>
  </si>
  <si>
    <t>603 Unidad Medica</t>
  </si>
  <si>
    <t>CMJC</t>
  </si>
  <si>
    <t>CLAROS MONTAÑO JUAN CARLOS</t>
  </si>
  <si>
    <t>CLAROS MONTAÑO JUAN CARLOS - SUPERVISOR SÉNIOR DE ALMACÉN PLANTA Y COMBUSTIBLES</t>
  </si>
  <si>
    <t>106</t>
  </si>
  <si>
    <t>zzzSerpetbol (Mantto Vías Externas)</t>
  </si>
  <si>
    <t>604 Dormitorios</t>
  </si>
  <si>
    <t>CDMA</t>
  </si>
  <si>
    <t>CLAVIJO DOYNEL MARCO ANTONIO</t>
  </si>
  <si>
    <t>CLAVIJO DOYNEL MARCO ANTONIO - SUPERVISOR DE CONTROL DE CALIDAD DE ALMACENES</t>
  </si>
  <si>
    <t>SUPERVISIÓN DE CONTROL DE CALIDAD DE ALMACENES</t>
  </si>
  <si>
    <t>107</t>
  </si>
  <si>
    <t>zzzServicio Transporte GCM</t>
  </si>
  <si>
    <t>605 Estacionamiento de Vehículos</t>
  </si>
  <si>
    <t>CCA</t>
  </si>
  <si>
    <t>COLQUE COPA ALBERTO</t>
  </si>
  <si>
    <t>COLQUE COPA ALBERTO - SUPERINTENDENTE DE CAMPAMENTO</t>
  </si>
  <si>
    <t>108</t>
  </si>
  <si>
    <t>zzzSetec</t>
  </si>
  <si>
    <t>606 Sala Capacitación</t>
  </si>
  <si>
    <t>CCFD</t>
  </si>
  <si>
    <t>COLQUE CORDOVA FREDDY DANIEL</t>
  </si>
  <si>
    <t>COLQUE CÓRDOVA FREDDY DANIEL - COORDINADOR DE ENTRENAMIENTO MINA</t>
  </si>
  <si>
    <t>109</t>
  </si>
  <si>
    <t>zzzSeverino Quispe</t>
  </si>
  <si>
    <t>607 Estación de Bomberos</t>
  </si>
  <si>
    <t>CCS</t>
  </si>
  <si>
    <t>COLQUE CORDOVA SERAFIN</t>
  </si>
  <si>
    <t>COLQUE CÓRDOVA SERAFÍN - INSTRUCTOR DE ENTRENAMIENTO MINA</t>
  </si>
  <si>
    <t>110</t>
  </si>
  <si>
    <t>zzzSilex</t>
  </si>
  <si>
    <t>608 Sala de Servidores</t>
  </si>
  <si>
    <t>CCV</t>
  </si>
  <si>
    <t>COLQUE CORDOVA VERONICA</t>
  </si>
  <si>
    <t>COLQUE CORDOVA VERONICA - COORDINADOR DE PLANTA DE ÓSMOSIS</t>
  </si>
  <si>
    <t>111</t>
  </si>
  <si>
    <t>zzzSistemas de Agua</t>
  </si>
  <si>
    <t>609 Calderos</t>
  </si>
  <si>
    <t>CCAB</t>
  </si>
  <si>
    <t>COLQUE CRUZ ALEX BLADIMIR</t>
  </si>
  <si>
    <t>COLQUE CRUZ ALEX BLADIMIR - ELECTROMECÁNICO DE MANTENIMIENTO MINA</t>
  </si>
  <si>
    <t>112</t>
  </si>
  <si>
    <t>zzzSMI</t>
  </si>
  <si>
    <t>610 Parada de Buses</t>
  </si>
  <si>
    <t>CCT</t>
  </si>
  <si>
    <t>COLQUE CRUZ TEOFILO</t>
  </si>
  <si>
    <t>COLQUE CRUZ TEÓFILO - CAPATAZ DE FILTROS Y CARGUÍO</t>
  </si>
  <si>
    <t>113</t>
  </si>
  <si>
    <t>zzzSOCAIRE</t>
  </si>
  <si>
    <t>611 Caminos de Circulación</t>
  </si>
  <si>
    <t>SUPERINTENDENCIA DE DESARROLLO DEL NEGOCIO</t>
  </si>
  <si>
    <t>CFAW</t>
  </si>
  <si>
    <t>COLQUE FLORES ARMIN WINZOR</t>
  </si>
  <si>
    <t>COLQUE FLORES ARMIN WINZOR - ELECTROMECÁNICO DE MANTENIMIENTO MINA</t>
  </si>
  <si>
    <t>114</t>
  </si>
  <si>
    <t>zzzSolinpet</t>
  </si>
  <si>
    <t>612 Sala Generadores Eléctricos</t>
  </si>
  <si>
    <t>CFHR</t>
  </si>
  <si>
    <t>COLQUE FLORES HERIBERTO RAMIRO</t>
  </si>
  <si>
    <t>SUPERVISIÓN DE OPERACIONES DEL SISTEMA DE CONTROL DE FLOTA</t>
  </si>
  <si>
    <t>115</t>
  </si>
  <si>
    <t>zzzSUMITOMO</t>
  </si>
  <si>
    <t>613 Planta Metalúrgica de Muestras</t>
  </si>
  <si>
    <t>CHMI</t>
  </si>
  <si>
    <t>COLQUE HUEN MIGUEL IVAN</t>
  </si>
  <si>
    <t>COLQUE HUEN MIGUEL IVAN - INGENIERO DE HIGIENE INDUSTRIAL</t>
  </si>
  <si>
    <t>116</t>
  </si>
  <si>
    <t>zzzTAUNUS</t>
  </si>
  <si>
    <t>614 Taller Mantenimiento General de Vehículos</t>
  </si>
  <si>
    <t>CQRR</t>
  </si>
  <si>
    <t>COLQUE QUISPE RONALD RUBEN</t>
  </si>
  <si>
    <t>COLQUE QUISPE RONALD RUBEN - ELECTROMECÁNICO DE MANTENIMIENTO MINA B</t>
  </si>
  <si>
    <t>117</t>
  </si>
  <si>
    <t>zzzTeczona</t>
  </si>
  <si>
    <t>615 Taller Extintores</t>
  </si>
  <si>
    <t>SUPERINTENDENCIA SÉNIOR DE MANTENIMIENTO MINA</t>
  </si>
  <si>
    <t>CRA</t>
  </si>
  <si>
    <t>COLQUE RAMOS ASCENCIO</t>
  </si>
  <si>
    <t>COLQUE RAMOS ASCENCIO - CAPATAZ DE ALMACÉN</t>
  </si>
  <si>
    <t>SUPERVISIÓN DE ALMACÉN MINA</t>
  </si>
  <si>
    <t>118</t>
  </si>
  <si>
    <t>zzzTEKON</t>
  </si>
  <si>
    <t>616 Playa Mantenimiento Vehículos</t>
  </si>
  <si>
    <t>CRS</t>
  </si>
  <si>
    <t>COLQUE RAMOS SANTOS</t>
  </si>
  <si>
    <t>COLQUE RAMOS SANTOS - COORDINADOR OPERATIVO DE CAMPAMENTO</t>
  </si>
  <si>
    <t>119</t>
  </si>
  <si>
    <t>zzzTelis SRL</t>
  </si>
  <si>
    <t>617 Almacén de Botellones a Presión</t>
  </si>
  <si>
    <t>CFJ</t>
  </si>
  <si>
    <t>CONDARCO FUENTES JHONY</t>
  </si>
  <si>
    <t>SUPERVISIÓN DE MANTENIMIENTO - RECURSOS HÍDRICOS Y VÍAS FERREAS</t>
  </si>
  <si>
    <t>120</t>
  </si>
  <si>
    <t>zzzTERVAP LTDA</t>
  </si>
  <si>
    <t>618 Obras Empresas Contratistas</t>
  </si>
  <si>
    <t>CGTL</t>
  </si>
  <si>
    <t>CONDARCO GONZALES TATIANA LITZI</t>
  </si>
  <si>
    <t>CONDARCO GONZALES TATIANA LITZI - ANALISTA SÉNIOR DE MANTENIMIENTO MINA</t>
  </si>
  <si>
    <t>121</t>
  </si>
  <si>
    <t>zzzTesra</t>
  </si>
  <si>
    <t>619 Almacen Toldos - Frente Mtto.Vehiculos</t>
  </si>
  <si>
    <t>CCHM</t>
  </si>
  <si>
    <t>CONDORCETH CALLPA HELMER MAICOL</t>
  </si>
  <si>
    <t>CONDORCETH CALLPA HELMER MAICOL - PLANIFICADOR DE MINA CORTO PLAZO</t>
  </si>
  <si>
    <t>122</t>
  </si>
  <si>
    <t>zzzTifón Aucapiña Coro</t>
  </si>
  <si>
    <t>620 Galpón Geología</t>
  </si>
  <si>
    <t>CCWN</t>
  </si>
  <si>
    <t>COPA CABRERA WILLIAM NITO</t>
  </si>
  <si>
    <t>COPA CABRERA WILLIAM NITO - CAPATAZ DE CHANCADOR PRIMARIO</t>
  </si>
  <si>
    <t>123</t>
  </si>
  <si>
    <t>zzzTIRETEK</t>
  </si>
  <si>
    <t>70 AREA CAMPAMENTO AGUIRRE</t>
  </si>
  <si>
    <t>SUPERINTENDENCIA DE INGENIERÍA MINA</t>
  </si>
  <si>
    <t>CCJY</t>
  </si>
  <si>
    <t>COPA CACERES JHOVANA YOLANDA</t>
  </si>
  <si>
    <t>COPA CÁCERES JHOVANA YOLANDA - ANALISTA SÉNIOR DE SOPORTE DE RECURSOS HUMANOS</t>
  </si>
  <si>
    <t>124</t>
  </si>
  <si>
    <t>zzzTRADECO</t>
  </si>
  <si>
    <t>701 Oficinas</t>
  </si>
  <si>
    <t>CCEE</t>
  </si>
  <si>
    <t>COPA CALCINA EDDY EDWIN</t>
  </si>
  <si>
    <t>125</t>
  </si>
  <si>
    <t>zzzTrans Nor lipez</t>
  </si>
  <si>
    <t>702 Dormitorios</t>
  </si>
  <si>
    <t>CFJL</t>
  </si>
  <si>
    <t>COPA FLORES JOSE LUIS</t>
  </si>
  <si>
    <t>COPA FLORES JOSE LUIS - ELECTROMECÁNICO DE MANTENIMIENTO MINA B</t>
  </si>
  <si>
    <t>126</t>
  </si>
  <si>
    <t>zzzTrans Santiago</t>
  </si>
  <si>
    <t>703 Salas de Recreación</t>
  </si>
  <si>
    <t>CTJP</t>
  </si>
  <si>
    <t>COPA TICONA JOSE PANFILO</t>
  </si>
  <si>
    <t>COPA TICONA JOSÉ PÁNFILO - INSTRUCTOR OPERATIVO MINA</t>
  </si>
  <si>
    <t>127</t>
  </si>
  <si>
    <t>zzzTrans Severino</t>
  </si>
  <si>
    <t>704 Sala de Televisión</t>
  </si>
  <si>
    <t>CURF</t>
  </si>
  <si>
    <t>CORDOVA UYULI RONALD FELIX</t>
  </si>
  <si>
    <t>CORDOVA UYULI RONALD FELIX - OPERADOR DE ALMACÉN</t>
  </si>
  <si>
    <t>128</t>
  </si>
  <si>
    <t>zzzTrans Tiñini</t>
  </si>
  <si>
    <t>705 Salas de Capacitación</t>
  </si>
  <si>
    <t>CVMR</t>
  </si>
  <si>
    <t>CORONADO VILLCA MARCELO ROLANDO</t>
  </si>
  <si>
    <t>CORONADO VILLCA MARCELO ROLANDO - ANALISTA SÉNIOR DE PLANIFICACIÓN Y FINANZAS</t>
  </si>
  <si>
    <t>129</t>
  </si>
  <si>
    <t>zzzTransportes Ali</t>
  </si>
  <si>
    <t>706 Estacionamiento de Vehículos</t>
  </si>
  <si>
    <t>CMPG</t>
  </si>
  <si>
    <t>CORTEZ MENACHO PAULO GERSON</t>
  </si>
  <si>
    <t>CORTEZ MENACHO PAULO GERSON - ELECTROMECÁNICO DE MANTENIMIENTO MINA</t>
  </si>
  <si>
    <t>130</t>
  </si>
  <si>
    <t>zzzVERDUGUEZ</t>
  </si>
  <si>
    <t>707 Estacionamiento de Buses</t>
  </si>
  <si>
    <t>CLSA</t>
  </si>
  <si>
    <t>CRUZ LOVERA SANTOS ADOLFO</t>
  </si>
  <si>
    <t>CRUZ LOVERA SANTOS ADOLFO - COORDINADOR TÉCNICO OPERATIVO</t>
  </si>
  <si>
    <t>SUPERVISIÓN DE TRANSPORTE INTERNO Y AERÓDROMO</t>
  </si>
  <si>
    <t>131</t>
  </si>
  <si>
    <t>zzzWalter Vaca (Consultor)</t>
  </si>
  <si>
    <t>708 Acomodamiento Deportivo</t>
  </si>
  <si>
    <t>CRW</t>
  </si>
  <si>
    <t>CRUZ RODRIGUEZ WILMERS</t>
  </si>
  <si>
    <t>132</t>
  </si>
  <si>
    <t>zzzWGB</t>
  </si>
  <si>
    <t>709 Almacenes Comestibles</t>
  </si>
  <si>
    <t>CVNW</t>
  </si>
  <si>
    <t>CRUZ VASQUEZ NELSON WILDER</t>
  </si>
  <si>
    <t>CRUZ VASQUEZ NELSON WILDER - COORDINADOR DE PROYECTOS SOCIALES</t>
  </si>
  <si>
    <t>710 Almacenes Generales</t>
  </si>
  <si>
    <t>DMME</t>
  </si>
  <si>
    <t>DALENCE MALDONADO MARIA ELENA</t>
  </si>
  <si>
    <t>DALENCE MALDONADO MARIA ELENA - RESPONSABLE DE VIAJES Y TRANSPORTE</t>
  </si>
  <si>
    <t>711 Preparación de Alimentos</t>
  </si>
  <si>
    <t>DMY</t>
  </si>
  <si>
    <t>DAVILA MARIN YAMED</t>
  </si>
  <si>
    <t>DAVILA MARIN YAMED - ANALISTA SÉNIOR DE RECURSOS HUMANOS - NÓMINAS</t>
  </si>
  <si>
    <t>SUPERVISIÓN SÉNIOR DE GESTIÓN DE RECURSOS HUMANOS</t>
  </si>
  <si>
    <t>SUPERVISIÓN DE NÓMINAS</t>
  </si>
  <si>
    <t>712 Lavado de Vajillas</t>
  </si>
  <si>
    <t>DFW</t>
  </si>
  <si>
    <t>DELGADO FLORES WILSON</t>
  </si>
  <si>
    <t>DELGADO FLORES WILSON - OFICIAL SÉNIOR DE IMPORTACIONES</t>
  </si>
  <si>
    <t>713 Comedor</t>
  </si>
  <si>
    <t>nombre</t>
  </si>
  <si>
    <t>ramiro</t>
  </si>
  <si>
    <t>juan</t>
  </si>
  <si>
    <t>DCW</t>
  </si>
  <si>
    <t>DIAZ CONDORI WILBER</t>
  </si>
  <si>
    <t>DIAZ CONDORI WILBER - ELECTROMECÁNICO DE MANTENIMIENTO MINA</t>
  </si>
  <si>
    <t>714 Servicios Higiénicos</t>
  </si>
  <si>
    <t>DDMRJ</t>
  </si>
  <si>
    <t>DIEZ DE MEDINA ROMERO JAVIER</t>
  </si>
  <si>
    <t>DIEZ DE MEDINA ROMERO JAVIER - VICEPRESIDENTE CORPORATIVO</t>
  </si>
  <si>
    <t>715 Casa de Cambio</t>
  </si>
  <si>
    <t>DFJ</t>
  </si>
  <si>
    <t>DONAIRE FELIX JAVIER</t>
  </si>
  <si>
    <t>DONAIRE FELIX JAVIER - OPERADOR DE ALMACÉN</t>
  </si>
  <si>
    <t>716 Planta Tratamiento de Aguas Negras</t>
  </si>
  <si>
    <t>DMJM</t>
  </si>
  <si>
    <t>DURAN MEDINA JHOANNA MERCEDES</t>
  </si>
  <si>
    <t>DURAN MEDINA JHOANNA MERCEDES - ANALISTA SÉNIOR DE GESTIÓN DE PROCESOS Y MEJORA CONTINUA</t>
  </si>
  <si>
    <t>717 Doce Casas</t>
  </si>
  <si>
    <t>DSRA</t>
  </si>
  <si>
    <t>DURAN SAPIENCIA RONALD ABEL</t>
  </si>
  <si>
    <t>718 Lavandería</t>
  </si>
  <si>
    <t>ELM</t>
  </si>
  <si>
    <t>ENRIQUEZ LINARES MIREYA</t>
  </si>
  <si>
    <t>ENRIQUEZ LINARES MIREYA - ANALISTA SÉNIOR DE GESTIÓN DE LA INFORMACIÓN ALMACENES Y COMBUSTIBLES</t>
  </si>
  <si>
    <t>719 Sala de Calderos</t>
  </si>
  <si>
    <t>ELNS</t>
  </si>
  <si>
    <t>ERQUICIA LANDEAU NATALIA SOFIA</t>
  </si>
  <si>
    <t>ERQUICIA LANDEAU NATALIA SOFIA - ANALISTA SÉNIOR DE GESTIÓN OPERATIVA DE MANTENIMIENTO PLANTA</t>
  </si>
  <si>
    <t>720 Caminos de circulación</t>
  </si>
  <si>
    <t>ERLC</t>
  </si>
  <si>
    <t>ESCAMILLA RUVALCABA LUIS CARLOS</t>
  </si>
  <si>
    <t>ESCAMILLA RUVALCABA LUIS CARLOS - GERENTE DE OPERACIONES MINA</t>
  </si>
  <si>
    <t>721 Sala Generadores Eléctricos</t>
  </si>
  <si>
    <t>ESIV</t>
  </si>
  <si>
    <t>ESPADA SANJINES IVANA VALENTINA</t>
  </si>
  <si>
    <t>ESPADA SANJINES IVANA VALENTINA - ESPECIALISTA DE SISTEMA DE GESTIÓN</t>
  </si>
  <si>
    <t>722 Cámaras Frigoríficas</t>
  </si>
  <si>
    <t>EORF</t>
  </si>
  <si>
    <t>ESPINOZA OSORIO RAUL FERNANDO</t>
  </si>
  <si>
    <t>ESPINOZA OSORIO RAUL FERNANDO - ESPECIALISTA ASESOR EN ATENCIÓN EN SALUD</t>
  </si>
  <si>
    <t>723 E-Café</t>
  </si>
  <si>
    <t>ETW</t>
  </si>
  <si>
    <t>ESPINOZA TERAN WILSON</t>
  </si>
  <si>
    <t>ESPINOZA TERAN WILSON - COORDINADOR DE ALMACÉN</t>
  </si>
  <si>
    <t>724 Talleres Mantenimiento</t>
  </si>
  <si>
    <t>ECJE</t>
  </si>
  <si>
    <t>EUGENIO CHOQUE JHONNY ELIAS</t>
  </si>
  <si>
    <t>EUGENIO CHOQUE JHONNY ELIAS - ESPECIALISTA EN INSTRUMENTACIÓN / ELÉCTRICO</t>
  </si>
  <si>
    <t>SUPERVISIÓN DE MANTENIMIENTO - INSTRUMENTACIÓN</t>
  </si>
  <si>
    <t>725 Obras Empresas Contratistas</t>
  </si>
  <si>
    <t>FMA</t>
  </si>
  <si>
    <t>FERNANDEZ MAMANI ABNER</t>
  </si>
  <si>
    <t>FERNANDEZ MAMANI ABNER - COORDINADOR DE MANTENIMIENTO MINA</t>
  </si>
  <si>
    <t>726 Cocina</t>
  </si>
  <si>
    <t>FMAM</t>
  </si>
  <si>
    <t>FERNANDEZ MORALES ANA MARIA</t>
  </si>
  <si>
    <t>FERNANDEZ MORALES ANA MARIA - ANALISTA SÉNIOR DE DESARROLLO ORGANIZACIONAL</t>
  </si>
  <si>
    <t>80 OTRAS AREAS</t>
  </si>
  <si>
    <t>FRR</t>
  </si>
  <si>
    <t>FERNANDEZ RUIZ RAMIRO</t>
  </si>
  <si>
    <t>FERNANDEZ RUIZ RAMIRO - SUPERINTENDENTE DE INGENIERÍA PLANTA</t>
  </si>
  <si>
    <t>801 Garitas de Ingreso</t>
  </si>
  <si>
    <t>FAE</t>
  </si>
  <si>
    <t>FLORES ACHOCALLA ESTEBAN</t>
  </si>
  <si>
    <t>FLORES ACHOCALLA ESTEBAN - COORDINADOR DE MANTENIMIENTO MINA</t>
  </si>
  <si>
    <t>802 Estacionamiento Interno de Vehículos</t>
  </si>
  <si>
    <t>FGNR</t>
  </si>
  <si>
    <t>FLORES GUTIERREZ NESTOR ROMAN</t>
  </si>
  <si>
    <t>803 Parqueo Externo de Vehículos</t>
  </si>
  <si>
    <t>FMWD</t>
  </si>
  <si>
    <t>FLORES MAMANI WILFREDO DAVID</t>
  </si>
  <si>
    <t>FLORES MAMANI WILFREDO DAVID - GEÓLOGO DE EXPLORACIÓN</t>
  </si>
  <si>
    <t>804 Garitas de Vigilancia</t>
  </si>
  <si>
    <t>FMR</t>
  </si>
  <si>
    <t>FLORES MERCADO RICARDO</t>
  </si>
  <si>
    <t>FLORES MERCADO RICARDO - CAPATAZ DE ALMACÉN</t>
  </si>
  <si>
    <t>805 Relleno Sanitario</t>
  </si>
  <si>
    <t>GAMA</t>
  </si>
  <si>
    <t>GARCIA AGREDA MARCO ANTONIO</t>
  </si>
  <si>
    <t>SUPERVISIÓN DE MANTENIMIENTO - LUBRICACIÓN, PUENTES GRÚA/LABORATORIOS</t>
  </si>
  <si>
    <t>806 Obradores Empresas Contratista</t>
  </si>
  <si>
    <t>GBBJ</t>
  </si>
  <si>
    <t>GARCIA BAILEY BORIS JAVIER</t>
  </si>
  <si>
    <t>GARCIA BAILEY BORIS JAVIER - QUÍMICO SÉNIOR</t>
  </si>
  <si>
    <t>807 Aeródromo</t>
  </si>
  <si>
    <t>GNRS</t>
  </si>
  <si>
    <t>GARNICA NUGETT ROGER SERGIO</t>
  </si>
  <si>
    <t>808 Caminos Internos</t>
  </si>
  <si>
    <t>GP</t>
  </si>
  <si>
    <t>GAVRIL PORA</t>
  </si>
  <si>
    <t>GAVRIL PORA - GERENTE DE MANTENIMIENTO MINA</t>
  </si>
  <si>
    <t>809 Carreteras a Comunidades</t>
  </si>
  <si>
    <t>GEJJ</t>
  </si>
  <si>
    <t>GOMEZ ECHENIQUE JORGE JOHANN</t>
  </si>
  <si>
    <t>GOMEZ ECHENIQUE JORGE JOHANN - SUPERVISOR SÉNIOR DE MANTENIMIENTO MINA - REPARACIÓN DE COMPONENTES</t>
  </si>
  <si>
    <t>810 Comunidades</t>
  </si>
  <si>
    <t>GSMD</t>
  </si>
  <si>
    <t>GOMEZ SORIA MOIRA DANIELA</t>
  </si>
  <si>
    <t>GOMEZ SORIA MOIRA DANIELA - QUÍMICO ANALISTA AMBIENTAL</t>
  </si>
  <si>
    <t>811 Oficina La Paz</t>
  </si>
  <si>
    <t>GVAO</t>
  </si>
  <si>
    <t>GOMEZ VELASCO ARIEL OSMAR</t>
  </si>
  <si>
    <t>GOMEZ VELASCO ARIEL OSMAR - COORDINADOR DE MANTENIMIENTO MINA</t>
  </si>
  <si>
    <t>812 Hangar El Alto</t>
  </si>
  <si>
    <t>GVL</t>
  </si>
  <si>
    <t>GOMEZ VELASCO LIMBERT</t>
  </si>
  <si>
    <t>GOMEZ VELASCO LIMBERT - SUPERVISOR DE MANTENIMIENTO</t>
  </si>
  <si>
    <t>813 Oficina Potosí</t>
  </si>
  <si>
    <t>GCGJ</t>
  </si>
  <si>
    <t>GONZALES COLQUE GONZALO JESUS</t>
  </si>
  <si>
    <t>GONZALES COLQUE GONZALO JESUS - CAPATAZ DE FLOTACIÓN Y MOLIENDA</t>
  </si>
  <si>
    <t>814 Obrador Manejo Materiales</t>
  </si>
  <si>
    <t>GCB</t>
  </si>
  <si>
    <t>GONZALES COPA BASILIO</t>
  </si>
  <si>
    <t>GONZÁLES COPA BASILIO - COORDINADOR TÉCNICO OPERATIVO</t>
  </si>
  <si>
    <t>815 Obras Empresas Contratistas</t>
  </si>
  <si>
    <t>GDYH</t>
  </si>
  <si>
    <t>GONZALES DOMINGUEZ YERKO HERBERT</t>
  </si>
  <si>
    <t>GONZALES DOMINGUEZ YERKO HERBERT - SUPERINTENDENTE DE SEGURIDAD INDUSTRIAL</t>
  </si>
  <si>
    <t>816 Carguío de Agua a Cisternas</t>
  </si>
  <si>
    <t>GGMR</t>
  </si>
  <si>
    <t>GONZALES GEMIO MARIO RAMIRO</t>
  </si>
  <si>
    <t>GONZALES GEMIO MARIO RAMIRO - ANALISTA SÉNIOR DE SEGURIDAD INDUSTRIAL</t>
  </si>
  <si>
    <t>817 Antenas Cerillos</t>
  </si>
  <si>
    <t>GQBH</t>
  </si>
  <si>
    <t>GONZALES QUISPE BERTY HILARION</t>
  </si>
  <si>
    <t>GONZALES QUISPE BERTY HILARIÓN - ELECTROMECÁNICO DE MANTENIMIENTO MINA</t>
  </si>
  <si>
    <t>818 Planta Silos Cayara</t>
  </si>
  <si>
    <t>GQRJ</t>
  </si>
  <si>
    <t>GONZALES QUISPE RUBEN JUAN</t>
  </si>
  <si>
    <t>GONZALES QUISPE RUBEN JUAN - COORDINADOR INFRAESTRUCTURA TO MINA</t>
  </si>
  <si>
    <t>819 Planta de Hormigón</t>
  </si>
  <si>
    <t>GSJG</t>
  </si>
  <si>
    <t>GORRITI SAIRE JORGE GUSTAVO</t>
  </si>
  <si>
    <t>GORRITI SAIRE JORGE GUSTAVO - PLANIFICADOR DE MANTENIMIENTO MINA</t>
  </si>
  <si>
    <t>SUPERINTENDENCIA DE MANTTO. MINA - PLANIFICACIÓN, PROGRAMACIÓN Y CONFIABILIDAD</t>
  </si>
  <si>
    <t>SUPERVISIÓN DE MANTENIMIENTO MINA - PLANIFICACIÓN, PROGRAMACIÓN Y CONFIABILIDAD</t>
  </si>
  <si>
    <t>820 Río Jaukihua</t>
  </si>
  <si>
    <t>GLMG</t>
  </si>
  <si>
    <t>GUMUCIO LOPEZ MIRKO GEOVANY</t>
  </si>
  <si>
    <t>GUMUCIO LÓPEZ MIRKO GEOVANY - SUPERVISOR DE HIGIENE INDUSTRIAL</t>
  </si>
  <si>
    <t>821 Río Toldos</t>
  </si>
  <si>
    <t>GAJ</t>
  </si>
  <si>
    <t>GUTIERREZ ALI JOSE</t>
  </si>
  <si>
    <t>GUTIERREZ ALI JOSE - COORDINADOR DE PLOMERÍA Y MANTENIMIENTO ELÉCTRICO RESIDENCIAL</t>
  </si>
  <si>
    <t>SUPERVISIÓN DE SERVICIOS E INFRAESTRUCTURA</t>
  </si>
  <si>
    <t>822 Linea Ferrea Externa</t>
  </si>
  <si>
    <t>GAPW</t>
  </si>
  <si>
    <t>GUTIERREZ ALY PRESENTACION WILLIAMS</t>
  </si>
  <si>
    <t>GUTIERREZ ALY PRESENTACIÓN WILLIAMS - OPERADOR DE ALMACÉN</t>
  </si>
  <si>
    <t>823 Tanque TK</t>
  </si>
  <si>
    <t>GHM</t>
  </si>
  <si>
    <t>GUTIERREZ HUARACHI MARCELINO</t>
  </si>
  <si>
    <t>GUTIERREZ HUARACHI MARCELINO - ESPECIALISTA DE MANTENIMIENTO MECÁNICO / LUBRICACIÓN</t>
  </si>
  <si>
    <t>825 Campamento ISIDORITO</t>
  </si>
  <si>
    <t>GLPA</t>
  </si>
  <si>
    <t>GUTIERREZ LEON PATRICIA ADELAIDA</t>
  </si>
  <si>
    <t>GUTIÉRREZ LEÓN PATRICIA ADELAIDA - ANALISTA SÉNIOR DE ADQUISICIONES DE SERVICIOS</t>
  </si>
  <si>
    <t>SUPERVISIÓN DE ADQUISICIONES DE SERVICIOS</t>
  </si>
  <si>
    <t>826 Operaciones ISIDORITO</t>
  </si>
  <si>
    <t>GPG</t>
  </si>
  <si>
    <t>GUTIERREZ PATON GROVER</t>
  </si>
  <si>
    <t>GUTIERREZ PATON GROVER - INSTRUCTOR DE ENTRENAMIENTO MINA</t>
  </si>
  <si>
    <t>827 Otros ISIDORITO</t>
  </si>
  <si>
    <t>GTLV</t>
  </si>
  <si>
    <t>GUTIERREZ TORRES LUGO VINICIO</t>
  </si>
  <si>
    <t>GUTIERREZ TORRES LUGO VINICIO - SUPERINTENDENTE DE EXPORTACIONES</t>
  </si>
  <si>
    <t>828 Nuevo Laboratorio Químico</t>
  </si>
  <si>
    <t>GPPG</t>
  </si>
  <si>
    <t>GUYON PHILIPPE PIERRE GEORGES</t>
  </si>
  <si>
    <t>GUYON PHILIPPE PIERRE GEORGES - GERENTE DE MANTENIMIENTO PLANTA</t>
  </si>
  <si>
    <t>9 NA</t>
  </si>
  <si>
    <t>GSM</t>
  </si>
  <si>
    <t>GUZMAN SOLIZ MAURO</t>
  </si>
  <si>
    <t>GUZMAN SOLIZ MAURO - PLANIFICADOR DE MANTENIMIENTO</t>
  </si>
  <si>
    <t>91 88 Reactivos</t>
  </si>
  <si>
    <t>HTH</t>
  </si>
  <si>
    <t>HERBAS TORREZ HENRY</t>
  </si>
  <si>
    <t>92 Vía Principal Lado Planta</t>
  </si>
  <si>
    <t>HARD</t>
  </si>
  <si>
    <t>HUACAÑA AJHUACHO RAMIRO DANIEL</t>
  </si>
  <si>
    <t>HUACAÑA AJHUACHO RAMIRO DANIEL - ESPECIALISTA MECÁNICO / DE LUBRICACIÓN</t>
  </si>
  <si>
    <t>HFT</t>
  </si>
  <si>
    <t>HUARACHI FERNANDEZ TIORON</t>
  </si>
  <si>
    <t>HUARACHI FERNANDEZ TIORON - COORDINADOR TÉCNICO OPERATIVO DE MANTENIMIENTO DE VEHÍCULOS Y EQUIPOS MÓVILES</t>
  </si>
  <si>
    <t>HLRA</t>
  </si>
  <si>
    <t>HUARACHI LEAÑO RICHARD ANTONIO</t>
  </si>
  <si>
    <t>HUARACHI LEAÑO RICHARD ANTONIO - SUPERVISOR SÉNIOR DE MANTENIMIENTO MINA - SOLDADURA Y FABRICACIÓN</t>
  </si>
  <si>
    <t>SUPERVISIÓN SÉNIOR DE MANTENIMIENTO MINA - SOLDADURA Y FABRICACIÓN</t>
  </si>
  <si>
    <t>HMNO</t>
  </si>
  <si>
    <t>HUARACHI MAMANI NOEL OVIDIO</t>
  </si>
  <si>
    <t>HMRC</t>
  </si>
  <si>
    <t>HUARICALLO MONASTERIOS RAMIRO CESAR</t>
  </si>
  <si>
    <t>HUARICALLO MONASTERIOS RAMIRO CESAR - ESPECIALISTA DE MANTENIMIENTO MECÁNICO / LUBRICACIÓN</t>
  </si>
  <si>
    <t>HDJDD</t>
  </si>
  <si>
    <t>HUAYLLANI DELGADO JUAN DE DIOS</t>
  </si>
  <si>
    <t>SUPERVISIÓN DE MANTENIMIENTO - CONFIABILIDAD MECÁNICO</t>
  </si>
  <si>
    <t>HEE</t>
  </si>
  <si>
    <t>HUAYLLAS ESQUIVEL ERWIN</t>
  </si>
  <si>
    <t>HUAYLLAS ESQUIVEL ERWIN - ESPECIALISTA EN INSTRUMENTACIÓN / ELÉCTRICO</t>
  </si>
  <si>
    <t>IBRR</t>
  </si>
  <si>
    <t>IBAÑEZ BALANZA ROGER RODRIGO</t>
  </si>
  <si>
    <t>IBAÑEZ BALANZA ROGER RODRIGO - PLANIFICADOR DE MANTENIMIENTO DE VEHÍCULOS Y EQUIPOS MÓVILES</t>
  </si>
  <si>
    <t>ICRM</t>
  </si>
  <si>
    <t>IMAÑA CASTRO RUBEN MARCELO</t>
  </si>
  <si>
    <t>JCAJ</t>
  </si>
  <si>
    <t>JARPA CALLAHUANCA ARIEL JACINTO</t>
  </si>
  <si>
    <t>JNEM</t>
  </si>
  <si>
    <t>JAUREGUI NAVARRO ENRIQUE MARTIN</t>
  </si>
  <si>
    <t>JAUREGUI NAVARRO ENRIQUE MARTIN - ESPECIALISTA DE SOPORTE DE TI</t>
  </si>
  <si>
    <t>SUPERVISIÓN DE INFRAESTRUCTURA DE TI</t>
  </si>
  <si>
    <t>KDW</t>
  </si>
  <si>
    <t>KING DAVID WARREN</t>
  </si>
  <si>
    <t>KING DAVID WARREN - VICEPRESIDENTE DE OPERACIONES</t>
  </si>
  <si>
    <t>KBPJ</t>
  </si>
  <si>
    <t>KRALJEVIC BUSTOS PETER JAIME</t>
  </si>
  <si>
    <t>KRALJEVIC BUSTOS PETER JAIME - PLANIFICADOR SÉNIOR DE MANTENIMIENTO MINA</t>
  </si>
  <si>
    <t>LBRA</t>
  </si>
  <si>
    <t>LAGRAVA BURGOA RONALD AUGUSTO</t>
  </si>
  <si>
    <t>LAGRAVA BURGOA RONALD AUGUSTO - SUPERINTENDENTE SÉNIOR DE SALUD</t>
  </si>
  <si>
    <t>LCB</t>
  </si>
  <si>
    <t>LAZO CAYO BERNARDO</t>
  </si>
  <si>
    <t>LAZO CAYO BERNARDO - PLANIFICADOR DE MANTENIMIENTO</t>
  </si>
  <si>
    <t>LCBB</t>
  </si>
  <si>
    <t>LAZO CAYO BLADIMIR BRAULIO</t>
  </si>
  <si>
    <t>LAZO CAYO BLADIMIR BRAULIO - SUPERVISOR SÉNIOR DE GESTIÓN DE MANTENIMIENTO DE VEHÍCULOS Y EQUIPOS MÓVILES</t>
  </si>
  <si>
    <t>LCJ</t>
  </si>
  <si>
    <t>LAZO CAYO JACINTO</t>
  </si>
  <si>
    <t>LAZO CAYO JACINTO - CAPATAZ DE SERVICIOS DE MUESTREO Y PREPARACIÓN DE MUESTRAS</t>
  </si>
  <si>
    <t>LCWV</t>
  </si>
  <si>
    <t>LAZO CAYO WILSON VICENTE</t>
  </si>
  <si>
    <t>LCH</t>
  </si>
  <si>
    <t>LAZO CORDOVA HERNAN</t>
  </si>
  <si>
    <t>LAZO CORDOVA HERNAN - COORDINADOR DE HOSPEDAJE</t>
  </si>
  <si>
    <t>LLSS</t>
  </si>
  <si>
    <t>LAZO LUPA SAUL SANTIAGO</t>
  </si>
  <si>
    <t>LAZO LUPA SAÚL SANTIAGO - INSTRUCTOR OPERATIVO MINA</t>
  </si>
  <si>
    <t>LSMA</t>
  </si>
  <si>
    <t>LEAÑO SAAVEDRA MARCO ANTONIO</t>
  </si>
  <si>
    <t>LEAÑO SAAVEDRA MARCO ANTONIO - SUPERVISOR DE SEGURIDAD FÍSICA</t>
  </si>
  <si>
    <t>LCF</t>
  </si>
  <si>
    <t>LIMA CARO FREDDY</t>
  </si>
  <si>
    <t>LIMA CARO FREDDY - ESPECIALISTA DE MANTENIMIENTO MECÁNICO / LUBRICACIÓN</t>
  </si>
  <si>
    <t>LEMD</t>
  </si>
  <si>
    <t>LIMA ESCOBAR MOISES DIEGO</t>
  </si>
  <si>
    <t>LIMA ESCOBAR MOISES DIEGO - ELECTROMECÁNICO DE MANTENIMIENTO MINA</t>
  </si>
  <si>
    <t>LCAO</t>
  </si>
  <si>
    <t>LLAVE COLQUE ABRAHAM OVIDIO</t>
  </si>
  <si>
    <t>LSJA</t>
  </si>
  <si>
    <t>LLORENTY SOLIZ JORGE AMED</t>
  </si>
  <si>
    <t>LLORENTY SOLIZ JORGE AMED - ESPECIALISTA EN GESTIÓN ADMINISTRATIVA Y CORPORATIVA</t>
  </si>
  <si>
    <t>LPM</t>
  </si>
  <si>
    <t>LOAYZA PUCH MARTIN</t>
  </si>
  <si>
    <t>LOAYZA PUCH MARTIN - ANALISTA SÉNIOR DE CONTROL DE CALIDAD DE ALMACENES</t>
  </si>
  <si>
    <t>LMCJ</t>
  </si>
  <si>
    <t>LOPEZ MENDOZA CLAUDIO JESUS</t>
  </si>
  <si>
    <t>LOPEZ MENDOZA CLAUDIO JESUS - COORDINADOR TÉCNICO OPERATIVO DE GRÚAS Y VEHÍCULOS</t>
  </si>
  <si>
    <t>LQRK</t>
  </si>
  <si>
    <t>LOPEZ QUIROGA ROSSIO KATTIA</t>
  </si>
  <si>
    <t>SUPERVISIÓN DE MANTENIMIENTO GENERACIÓN Y AIRE ACONDICIONADO INDUSTRIAL</t>
  </si>
  <si>
    <t>LVDCA</t>
  </si>
  <si>
    <t>LOPEZ VIDAURRE DENYS CLEIDER ANIBAL</t>
  </si>
  <si>
    <t>LOPEZ VIDAURRE DENYS CLEIDER ANIBAL - INGENIERO EN SEGURIDAD INDUSTRIAL</t>
  </si>
  <si>
    <t>LVF</t>
  </si>
  <si>
    <t>LOPEZ VILLCA FRANCISCO</t>
  </si>
  <si>
    <t>LOPEZ VILLCA FRANCISCO - GEÓLOGO DE MINA</t>
  </si>
  <si>
    <t>LVP</t>
  </si>
  <si>
    <t>LOPEZ VILLCA PIO</t>
  </si>
  <si>
    <t>LOPEZ VILLCA PIO - PLANIFICADOR DE MINA A LARGO PLAZO</t>
  </si>
  <si>
    <t>LPCE</t>
  </si>
  <si>
    <t>LOZANO PAREJA CARLOS EDUARDO</t>
  </si>
  <si>
    <t>LOZANO PAREJA CARLOS EDUARDO - SUPERINTENDENTE DE SERVICIOS DE EXPLORACIÓN</t>
  </si>
  <si>
    <t>LTYL</t>
  </si>
  <si>
    <t>LUNA TELLEZ YURI LUIS</t>
  </si>
  <si>
    <t>LUNA TELLEZ YURI LUIS - COORDINADOR DE PLANIFICACIÓN DE MANTENIMIENTO AÉREO</t>
  </si>
  <si>
    <t>MMJC</t>
  </si>
  <si>
    <t>MACHACA MAMANI JUAN CARLOS</t>
  </si>
  <si>
    <t>MACHACA MAMANI JUAN CARLOS - COORDINADOR DE SERVICIOS E INFRAESTRUCTURA</t>
  </si>
  <si>
    <t>MMFGJ</t>
  </si>
  <si>
    <t>MACHACA MARTINEZ FREDDY GUSTAVO JUVENAL</t>
  </si>
  <si>
    <t>MACHACA MARTÍNEZ FREDDY GUSTAVO JUVENAL - ESPECIALISTA EN GRUPOS ELECTRÓGENOS</t>
  </si>
  <si>
    <t>MGDJ</t>
  </si>
  <si>
    <t>MACHICADO GOMEZ DAVID JUAN</t>
  </si>
  <si>
    <t>MACHICADO GOMEZ DAVID JUAN - ESPECIALISTA ENCARGADO ÁREA MÉDICA</t>
  </si>
  <si>
    <t>MVDH</t>
  </si>
  <si>
    <t>MACHICADO VISCARRA DAVID HAROLD</t>
  </si>
  <si>
    <t>MACHICADO VISCARRA DAVID HAROLD - SUPERINTENDENTE DE CONTABILIDAD</t>
  </si>
  <si>
    <t>MCAL</t>
  </si>
  <si>
    <t>MACIAS CLAVIJO ANDREA LORENA</t>
  </si>
  <si>
    <t>MACIAS CLAVIJO ANDREA LORENA - GERENTE DE SERVICIOS DE TRANSPORTE Y AVIACIÓN</t>
  </si>
  <si>
    <t>MTM</t>
  </si>
  <si>
    <t>MAIDANA TARQUINO MARCELO</t>
  </si>
  <si>
    <t>MAIDANA TARQUINO MARCELO - SUPERINTENDENTE ADMINISTRATIVO DE OPERACIONES</t>
  </si>
  <si>
    <t>MMO</t>
  </si>
  <si>
    <t>MALDONADO MAMANI OSCAR</t>
  </si>
  <si>
    <t>MALDONADO MAMANI OSCAR - INGENIERO SÉNIOR DE INFRAESTRUCTURA TO PLANTA</t>
  </si>
  <si>
    <t>MLG</t>
  </si>
  <si>
    <t>MALLCU LIMACHE GUIDO</t>
  </si>
  <si>
    <t>MAH</t>
  </si>
  <si>
    <t>MAMANI APAZA HUGO</t>
  </si>
  <si>
    <t>MAMANI APAZA HUGO - ESPECIALISTA MECÁNICO / DE LUBRICACIÓN</t>
  </si>
  <si>
    <t>MCE</t>
  </si>
  <si>
    <t>MAMANI CALLISAYA EDGAR</t>
  </si>
  <si>
    <t>MAMANI CALLISAYA EDGAR - ELECTROMECÁNICO DE MANTENIMIENTO MINA A</t>
  </si>
  <si>
    <t>MCR</t>
  </si>
  <si>
    <t>MAMANI CARAL ROMAN</t>
  </si>
  <si>
    <t>MAMANI CARAL ROMAN - ADMINISTRADOR DE INFRAESTRUCTURA DE TI</t>
  </si>
  <si>
    <t>MCFP</t>
  </si>
  <si>
    <t>MAMANI CONDORI FROILAN PLACIDO</t>
  </si>
  <si>
    <t>MAMANI CONDORI FROILAN PLACIDO - ELECTROMECÁNICO DE MANTENIMIENTO MINA</t>
  </si>
  <si>
    <t>MDL</t>
  </si>
  <si>
    <t>MAMANI DONAIRE LUCRECIO</t>
  </si>
  <si>
    <t>MGPM</t>
  </si>
  <si>
    <t>MAMANI GUARACHI PEDRO MANUEL</t>
  </si>
  <si>
    <t>MAMANI GUARACHI PEDRO MANUEL - ELECTROMECÁNICO DE MANTENIMIENTO MINA</t>
  </si>
  <si>
    <t>MKS</t>
  </si>
  <si>
    <t>MAMANI KAPAICO SERAPIO</t>
  </si>
  <si>
    <t>MAMANI KAPAICO SERAPIO - OPERADOR DE ALMACÉN</t>
  </si>
  <si>
    <t>MMA</t>
  </si>
  <si>
    <t>MAMANI MAMANI AUSBERTO</t>
  </si>
  <si>
    <t>MAMANI MAMANI AUSBERTO - COORDINADOR DE ALMACÉN</t>
  </si>
  <si>
    <t>MMF</t>
  </si>
  <si>
    <t>MAMANI MAMANI FILIBERTO</t>
  </si>
  <si>
    <t>MAMANI MAMANI FILIBERTO - COORDINADOR DE MANTENIMIENTO MINA - SOLDADURA Y FABRICACIÓN</t>
  </si>
  <si>
    <t>MMLO</t>
  </si>
  <si>
    <t>MAMANI MAMANI LUIS ORLANDO</t>
  </si>
  <si>
    <t>MMSF</t>
  </si>
  <si>
    <t>MAMANI MAMANI SAUL FAVIO</t>
  </si>
  <si>
    <t>MAMANI MAMANI SAUL FAVIO - ESPECIALISTA SOLDADOR/TUBERO</t>
  </si>
  <si>
    <t>MMS</t>
  </si>
  <si>
    <t>MAMANI MURAÑA SEGUNDINO</t>
  </si>
  <si>
    <t>MAMANI MURAÑA SEGUNDINO - ANALISTA SÉNIOR DE RELACIONES LABORALES</t>
  </si>
  <si>
    <t>SUPERVISIÓN SÉNIOR DE RELACIONES LABORALES</t>
  </si>
  <si>
    <t>MOJ</t>
  </si>
  <si>
    <t>MAMANI ORTEGA JUAN</t>
  </si>
  <si>
    <t>MAMANI ORTEGA JUAN - GERENTE DE RELACIONES COMUNITARIAS</t>
  </si>
  <si>
    <t>MPDG</t>
  </si>
  <si>
    <t>MAMANI PABLO DELFIN GREGORIO</t>
  </si>
  <si>
    <t>MAMANI PABLO DELFIN GREGORIO - OFICIAL SÉNIOR DE IMPORTACIONES</t>
  </si>
  <si>
    <t>MQE</t>
  </si>
  <si>
    <t>MAMANI QUISPE ERNESTO</t>
  </si>
  <si>
    <t>MAMANI QUISPE ERNESTO - SUPERVISOR DE GESTIÓN DE RESÍDUOS Y ÁREAS VERDES</t>
  </si>
  <si>
    <t>SUPERVISIÓN DE GESTIÓN DE RESIDUOS Y ÁREAS VERDES</t>
  </si>
  <si>
    <t>MVB</t>
  </si>
  <si>
    <t>MAMANI VASCO BERNARDINO</t>
  </si>
  <si>
    <t>MAMANI VASCO BERNARDINO - ESPECIALISTA SOLDADOR/TUBERO</t>
  </si>
  <si>
    <t>MQN</t>
  </si>
  <si>
    <t>MASSY QUIROGA NELSON</t>
  </si>
  <si>
    <t>MASSY QUIROGA NELSON - SUPERVISOR DE MEDIO AMBIENTE</t>
  </si>
  <si>
    <t>SUPERVISIÓN DE MEDIO AMBIENTE</t>
  </si>
  <si>
    <t>MGDE</t>
  </si>
  <si>
    <t>MENDOZA GOMEZ DIEGO ENRIQUE</t>
  </si>
  <si>
    <t>MENDOZA GÓMEZ DIEGO ENRIQUE - SUPERINTENDENTE DE TO</t>
  </si>
  <si>
    <t>MCFA</t>
  </si>
  <si>
    <t>MERCADO CHOQUETICLLA FRANZ ARIEL</t>
  </si>
  <si>
    <t>MERCADO CHOQUETICLLA FRANZ ARIEL - SUPERVISOR TO MINA</t>
  </si>
  <si>
    <t>MCAF</t>
  </si>
  <si>
    <t>MERCADO COLQUE ALVARO FERNANDO</t>
  </si>
  <si>
    <t>MERCADO COLQUE ALVARO FERNANDO - ELECTROMECÁNICO DE MANTENIMIENTO MINA</t>
  </si>
  <si>
    <t>MCL</t>
  </si>
  <si>
    <t>MERCADO CORDOVA LEONCIO</t>
  </si>
  <si>
    <t>MERCADO CÓRDOVA LEONCIO - COORDINADOR DE SERVICIOS AUXILIARES</t>
  </si>
  <si>
    <t>MML</t>
  </si>
  <si>
    <t>MERCADO MORENO LUCINDA</t>
  </si>
  <si>
    <t>MERCADO MORENO LUCINDA - SUPERVISOR DE NÓMINAS</t>
  </si>
  <si>
    <t>MQAS</t>
  </si>
  <si>
    <t>MERCADO QUISPE ANA SANDRA</t>
  </si>
  <si>
    <t>MERCADO QUISPE ANA SANDRA - ASISTENTE DE COMEDOR Y ALIMENTOS</t>
  </si>
  <si>
    <t>MBE</t>
  </si>
  <si>
    <t>METZENHEIM BRIAN EDRIC</t>
  </si>
  <si>
    <t>METZENHEIM BRIAN EDRIC - ESPECIALISTA SÉNIOR DE GEOLOGÍA SCM</t>
  </si>
  <si>
    <t>MER</t>
  </si>
  <si>
    <t>MIRANDA ESPINDOLA ROLY</t>
  </si>
  <si>
    <t>MIRANDA ESPÍNDOLA ROLY - COORDINADOR DE SERVICIOS DE CAMPAMENTO</t>
  </si>
  <si>
    <t>MMAM</t>
  </si>
  <si>
    <t>MIRANDA MIRANDA ANDREI MARCELO</t>
  </si>
  <si>
    <t>MIRANDA MIRANDA ANDREI MARCELO - ESPECIALISTA SÉNIOR EN GESTIÓN DE CALIDAD DE ATENCIÓN EN SALUD</t>
  </si>
  <si>
    <t>MORJ</t>
  </si>
  <si>
    <t>MIRANDA OSSIO RAFAEL JUAN</t>
  </si>
  <si>
    <t>MDJA</t>
  </si>
  <si>
    <t>MOLINA DAVALOS JESUS ARMANDO</t>
  </si>
  <si>
    <t>MOLINA DAVALOS JESUS ARMANDO - SUPERVISOR DE MANEJO DE MATERIALES OPERACIONES Y ENTRENAMIENTO</t>
  </si>
  <si>
    <t>SUPERVISIÓN DE MANEJO DE MATERIALES OPERACIONES Y ENTRENAMIENTO</t>
  </si>
  <si>
    <t>MMVD</t>
  </si>
  <si>
    <t>MOLINA MORALES VLADIMIR DAVID</t>
  </si>
  <si>
    <t>MPRM</t>
  </si>
  <si>
    <t>MONTOYA POLO ROBERTO MARCELO</t>
  </si>
  <si>
    <t>MONTOYA POLO ROBERTO MARCELO - SUPERINTENDENTE DE MEDIO AMBIENTE</t>
  </si>
  <si>
    <t>MRJL</t>
  </si>
  <si>
    <t>MONTOYA RIVADINEIRA JUAN LUIS</t>
  </si>
  <si>
    <t>MONTOYA RIVADINEIRA JUAN LUIS - ADMINISTRADOR DE INFRAESTRUCTURA DE TI</t>
  </si>
  <si>
    <t>MCND</t>
  </si>
  <si>
    <t>MORALES CHUNGARA NICANOR DIONY</t>
  </si>
  <si>
    <t>MORALES CHUNGARA NICANOR DIONY - COORDINADOR DE MANTENIMIENTO MINA</t>
  </si>
  <si>
    <t>MORUNO CAMACHO RAMIRO</t>
  </si>
  <si>
    <t>MORUNO CAMACHO RAMIRO - SUPERVISOR DE DISEÑO Y CONSTRUCCIÓN - ELÉCTRICO E INSTRUMENTISTA</t>
  </si>
  <si>
    <t>MAJA</t>
  </si>
  <si>
    <t>MOSCOSO ABRAHAM JESUS ALEJANDRO</t>
  </si>
  <si>
    <t>MOSCOSO ABRAHAM JESUS ALEJANDRO - SUPERVISOR DE TESORERÍA Y CUENTAS POR PAGAR</t>
  </si>
  <si>
    <t>SUPERVISIÓN DE TESORERÍA Y CUENTAS POR PAGAR</t>
  </si>
  <si>
    <t>MMG</t>
  </si>
  <si>
    <t>MOYATA MAMANI GUSTAVO</t>
  </si>
  <si>
    <t>MOYATA MAMANI GUSTAVO - PLANIFICADOR SÉNIOR DE MINA A LARGO PLAZO</t>
  </si>
  <si>
    <t>MAER</t>
  </si>
  <si>
    <t>MUÑOZ ARANDIA ERICK RICARDO</t>
  </si>
  <si>
    <t>MSHT</t>
  </si>
  <si>
    <t>MUÑOZ SANCHEZ HILSEN TITO</t>
  </si>
  <si>
    <t>MUÑOZ SANCHEZ HILSEN TITO - COORDINADOR DE MANTENIMIENTO MINA</t>
  </si>
  <si>
    <t>MCJR</t>
  </si>
  <si>
    <t>MURAÑA CALCINA JAIME REYNALDO</t>
  </si>
  <si>
    <t>MURAÑA CALCINA JAIME REYNALDO - COORDINADOR EN RESPUESTA A EMERGENCIAS</t>
  </si>
  <si>
    <t>SUPERVISIÓN ELECTRICO DE SEGURIDAD INDUSTRIAL/ EMERGENCIAS</t>
  </si>
  <si>
    <t>MCRE</t>
  </si>
  <si>
    <t>MURAÑA CALCINA RODOLFO EMILIO</t>
  </si>
  <si>
    <t>MURAÑA CALCINA RODOLFO EMILIO - CAPATAZ DE SERVICIOS DE MUESTREO Y PREPARACIÓN DE MUESTRAS</t>
  </si>
  <si>
    <t>MCSM</t>
  </si>
  <si>
    <t>MURAÑA CALCINA SAUL MARCELO</t>
  </si>
  <si>
    <t>MURAÑA CALCINA SAUL MARCELO - ANALISTA OPERATIVO INFRAESTRUCTURA TO MINA</t>
  </si>
  <si>
    <t>MLF</t>
  </si>
  <si>
    <t>MURAÑA LAZO FAUSTINO</t>
  </si>
  <si>
    <t>MURAÑA LAZO FAUSTINO - ELECTROMECÁNICO DE MANTENIMIENTO MINA C</t>
  </si>
  <si>
    <t>MQJE</t>
  </si>
  <si>
    <t>MURAÑA QUISPE JAIME EUSTAQUIO</t>
  </si>
  <si>
    <t>MURAÑA QUISPE JAIME EUSTAQUIO - CAPATAZ OPERATIVO MINA</t>
  </si>
  <si>
    <t>MYNC</t>
  </si>
  <si>
    <t>MURAÑA YAÑEZ NEMESIO CLAUDIO</t>
  </si>
  <si>
    <t>MURAÑA YAÑEZ NEMESIO CLAUDIO - ELECTROMECÁNICO DE MANTENIMIENTO MINA A</t>
  </si>
  <si>
    <t>NCDI</t>
  </si>
  <si>
    <t>NAVARRO CALDERON DANIEL IVAN</t>
  </si>
  <si>
    <t>NAVARRO CALDERÓN DANIEL IVÁN - SUPERVISOR DE MANTENIMIENTO MINA - PLANIFICACIÓN, PROGRAMACIÓN Y CONFIABILIDAD</t>
  </si>
  <si>
    <t>NLJD</t>
  </si>
  <si>
    <t>NAVARRO LOROÑO JULIO DAVID</t>
  </si>
  <si>
    <t>NPJA</t>
  </si>
  <si>
    <t>NAVARRO PENTIMALLI JORGE ALVARO</t>
  </si>
  <si>
    <t>NAVARRO PENTIMALLI JORGE ALVARO - SUPERINTENDENTE DE ADQUISICIONES</t>
  </si>
  <si>
    <t>NMGL</t>
  </si>
  <si>
    <t>NOGALES MOLLINEDO GLORIA LIZHETT</t>
  </si>
  <si>
    <t>NOGALES MOLLINEDO GLORIA LIZHETT - RESPONSABLE DE SERVICIOS DE TRANSPORTE</t>
  </si>
  <si>
    <t>NGNP</t>
  </si>
  <si>
    <t>NOTTA GOMEZ NAYCO POLISOY</t>
  </si>
  <si>
    <t>NOTTA GOMEZ NAYCO POLISOY - INGENIERO EN SEGURIDAD INDUSTRIAL</t>
  </si>
  <si>
    <t>NMMM</t>
  </si>
  <si>
    <t>NUÑEZ MOLINA MARCELO MAURICIO</t>
  </si>
  <si>
    <t>NUÑEZ MOLINA MARCELO MAURICIO - SUPERVISOR DE RESPONSABILIDAD SOCIAL EXTERNA</t>
  </si>
  <si>
    <t>OER</t>
  </si>
  <si>
    <t>OJITO ESTRADA REMBERTO</t>
  </si>
  <si>
    <t>OJITO ESTRADA REMBERTO - SUPERINTENDENTE DE MANEJO DE MATERIALES</t>
  </si>
  <si>
    <t>OOMI</t>
  </si>
  <si>
    <t>ORDOÑEZ OROPEZA MARIA ISABEL</t>
  </si>
  <si>
    <t>ORDOÑEZ OROPEZA MARIA ISABEL - COORDINADOR ADMINISTRATIVO DE SERVICIOS DE SALUD</t>
  </si>
  <si>
    <t>SUPERVISIÓN DE SERVICIOS DE SALUD EXTERNA</t>
  </si>
  <si>
    <t>OLAI</t>
  </si>
  <si>
    <t>ORELLANA LLANOS ARIEL ISAAC</t>
  </si>
  <si>
    <t>ORELLANA LLANOS ARIEL ISAAC - SUPERVISOR DE CONTROL DE INVENTARIOS</t>
  </si>
  <si>
    <t>OAJC</t>
  </si>
  <si>
    <t>OROSCO ARANCIBIA JUAN CARLOS</t>
  </si>
  <si>
    <t>OME</t>
  </si>
  <si>
    <t>OSSIO MEZA EVANS</t>
  </si>
  <si>
    <t>OSSIO MEZA EVANS - SUPERVISOR DE MANTENIMIENTO MINA</t>
  </si>
  <si>
    <t>OVJD</t>
  </si>
  <si>
    <t>OSUNA VACAFLOR JOSE DANIEL</t>
  </si>
  <si>
    <t>OSUNA VACAFLOR JOSE DANIEL - SUPERVISOR SÉNIOR DE CAMPAMENTO</t>
  </si>
  <si>
    <t>OLJP</t>
  </si>
  <si>
    <t>OVIEDO LLANOS JUAN PABLO</t>
  </si>
  <si>
    <t>OVIEDO LLANOS JUAN PABLO - SUPERVISOR SÉNIOR DE TI &amp; SEGURIDAD</t>
  </si>
  <si>
    <t>PME</t>
  </si>
  <si>
    <t>PACHECO MELGAR EDGAR</t>
  </si>
  <si>
    <t>PACHECO MELGAR EDGAR - COORDINADOR GENERAL DE MANEJO DE MATERIALES</t>
  </si>
  <si>
    <t>PPF</t>
  </si>
  <si>
    <t>PACHECO PIZARRO FELIX</t>
  </si>
  <si>
    <t>PACHECO PIZARRO FELIX - ASISTENTE TÉCNICO EN REPARACIÓN DE COMPONENTES</t>
  </si>
  <si>
    <t>PREM</t>
  </si>
  <si>
    <t>PACO RAMOS ERICK MIROSLAV</t>
  </si>
  <si>
    <t>PMP</t>
  </si>
  <si>
    <t>PAREDES MAMANI PEDRO</t>
  </si>
  <si>
    <t>PAREDES MAMANI PEDRO - ESPECIALISTA DE MANTENIMIENTO MECÁNICO / LUBRICACIÓN</t>
  </si>
  <si>
    <t>PTIA</t>
  </si>
  <si>
    <t>PAREDES TERRAZAS IVAN ALBERTO</t>
  </si>
  <si>
    <t>PAREDES TERRAZAS IVAN ALBERTO - ESPECIALISTA DE MANTENIMIENTO MECÁNICO / LUBRICACIÓN</t>
  </si>
  <si>
    <t>PCM</t>
  </si>
  <si>
    <t>PATZI CONTRERAS MARIO</t>
  </si>
  <si>
    <t>PATZI CONTRERAS MARIO - ELECTROMECÁNICO DE MANTENIMIENTO MINA C</t>
  </si>
  <si>
    <t>PHD</t>
  </si>
  <si>
    <t>PAUCARA HILARI DIONISIO</t>
  </si>
  <si>
    <t>PBD</t>
  </si>
  <si>
    <t>PEREZ BERNA DAMASO</t>
  </si>
  <si>
    <t>PEREZ BERNA DAMASO - CAPATAZ DE FILTROS Y CARGUÍO</t>
  </si>
  <si>
    <t>PBG</t>
  </si>
  <si>
    <t>PEREZ BERNA GUALBERTO</t>
  </si>
  <si>
    <t>SUPERVISIÓN DE GEOTECNIA</t>
  </si>
  <si>
    <t>PMCA</t>
  </si>
  <si>
    <t>PEREZ MONDACA CARLOS ALBERTO</t>
  </si>
  <si>
    <t>PEREZ MONDACA CARLOS ALBERTO - SUPERVISOR DE APLICACIONES DE TI</t>
  </si>
  <si>
    <t>PRFR</t>
  </si>
  <si>
    <t>PEREZ ROMERO FRANZ REYNALDO</t>
  </si>
  <si>
    <t>PEREZ ROMERO FRANZ REYNALDO - SUPERVISOR ELÉCTRICO DE SEGURIDAD INDUSTRIAL-EMERGENCIAS</t>
  </si>
  <si>
    <t>PVEF</t>
  </si>
  <si>
    <t>PEREZ VISCARRA ENRIQUE FABIAN</t>
  </si>
  <si>
    <t>PEREZ VISCARRA ENRIQUE FABIAN - GERENTE DE RECURSOS HUMANOS Y SERVICIOS DE PERSONAL</t>
  </si>
  <si>
    <t>PCGC</t>
  </si>
  <si>
    <t>PERICON CASTRO GEAN CARLA</t>
  </si>
  <si>
    <t>PERICÓN CASTRO GEAN CARLA - SUPERINTENDENTE DE LOGÍSTICA</t>
  </si>
  <si>
    <t>PCDR</t>
  </si>
  <si>
    <t>POMA CRUZ DAVID RENE</t>
  </si>
  <si>
    <t>POMA CRUZ DAVID RENE - SUPERVISOR SÉNIOR DE PROYECTOS Y MODIFICACIONES</t>
  </si>
  <si>
    <t>PAAR</t>
  </si>
  <si>
    <t>PONCE ANTEQUERA ALAIN ROLANDO</t>
  </si>
  <si>
    <t>PMJ</t>
  </si>
  <si>
    <t>POQUECHOQUE MENESES JHONNY</t>
  </si>
  <si>
    <t>QGCM</t>
  </si>
  <si>
    <t>QUINO GONZA CRISTOBAL MARCELINO</t>
  </si>
  <si>
    <t>QUINO GONZA CRISTOBAL MARCELINO - ANALISTA SÉNIOR DE EFICIENCIA DE COSTOS E INVERSIONES</t>
  </si>
  <si>
    <t>QBJ</t>
  </si>
  <si>
    <t>QUINTEROS BOHORQUEZ JACQUELINE</t>
  </si>
  <si>
    <t>QUINTEROS BOHÓRQUEZ JACQUELINE - SUPERVISOR DE PLANIFICACIÓN Y CONTROL DE PROYECTOS</t>
  </si>
  <si>
    <t>QRRA</t>
  </si>
  <si>
    <t>QUINTEROS RAMIREZ ROBERTO ALFREDO</t>
  </si>
  <si>
    <t>QUINTEROS RAMÍREZ ROBERTO ALFREDO - SUPERINTENDENTE DE ALMACENES Y CONTROL DE INVENTARIOS</t>
  </si>
  <si>
    <t>QSR</t>
  </si>
  <si>
    <t>QUINTEROS SAUCEDO ROBERTO</t>
  </si>
  <si>
    <t>QACR</t>
  </si>
  <si>
    <t>QUISPE ALI CRISTIAN REYNALDO</t>
  </si>
  <si>
    <t>QUISPE ALI CRISTIAN REYNALDO - ASISTENTE TÉCNICO DE SEGURIDAD INDUSTRIAL</t>
  </si>
  <si>
    <t>QCE</t>
  </si>
  <si>
    <t>QUISPE CALCINA EUFRACIO</t>
  </si>
  <si>
    <t>QUISPE CALCINA EUFRACIO - ANALISTA OPERATIVO INFRAESTRUCTURA TO MINA</t>
  </si>
  <si>
    <t>QCN</t>
  </si>
  <si>
    <t>QUISPE CALCINA NARCISO</t>
  </si>
  <si>
    <t>QUISPE CALCINA NARCISO - COORDINADOR TÉCNICO OPERATIVO</t>
  </si>
  <si>
    <t>QCR</t>
  </si>
  <si>
    <t>QUISPE CALCINA ROBERTO</t>
  </si>
  <si>
    <t>QUISPE CALCINA ROBERTO - ADMINISTRADOR DE SOPORTE DE TI</t>
  </si>
  <si>
    <t>QCGG</t>
  </si>
  <si>
    <t>QUISPE CAYO GERMAN GILBERTO</t>
  </si>
  <si>
    <t>QUISPE CAYO GERMÁN GILBERTO - COORDINADOR TÉCNICO OPERATIVO</t>
  </si>
  <si>
    <t>QCJG</t>
  </si>
  <si>
    <t>QUISPE CHOQUETOPA JUVENAL GUSTAVO</t>
  </si>
  <si>
    <t>QUISPE CHOQUETOPA JUVENAL GUSTAVO - PLANIFICADOR DE MANTENIMIENTO</t>
  </si>
  <si>
    <t>QCL</t>
  </si>
  <si>
    <t>QUISPE CHOQUEVILLCA LUCIO</t>
  </si>
  <si>
    <t>QUISPE CHOQUEVILLCA LUCIO - ELECTROMECÁNICO DE MANTENIMIENTO MINA A</t>
  </si>
  <si>
    <t>QCSS</t>
  </si>
  <si>
    <t>QUISPE CONDORI SAUL SANTIAGO</t>
  </si>
  <si>
    <t>QUISPE CONDORI SAUL SANTIAGO - RESPONSABLE DE SEGURIDAD DE TURNO</t>
  </si>
  <si>
    <t>QGTG</t>
  </si>
  <si>
    <t>QUISPE GONZALES TELMA GREGORIA</t>
  </si>
  <si>
    <t>QUISPE GONZALES TELMA GREGORIA - ASISTENTE DE OPERACIONES PLANTA</t>
  </si>
  <si>
    <t>QMF</t>
  </si>
  <si>
    <t>QUISPE MAMANI FIDEL</t>
  </si>
  <si>
    <t>QUISPE MAMANI FIDEL - COORDINADOR DE SERVICIOS DE CAMPAMENTO</t>
  </si>
  <si>
    <t>QMJG</t>
  </si>
  <si>
    <t>QUISPE MAMANI JHONNY GILMAR</t>
  </si>
  <si>
    <t>QUISPE MAMANI JHONNY GILMAR - CAPATAZ DE SERVICIOS DE MUESTREO Y PREPARACIÓN DE MUESTRAS</t>
  </si>
  <si>
    <t>QMJ</t>
  </si>
  <si>
    <t>QUISPE MAMANI JUAN</t>
  </si>
  <si>
    <t>QUISPE MAMANI JUAN - CAPATAZ DE FLOTACIÓN Y MOLIENDA</t>
  </si>
  <si>
    <t>QMCV</t>
  </si>
  <si>
    <t>QUISPE MIRANDA CARLOS VIDAL</t>
  </si>
  <si>
    <t>QUISPE MIRANDA CARLOS VIDAL - COORDINADOR DE SERVICIOS AUXILIARES</t>
  </si>
  <si>
    <t>QME</t>
  </si>
  <si>
    <t>QUISPE MIRANDA EDWIN</t>
  </si>
  <si>
    <t>QUISPE MIRANDA EDWIN - CAPATAZ OPERATIVO MINA</t>
  </si>
  <si>
    <t>QML</t>
  </si>
  <si>
    <t>QUISPE MURAÑA LUCRECIO</t>
  </si>
  <si>
    <t>QUISPE MURAÑA LUCRECIO - COORDINADOR TÉCNICO OPERATIVO</t>
  </si>
  <si>
    <t>QPRJ</t>
  </si>
  <si>
    <t>QUISPE PACSI RAUL JOAQUIN</t>
  </si>
  <si>
    <t>QUISPE PACSI RAUL JOAQUIN - ELECTROMECÁNICO DE MANTENIMIENTO MINA</t>
  </si>
  <si>
    <t>QQV</t>
  </si>
  <si>
    <t>QUISPE QUISPE VIDAL</t>
  </si>
  <si>
    <t>QUISPE QUISPE VIDAL - COORDINADOR DE MANEJO DE EQUIPOS DE IZAJE</t>
  </si>
  <si>
    <t>QRE</t>
  </si>
  <si>
    <t>QUISPE RAMOS EUSEBIO</t>
  </si>
  <si>
    <t>QRL</t>
  </si>
  <si>
    <t>QUISPE RAMOS LEONARDO</t>
  </si>
  <si>
    <t>QUISPE RAMOS LEONARDO - COORDINADOR DE GUARDIA</t>
  </si>
  <si>
    <t>QUISPE RAMOS LICED</t>
  </si>
  <si>
    <t>QUISPE RAMOS LICED - ASISTENTE DE DATOS JDE</t>
  </si>
  <si>
    <t>QRR</t>
  </si>
  <si>
    <t>QUISPE RAMOS RUBEN</t>
  </si>
  <si>
    <t>QUISPE RAMOS RUBEN - ANALISTA OPERATIVO INFRAESTRUCTURA TO MINA</t>
  </si>
  <si>
    <t>QRSJ</t>
  </si>
  <si>
    <t>QUISPE RAMOS SANTOS JAVIER</t>
  </si>
  <si>
    <t>QUISPE RAMOS SANTOS JAVIER - COORDINADOR DE OPERACIONES DE AERÓDROMO, ASEO Y MANTENIMIENTO PISTA</t>
  </si>
  <si>
    <t>QRS</t>
  </si>
  <si>
    <t>QUISPE RAMOS SONIA</t>
  </si>
  <si>
    <t>QUISPE RAMOS SONIA - ASISTENTE ADMINISTRATIVO DE MANTENIMIENTO PLANTA</t>
  </si>
  <si>
    <t>QRLF</t>
  </si>
  <si>
    <t>QUISPE RIVERA LUIS FERNANDO</t>
  </si>
  <si>
    <t>QUISPE RIVERA LUIS FERNANDO - COORDINADOR DE DISPOSICIÓN DE MATERIALES</t>
  </si>
  <si>
    <t>QSM</t>
  </si>
  <si>
    <t>QUISPE SALVATIERRA MARIN</t>
  </si>
  <si>
    <t>QVE</t>
  </si>
  <si>
    <t>QUISPE VALDA ELIAS</t>
  </si>
  <si>
    <t>QUISPE VALDA ELIAS - COORDINADOR TÉCNICO OPERATIVO</t>
  </si>
  <si>
    <t>QVW</t>
  </si>
  <si>
    <t>QUISPE VALENCIA WILSON</t>
  </si>
  <si>
    <t>QUISPE VALENCIA WILSON - COORDINADOR DE MANEJO DE EQUIPOS DE IZAJE</t>
  </si>
  <si>
    <t>RCJJM</t>
  </si>
  <si>
    <t>RAMIREZ CARRASCO JULIO JOSE MARIA</t>
  </si>
  <si>
    <t>RAMIREZ CARRASCO JULIO JOSE MARIA - ANALISTA SÉNIOR DE ADQUISICIONES DE SERVICIOS</t>
  </si>
  <si>
    <t>RMVH</t>
  </si>
  <si>
    <t>RAMIREZ MENDEZ VICTOR HUGO</t>
  </si>
  <si>
    <t>RAMIREZ MENDEZ VICTOR HUGO - SUPERVISOR ENCARGADO DE REPARACIÓN DE COMPONENTES MANTENIMIENTO MINA</t>
  </si>
  <si>
    <t>RRRJ</t>
  </si>
  <si>
    <t>RAMIREZ RIVEROS RUPERTO JUAN</t>
  </si>
  <si>
    <t>RVD</t>
  </si>
  <si>
    <t>RAMIREZ VALVERDE DELIO</t>
  </si>
  <si>
    <t>RAMIREZ VALVERDE DELIO - SUPERVISOR DE RELACIONES COMUNITARIAS</t>
  </si>
  <si>
    <t>RCA</t>
  </si>
  <si>
    <t>RAMOS COLQUE AUDO</t>
  </si>
  <si>
    <t>RAMOS COLQUE AUDO - SUPERVISOR DE SERVICIOS E INFRAESTRUCTURA</t>
  </si>
  <si>
    <t>RGRM</t>
  </si>
  <si>
    <t>RAMOS GORDILLO RENZO MARTIN</t>
  </si>
  <si>
    <t>RAMOS GORDILLO RENZO MARTIN - SUPERVISOR DE PROYECTOS Y MODIFICACIONES</t>
  </si>
  <si>
    <t>RMM</t>
  </si>
  <si>
    <t>RAMOS MAYORGA MARIN</t>
  </si>
  <si>
    <t>RR</t>
  </si>
  <si>
    <t>RAMOS RUBEN</t>
  </si>
  <si>
    <t>RAMOS RUBEN - OPERADOR DE ALMACÉN</t>
  </si>
  <si>
    <t>ROVE</t>
  </si>
  <si>
    <t>REQUENA OROZA VICTOR EDUARDO</t>
  </si>
  <si>
    <t>REQUENA OROZA VICTOR EDUARDO - ESPECIALISTA ENCARGADO ÁREA MÉDICA</t>
  </si>
  <si>
    <t>RGD</t>
  </si>
  <si>
    <t>REVILLA GUZMAN DANIEL</t>
  </si>
  <si>
    <t>REVILLA GUZMAN DANIEL - INGENIERO EN SEGURIDAD INDUSTRIAL</t>
  </si>
  <si>
    <t>RAGJ</t>
  </si>
  <si>
    <t>REYES ARISPE GUSTAVO JAVIER</t>
  </si>
  <si>
    <t>REYES ARISPE GUSTAVO JAVIER - SUPERINTENDENTE DE SISTEMA DE GESTIÓN</t>
  </si>
  <si>
    <t>RAAC</t>
  </si>
  <si>
    <t>RIVERA ARZABE ANDRES CRISTIAN</t>
  </si>
  <si>
    <t>RIVERA ARZABE ANDRÉS CRISTIAN - ESPECIALISTA DE DESARROLLO ORGANIZACIONAL</t>
  </si>
  <si>
    <t>RPJF</t>
  </si>
  <si>
    <t>RIVERA PAIVA JAVIER FRANCISCO</t>
  </si>
  <si>
    <t>RIVERA PAIVA JAVIER FRANCISCO - OFICIAL SENIOR DE TRANSPORTE TERRESTRE INTERNACIONAL</t>
  </si>
  <si>
    <t>RZD</t>
  </si>
  <si>
    <t>ROCABADO ZELAYA DAYLER</t>
  </si>
  <si>
    <t>ROCABADO ZELAYA DAYLER - INGENIERO EN SEGURIDAD INDUSTRIAL</t>
  </si>
  <si>
    <t>RCJ</t>
  </si>
  <si>
    <t>ROCHA CALLEJAS JORGE</t>
  </si>
  <si>
    <t>ROCHA CALLEJAS JORGE - ELECTROMECÁNICO DE MANTENIMIENTO MINA A</t>
  </si>
  <si>
    <t>RCGA</t>
  </si>
  <si>
    <t>ROCHA CHUGAR GROVER ANGEL</t>
  </si>
  <si>
    <t>ROCHA CHUGAR GROVER ANGEL - SUPERVISOR DE TOPOGRAFÍA</t>
  </si>
  <si>
    <t>SUPERVISIÓN DE TOPOGRAFÍA</t>
  </si>
  <si>
    <t>RGJ</t>
  </si>
  <si>
    <t>ROCHA GUTIERREZ JORGE</t>
  </si>
  <si>
    <t>ROCHA GUTIERREZ JORGE - COORDINADOR TÉCNICO OPERATIVO DE GRÚAS Y VEHÍCULOS</t>
  </si>
  <si>
    <t>RFLJ</t>
  </si>
  <si>
    <t>RODAS FLORES LUIS JAVIER</t>
  </si>
  <si>
    <t>RODAS FLORES LUIS JAVIER - SUPERINTENDENTE DE DESARROLLO SOSTENIBLE Y RELACIONES COMUNITARIAS</t>
  </si>
  <si>
    <t>RAL</t>
  </si>
  <si>
    <t>RODRIGUEZ ALI LINO</t>
  </si>
  <si>
    <t>RODRÍGUEZ ALÍ LINO - CAPATAZ OPERATIVO MINA</t>
  </si>
  <si>
    <t>RAA</t>
  </si>
  <si>
    <t>RODRIGUEZ ARCE ANTONIO</t>
  </si>
  <si>
    <t>RCJR</t>
  </si>
  <si>
    <t>RODRIGUEZ CALDERON JAIME RAMIRO</t>
  </si>
  <si>
    <t>RODRIGUEZ CALDERÓN JAIME RAMIRO - SUPERINTENDENTE DE PLANIFICACIÓN FINANCIERA (FP&amp;A)</t>
  </si>
  <si>
    <t>RCRH</t>
  </si>
  <si>
    <t>RODRIGUEZ CALLE RENE HENRY</t>
  </si>
  <si>
    <t>RODRIGUEZ CALLE RENE HENRY - PLANIFICADOR DE MANTENIMIENTO MINA</t>
  </si>
  <si>
    <t>RTA</t>
  </si>
  <si>
    <t>RODRIGUEZ TAPIA ALEJANDRO</t>
  </si>
  <si>
    <t>RODRIGUEZ TAPIA ALEJANDRO - SUPERVISOR DE SEGURIDAD INDUSTRIAL</t>
  </si>
  <si>
    <t>RTJG</t>
  </si>
  <si>
    <t>RODRIGUEZ TORREZ JESUS GABRIEL</t>
  </si>
  <si>
    <t>RODRIGUEZ TORREZ JESUS GABRIEL - PLANIFICADOR JUNIOR DE MINA A CORTO PLAZO</t>
  </si>
  <si>
    <t>RAR</t>
  </si>
  <si>
    <t>ROJAS APAZA RONAL</t>
  </si>
  <si>
    <t>ROJAS APAZA RONAL - PLANIFICADOR JUNIOR DE MANTENIMIENTO GRÚAS Y EQUIPOS LIVIANOS</t>
  </si>
  <si>
    <t>RAHR</t>
  </si>
  <si>
    <t>ROMERO ANEIVA HAYDER RICHARD</t>
  </si>
  <si>
    <t>ROMERO ANEIVA HAYDER RICHARD - ELECTROMECÁNICO DE MANTENIMIENTO MINA</t>
  </si>
  <si>
    <t>RDCCMM</t>
  </si>
  <si>
    <t>RUBIN DE CELIS CANDIA MIGUEL MARTIN</t>
  </si>
  <si>
    <t>RGA</t>
  </si>
  <si>
    <t>RUFINI GUSTAVO ALFREDO</t>
  </si>
  <si>
    <t>RUFINI GUSTAVO ALFREDO - GERENTE DE TI, TO Y SISTEMA DE GESTIÓN</t>
  </si>
  <si>
    <t>SAFA</t>
  </si>
  <si>
    <t>SAAVEDRA ANTEZANA FERNANDO ANTONIO</t>
  </si>
  <si>
    <t>SAAVEDRA ANTEZANA FERNANDO ANTONIO - SUPERINTENDENTE DE SERVICIOS TÉCNICOS</t>
  </si>
  <si>
    <t>SMB</t>
  </si>
  <si>
    <t>SALAZAR MORALES BRAYN</t>
  </si>
  <si>
    <t>SALAZAR MORALES BRAYN - OPERADOR DE ALMACÉN</t>
  </si>
  <si>
    <t>SBO</t>
  </si>
  <si>
    <t>SALVATIERRA BAUTISTA OSCAR</t>
  </si>
  <si>
    <t>SALVATIERRA BAUTISTA OSCAR - SUPERVISOR OPERATIVO DE MANTENIMIENTO CAMPAMENTO</t>
  </si>
  <si>
    <t>SMGA</t>
  </si>
  <si>
    <t>SALVATIERRA MURAÑA GLADYS AMELIA</t>
  </si>
  <si>
    <t>SALVATIERRA MURAÑA GLADYS AMELIA - ANALISTA SÉNIOR DE GESTIÓN OPERATIVA PLANTA</t>
  </si>
  <si>
    <t>SRL</t>
  </si>
  <si>
    <t>SANCHEZ RIVERA LIMBERT</t>
  </si>
  <si>
    <t>SJL</t>
  </si>
  <si>
    <t>SANDOVAL JOSE LUIS</t>
  </si>
  <si>
    <t>SANDOVAL JOSÉ LUIS - PLANIFICADOR DE MANTENIMIENTO</t>
  </si>
  <si>
    <t>STJE</t>
  </si>
  <si>
    <t>SANDY TAPIA JAIME ENRIQUE</t>
  </si>
  <si>
    <t>SANDY TAPIA JAIME ENRIQUE - PLANIFICADOR SÉNIOR DE MANTENIMIENTO MINA</t>
  </si>
  <si>
    <t>SSIR</t>
  </si>
  <si>
    <t>SANTOS SALAZAR IVAN RUDY</t>
  </si>
  <si>
    <t>SANTOS SALAZAR IVAN RUDY - ENTRENADOR/DESARROLLO PLANTA CONCENTRADORA</t>
  </si>
  <si>
    <t>SVMA</t>
  </si>
  <si>
    <t>SARDAN VILLARROEL MARCO ANTONIO</t>
  </si>
  <si>
    <t>SARDÁN VILLARROEL MARCO ANTONIO - SUPERINTENDENTE DE SERVICIOS DE AVIACIÓN</t>
  </si>
  <si>
    <t>SEPN</t>
  </si>
  <si>
    <t>SEGOVIA ESPADA PAOLA NIDIA</t>
  </si>
  <si>
    <t>SEGOVIA ESPADA PAOLA NIDIA - ANALISTA SÉNIOR DE DESARROLLO ORGANIZACIONAL Y BIENESTAR LABORAL</t>
  </si>
  <si>
    <t>SVRE</t>
  </si>
  <si>
    <t>SEJAS VEGA RODOLFO ENRIQUE</t>
  </si>
  <si>
    <t>SEJAS VEGA RODOLFO ENRIQUE - GERENTE DE PROYECTOS</t>
  </si>
  <si>
    <t>SVGF</t>
  </si>
  <si>
    <t>SEMPERTEGUI VELASCO GUSTAVO FERNANDO</t>
  </si>
  <si>
    <t>SPPS</t>
  </si>
  <si>
    <t>SHIMOSE PEREZ PEDRO SHOGUN</t>
  </si>
  <si>
    <t>SHIMOSE PÉREZ PEDRO SHOGUN - ADMINISTRADOR DE PROYECTOS DE TI</t>
  </si>
  <si>
    <t>SMHP</t>
  </si>
  <si>
    <t>SILES MUÑOZ HUMBERTO PABLO</t>
  </si>
  <si>
    <t>SILES MUÑOZ HUMBERTO PABLO - SUPERVISOR SÉNIOR DE RELACIONES LABORALES</t>
  </si>
  <si>
    <t>SAC</t>
  </si>
  <si>
    <t>SIRPA ALEX CLEMENTE</t>
  </si>
  <si>
    <t>SIRPA ALEX CLEMENTE - ELECTROMECÁNICO DE MANTENIMIENTO MINA B</t>
  </si>
  <si>
    <t>SMJ</t>
  </si>
  <si>
    <t>SOLIZ MARISCAL JAVIER</t>
  </si>
  <si>
    <t>SOLIZ MARISCAL JAVIER - ESPECIALISTA EN GRUPOS ELECTRÓGENOS</t>
  </si>
  <si>
    <t>SCMA</t>
  </si>
  <si>
    <t>SORIA CONDORI MARCO ANTONIO</t>
  </si>
  <si>
    <t>SORIA CONDORI MARCO ANTONIO - JEFE TO PLANTA</t>
  </si>
  <si>
    <t>SML</t>
  </si>
  <si>
    <t>SOUKUP MANRIQUEZ LIBUSE</t>
  </si>
  <si>
    <t>SOUKUP MANRIQUEZ LIBUSE - ESPECIALISTA DE DISPOSICIÓN DE MATERIALES</t>
  </si>
  <si>
    <t>SBM</t>
  </si>
  <si>
    <t>SUAREZ BANEGAS MARIO</t>
  </si>
  <si>
    <t>SUAREZ BANEGAS MARIO - INGENIERO EN SEGURIDAD INDUSTRIAL</t>
  </si>
  <si>
    <t>TPM</t>
  </si>
  <si>
    <t>TABOADA PRUDENCIO MARCELINO</t>
  </si>
  <si>
    <t>TTWR</t>
  </si>
  <si>
    <t>TABORGA TORO WANDA RUSKA</t>
  </si>
  <si>
    <t>TABORGA TORO WANDA RUSKA - ANALISTA SÉNIOR DE ADQUISICIONES DE SERVICIOS</t>
  </si>
  <si>
    <t>TRIV</t>
  </si>
  <si>
    <t>TARDIO ROMAY IRMA VICENTA</t>
  </si>
  <si>
    <t>TARDIO ROMAY IRMA VICENTA - SUPERINTENDENTE DE IMPUESTOS</t>
  </si>
  <si>
    <t>TPLA</t>
  </si>
  <si>
    <t>TEJADA PONCE LUIS ADALID</t>
  </si>
  <si>
    <t>TEJADA PONCE LUIS ADALID - VICEPRESIDENTE DE FINANZAS</t>
  </si>
  <si>
    <t>TGRC</t>
  </si>
  <si>
    <t>TERAN GALATOIRE ROBERTO CARLOS</t>
  </si>
  <si>
    <t>TERÁN GALATOIRE ROBERTO CARLOS - SUPERINTENDENTE DE MANTENIMIENTO MINA - PLANIFICACIÓN Y PROGRAMACIÓN</t>
  </si>
  <si>
    <t>TERAN TOLA MARCELO BENJAMIN</t>
  </si>
  <si>
    <t>TERAN TOLA MARCELO BENJAMIN - ADMINISTRADOR DE SOPORTE DE TI</t>
  </si>
  <si>
    <t>TVEE</t>
  </si>
  <si>
    <t>THOMPSON VELASQUEZ ERIK EDUARDO</t>
  </si>
  <si>
    <t>THOMPSON VELÁSQUEZ ERIK EDUARDO - SUPERINTENDENTE DE MANTENIMIENTO</t>
  </si>
  <si>
    <t>TQRS</t>
  </si>
  <si>
    <t>TICONA QUISPE RAMIRO SEGUNDINO</t>
  </si>
  <si>
    <t>TICONA QUISPE RAMIRO SEGUNDINO - COORDINADOR DE PROYECTOS PRODUCTIVOS</t>
  </si>
  <si>
    <t>TQJR</t>
  </si>
  <si>
    <t>TINTAYA QUENTA JUAN ROBERTO</t>
  </si>
  <si>
    <t>TINTAYA QUENTA JUAN ROBERTO - SUPERVISOR SÉNIOR DE MANTENIMIENTO MINA</t>
  </si>
  <si>
    <t>TCEM</t>
  </si>
  <si>
    <t>TOLA CALLIZAYA EDWIN MARCELINO</t>
  </si>
  <si>
    <t>TOLA CALLIZAYA EDWIN MARCELINO - INGENIERO SÉNIOR DE INFRAESTRUCTURA TO PLANTA</t>
  </si>
  <si>
    <t>TAJC</t>
  </si>
  <si>
    <t>TORREZ AYALA JUAN CARLOS</t>
  </si>
  <si>
    <t>TORREZ AYALA JUAN CARLOS - COORDINADOR DE PERFORACIÓN Y VOLADURA</t>
  </si>
  <si>
    <t>TSG</t>
  </si>
  <si>
    <t>TORREZ SALDIAS GONZALO</t>
  </si>
  <si>
    <t>TORREZ SALDIAS GONZALO - SUPERVISOR DE IMPORTACIONES</t>
  </si>
  <si>
    <t>TMAW</t>
  </si>
  <si>
    <t>TORRICO MORALES ALEXANDER WALBY</t>
  </si>
  <si>
    <t>TORRICO MORALES ALEXANDER WALBY - SUPERVISOR DE MANTENIMIENTO</t>
  </si>
  <si>
    <t>SUPERVISIÓN DE MANTENIMIENTO - ELÉCTRICO</t>
  </si>
  <si>
    <t>TLL</t>
  </si>
  <si>
    <t>TRUJILLO LLANO LEONARDO</t>
  </si>
  <si>
    <t>TRUJILLO LLANO LEONARDO - SUPERVISOR SÉNIOR DE PROYECTOS Y MODIFICACIONES</t>
  </si>
  <si>
    <t>TMMV</t>
  </si>
  <si>
    <t>TUDELA MENDOZA MAYRA VICENTA</t>
  </si>
  <si>
    <t>TUDELA MENDOZA MAYRA VICENTA - COORDINADOR TÉCNICO DE SERVICIOS DE SALUD</t>
  </si>
  <si>
    <t>UCA</t>
  </si>
  <si>
    <t>UNZUETA CARDOZO ALEJANDRA</t>
  </si>
  <si>
    <t>UNZUETA CARDOZO ALEJANDRA - SUPERVISOR DE SERVICIOS DE ALIMENTACIÓN</t>
  </si>
  <si>
    <t>UACF</t>
  </si>
  <si>
    <t>URIA ALANES CLAUDIA FATIMA</t>
  </si>
  <si>
    <t>URIA ALANES CLAUDIA FATIMA - SUPERVISOR DE ADQUISICIONES DE BIENES</t>
  </si>
  <si>
    <t>SUPERVISIÓN DE ADQUISICIONES DE BIENES</t>
  </si>
  <si>
    <t>USMA</t>
  </si>
  <si>
    <t>URQUIDI SELICH MARIA ALEJANDRA</t>
  </si>
  <si>
    <t>URQUIDI SELICH MARIA ALEJANDRA - SUPERVISOR DE CONTABILIDAD Y CUENTAS POR COBRAR</t>
  </si>
  <si>
    <t>UYMA</t>
  </si>
  <si>
    <t>URURI YUJRA MARIELA ANGELICA</t>
  </si>
  <si>
    <t>URURI YUJRA MARIELA ANGÉLICA - GEÓLOGO JUNIOR DE MINA - MAPEO</t>
  </si>
  <si>
    <t>UCJG</t>
  </si>
  <si>
    <t>USCAMAITA CASTILLO JAIME GENARO</t>
  </si>
  <si>
    <t>USCAMAITA CASTILLO JAIME GENARO - ANALISTA SÉNIOR DE RECURSOS HUMANOS - NÓMINAS</t>
  </si>
  <si>
    <t>VEGA</t>
  </si>
  <si>
    <t>VALDA ESTRADA GUSTAVO ARMANDO</t>
  </si>
  <si>
    <t>VALDA ESTRADA GUSTAVO ARMANDO - GEÓLOGO JUNIOR DE MINA</t>
  </si>
  <si>
    <t>VMDA</t>
  </si>
  <si>
    <t>VALDIVIA MENDOZA DIEGO ANDRES</t>
  </si>
  <si>
    <t>VALDIVIA MENDOZA DIEGO ANDRES - ELECTROMECÁNICO DE MANTENIMIENTO MINA</t>
  </si>
  <si>
    <t>VAC</t>
  </si>
  <si>
    <t>VALENCIA AMADOR CLEMENTE</t>
  </si>
  <si>
    <t>VALENCIA AMADOR CLEMENTE - ESPECIALISTA SOLDADOR/TUBERO</t>
  </si>
  <si>
    <t>VCF</t>
  </si>
  <si>
    <t>VALENCIA CAMATA FELIPE</t>
  </si>
  <si>
    <t>VALENCIA CAMATA FELIPE - COORDINADOR DE GUARDIA</t>
  </si>
  <si>
    <t>VRJ</t>
  </si>
  <si>
    <t>VALVERDE ROJAS JORGE</t>
  </si>
  <si>
    <t>VALVERDE ROJAS JORGE - SUPERVISOR DE ALMACÉN MINA</t>
  </si>
  <si>
    <t>VCJE</t>
  </si>
  <si>
    <t>VARGAS CALDERON JUAN EDUARDO</t>
  </si>
  <si>
    <t>VARGAS CALDERON JUAN EDUARDO - SUPERVISOR DE GESTIÓN COMERCIAL</t>
  </si>
  <si>
    <t>VSMJ</t>
  </si>
  <si>
    <t>VARGAS SALAZAR MARTIN JORGE</t>
  </si>
  <si>
    <t>VARGAS SALAZAR MARTIN JORGE - SUPERVISOR DE MANTENIMIENTO MINA</t>
  </si>
  <si>
    <t>VAJR</t>
  </si>
  <si>
    <t>VEDIA ARAMAYO JUAN ROBERTO</t>
  </si>
  <si>
    <t>VEDIA ARAMAYO JUAN ROBERTO - CAPATAZ DE SERVICIOS DE MUESTREO Y PREPARACIÓN DE MUESTRAS</t>
  </si>
  <si>
    <t>VLCH</t>
  </si>
  <si>
    <t>VELARDE LEON CRISTIAN HUMBERTO</t>
  </si>
  <si>
    <t>VELARDE LEON CRISTIAN HUMBERTO - SUPERVISOR DE INFRAESTRUCTURA DE TI</t>
  </si>
  <si>
    <t>VRS</t>
  </si>
  <si>
    <t>VELARDE ROMAY SERGIO</t>
  </si>
  <si>
    <t>VELARDE ROMAY SERGIO - ELECTROMECÁNICO DE MANTENIMIENTO MINA</t>
  </si>
  <si>
    <t>VSM</t>
  </si>
  <si>
    <t>VELASCO SANCHEZ MARIO</t>
  </si>
  <si>
    <t>VELASCO SANCHEZ MARIO - GERENTE DE MEDIO AMBIENTE</t>
  </si>
  <si>
    <t>VSJP</t>
  </si>
  <si>
    <t>VENEROS SERRANO JUAN PABLO</t>
  </si>
  <si>
    <t>VENEROS SERRANO JUAN PABLO - ANALISTA SÉNIOR DE ADQUISICIONES DE BIENES</t>
  </si>
  <si>
    <t>VVFR</t>
  </si>
  <si>
    <t>VENIZ VENIZ FRANCISCO ROBERT</t>
  </si>
  <si>
    <t>VENIZ VENIZ FRANCISCO ROBERT - ANALISTA SÉNIOR GEOTECNISTA</t>
  </si>
  <si>
    <t>VDSA</t>
  </si>
  <si>
    <t>VIDAL DIAZ SILVIA ABIGAIL</t>
  </si>
  <si>
    <t>VSB</t>
  </si>
  <si>
    <t>VILLAFUERTE SUAREZ BERNABE</t>
  </si>
  <si>
    <t>VCJC</t>
  </si>
  <si>
    <t>VILLALBA CHUNGARA JUAN CARLOS</t>
  </si>
  <si>
    <t>VILLALBA CHUNGARA JUAN CARLOS - ANALISTA SÉNIOR DE ADQUISICIONES DE BIENES</t>
  </si>
  <si>
    <t>VQP</t>
  </si>
  <si>
    <t>VILLCA QUISPE PAULINO</t>
  </si>
  <si>
    <t>VILLCA QUISPE PAULINO - COORDINADOR DE SERVICIOS AUXILIARES</t>
  </si>
  <si>
    <t>VVJL</t>
  </si>
  <si>
    <t>VIÑOLA VARGAS JOSE LUIS</t>
  </si>
  <si>
    <t>VIÑOLA VARGAS JOSE LUIS - SUPERVISOR DE MANTENIMIENTO</t>
  </si>
  <si>
    <t>SUPERVISIÓN DE MANTENIMIENTO - CONFIABILIDAD ELÉCTRICO</t>
  </si>
  <si>
    <t>VBLVR</t>
  </si>
  <si>
    <t>VIVEROS BILBAO LA VIEJA RILBER</t>
  </si>
  <si>
    <t>VIVEROS BILBAO LA VIEJA RILBER - ANALISTA SÉNIOR DE IMPUESTOS</t>
  </si>
  <si>
    <t>WMN</t>
  </si>
  <si>
    <t>WILDE MONASTERIOS NATALIA</t>
  </si>
  <si>
    <t>WILDE MONASTERIOS NATALIA - RESPONSABLE DE GESTIÓN LOGÍSTICA</t>
  </si>
  <si>
    <t>WAJA</t>
  </si>
  <si>
    <t>WOLFF ANGULO JACOBO ABRAHAM</t>
  </si>
  <si>
    <t>WOLFF ANGULO JACOBO ABRAHAM - SUPERVISOR DE DISEÑO Y CONSTRUCCIÓN - CIVIL</t>
  </si>
  <si>
    <t>YCJ</t>
  </si>
  <si>
    <t>YAÑEZ CALCINA JOAQUIN</t>
  </si>
  <si>
    <t>YAÑEZ CALCINA JOAQUIN - OFICIAL DE AISLAMIENTO</t>
  </si>
  <si>
    <t>YCRR</t>
  </si>
  <si>
    <t>YAÑEZ CAYO REYNALDO RICHARD</t>
  </si>
  <si>
    <t>YAÑEZ CAYO REYNALDO RICHARD - CAPATAZ DE CHANCADOR PRIMARIO</t>
  </si>
  <si>
    <t>YCE</t>
  </si>
  <si>
    <t>YUCRA CAMATA EDMUNDO</t>
  </si>
  <si>
    <t>YUCRA CAMATA EDMUNDO - ELECTROMECÁNICO DE MANTENIMIENTO MINA</t>
  </si>
  <si>
    <t>YYHZ</t>
  </si>
  <si>
    <t>YUCRA YUCRA HAROLD ZACARIAS</t>
  </si>
  <si>
    <t>ZUFF</t>
  </si>
  <si>
    <t>ZAMBRANA UGARTE FERNANDO FIDEL</t>
  </si>
  <si>
    <t>ZAMBRANA UGARTE FERNANDO FIDEL - GEÓLOGO SÉNIOR DE EXPLORACIÓN</t>
  </si>
  <si>
    <t>ZCLM</t>
  </si>
  <si>
    <t>ZAMORA CORTEZ LESLIE MAGDA</t>
  </si>
  <si>
    <t>ZAMORA CORTEZ LESLIE MAGDA - SUPERVISOR DE ADQUISICIONES DE SERVICIOS</t>
  </si>
  <si>
    <t>ZHGA</t>
  </si>
  <si>
    <t>ZEGARRA HUIZA GUSTAVO ADOLFO</t>
  </si>
  <si>
    <t>ZEGARRA HUIZA GUSTAVO ADOLFO - ELECTROMECÁNICO DE MANTENIMIENTO MINA</t>
  </si>
  <si>
    <t>ZTF</t>
  </si>
  <si>
    <t>ZELADA TELLERIA FABIOLA</t>
  </si>
  <si>
    <t>ZELADA TELLERIA FABIOLA - SUPERVISOR DE IMPUESTOS</t>
  </si>
  <si>
    <t>ZMLE</t>
  </si>
  <si>
    <t>ZOZAYA MURRIETA LUIS EDUARDO</t>
  </si>
  <si>
    <t>ZOZAYA MURRIETA LUIS EDUARDO - SUPERINTENDENTE SÉNIOR DE INGENIERÍA MINA</t>
  </si>
  <si>
    <t>ZAOR</t>
  </si>
  <si>
    <t>ZUBIETA ARROYO OSVALDO RICHARD</t>
  </si>
  <si>
    <t>ZUBIETA ARROYO OSVALDO RICHARD - INGENIERO DE APLICACIONES TO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</si>
</sst>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sz val="10"/>
      <name val="Arial"/>
    </font>
    <font>
      <b/>
      <sz val="12"/>
      <color theme="1"/>
      <name val="Calibri"/>
    </font>
    <font>
      <sz val="8"/>
      <color theme="1"/>
      <name val="Calibri"/>
    </font>
    <font>
      <b/>
      <sz val="10"/>
      <color theme="0"/>
      <name val="Calibri"/>
    </font>
    <font>
      <b/>
      <sz val="12"/>
      <color rgb="FF0000FF"/>
      <name val="Calibri"/>
    </font>
    <font>
      <b/>
      <sz val="12"/>
      <color theme="0"/>
      <name val="Calibri"/>
    </font>
    <font>
      <sz val="12"/>
      <color theme="0"/>
      <name val="Calibri"/>
    </font>
    <font>
      <b/>
      <sz val="10"/>
      <color theme="1"/>
      <name val="Calibri"/>
    </font>
    <font>
      <b/>
      <sz val="8"/>
      <color theme="1"/>
      <name val="Calibri"/>
    </font>
    <font>
      <sz val="10"/>
      <color theme="0"/>
      <name val="Calibri"/>
    </font>
    <font>
      <sz val="10"/>
      <color theme="0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FF"/>
      <name val="Calibri"/>
    </font>
    <font>
      <b/>
      <sz val="10"/>
      <color rgb="FF0000FF"/>
      <name val="Calibri"/>
    </font>
    <font>
      <sz val="11"/>
      <color rgb="FFFFFFFF"/>
      <name val="Calibri"/>
    </font>
    <font>
      <b/>
      <sz val="12"/>
      <color rgb="FF000000"/>
      <name val="Calibri"/>
    </font>
    <font>
      <b/>
      <sz val="11"/>
      <color rgb="FFFFFFFF"/>
      <name val="Calibri"/>
    </font>
    <font>
      <b/>
      <sz val="22"/>
      <color rgb="FF0000FF"/>
      <name val="Calibri"/>
    </font>
    <font>
      <b/>
      <sz val="18"/>
      <color rgb="FF0000FF"/>
      <name val="Calibri"/>
    </font>
    <font>
      <b/>
      <sz val="10"/>
      <color rgb="FF800000"/>
      <name val="Calibri"/>
    </font>
    <font>
      <b/>
      <sz val="14"/>
      <color rgb="FF0000FF"/>
      <name val="Calibri"/>
    </font>
    <font>
      <b/>
      <sz val="14"/>
      <color rgb="FF800000"/>
      <name val="Calibri"/>
    </font>
    <font>
      <sz val="10"/>
      <color rgb="FF000000"/>
      <name val="Calibri"/>
    </font>
    <font>
      <sz val="11"/>
      <color rgb="FF1F497D"/>
      <name val="Calibri"/>
    </font>
    <font>
      <sz val="10"/>
      <color rgb="FF800000"/>
      <name val="Calibri"/>
    </font>
    <font>
      <b/>
      <sz val="11"/>
      <color rgb="FF0000CC"/>
      <name val="Calibri"/>
    </font>
    <font>
      <b/>
      <sz val="14"/>
      <color rgb="FF366092"/>
      <name val="Calibri"/>
    </font>
    <font>
      <b/>
      <i/>
      <sz val="10"/>
      <color rgb="FF800000"/>
      <name val="Calibri"/>
    </font>
    <font>
      <b/>
      <sz val="24"/>
      <color rgb="FF0000CC"/>
      <name val="Calibri"/>
    </font>
    <font>
      <sz val="12"/>
      <color rgb="FF366092"/>
      <name val="Calibri"/>
    </font>
    <font>
      <b/>
      <sz val="12"/>
      <color rgb="FF366092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5DFEC"/>
        <bgColor rgb="FFE5DFEC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DDD9C3"/>
        <bgColor rgb="FFDDD9C3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FDE9D9"/>
        <bgColor rgb="FFFDE9D9"/>
      </patternFill>
    </fill>
    <fill>
      <patternFill patternType="solid">
        <fgColor rgb="FF8DB3E2"/>
        <bgColor rgb="FF8DB3E2"/>
      </patternFill>
    </fill>
    <fill>
      <patternFill patternType="solid">
        <fgColor rgb="FF95B3D7"/>
        <bgColor rgb="FF95B3D7"/>
      </patternFill>
    </fill>
    <fill>
      <patternFill patternType="solid">
        <fgColor theme="6"/>
        <bgColor theme="6"/>
      </patternFill>
    </fill>
  </fills>
  <borders count="10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95B3D7"/>
      </right>
      <top/>
      <bottom/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95B3D7"/>
      </right>
      <top/>
      <bottom style="thin">
        <color rgb="FF95B3D7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95B3D7"/>
      </right>
      <top/>
      <bottom style="thin">
        <color rgb="FF95B3D7"/>
      </bottom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theme="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95B3D7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95B3D7"/>
      </right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37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22" fontId="1" fillId="0" borderId="0" xfId="0" applyNumberFormat="1" applyFont="1"/>
    <xf numFmtId="0" fontId="2" fillId="0" borderId="1" xfId="0" applyFont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" fillId="0" borderId="3" xfId="0" applyFont="1" applyBorder="1"/>
    <xf numFmtId="0" fontId="9" fillId="0" borderId="2" xfId="0" applyFont="1" applyBorder="1" applyAlignment="1">
      <alignment horizontal="center"/>
    </xf>
    <xf numFmtId="0" fontId="10" fillId="4" borderId="20" xfId="0" applyFont="1" applyFill="1" applyBorder="1" applyAlignment="1">
      <alignment horizontal="right" vertical="center"/>
    </xf>
    <xf numFmtId="0" fontId="2" fillId="0" borderId="6" xfId="0" applyFont="1" applyBorder="1" applyAlignment="1">
      <alignment vertical="top" wrapText="1"/>
    </xf>
    <xf numFmtId="0" fontId="10" fillId="4" borderId="20" xfId="0" applyFont="1" applyFill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10" xfId="0" applyFont="1" applyBorder="1"/>
    <xf numFmtId="0" fontId="12" fillId="0" borderId="9" xfId="0" applyFont="1" applyBorder="1" applyAlignment="1">
      <alignment horizontal="center" vertical="center" wrapText="1"/>
    </xf>
    <xf numFmtId="2" fontId="1" fillId="0" borderId="0" xfId="0" applyNumberFormat="1" applyFont="1"/>
    <xf numFmtId="0" fontId="13" fillId="0" borderId="0" xfId="0" applyFont="1"/>
    <xf numFmtId="0" fontId="7" fillId="3" borderId="25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left" vertical="center" wrapText="1"/>
    </xf>
    <xf numFmtId="0" fontId="2" fillId="0" borderId="30" xfId="0" applyFont="1" applyBorder="1" applyAlignment="1">
      <alignment vertical="center"/>
    </xf>
    <xf numFmtId="0" fontId="10" fillId="0" borderId="31" xfId="0" applyFont="1" applyBorder="1" applyAlignment="1">
      <alignment horizontal="left" vertical="center" wrapText="1"/>
    </xf>
    <xf numFmtId="0" fontId="2" fillId="0" borderId="36" xfId="0" applyFont="1" applyBorder="1" applyAlignment="1">
      <alignment vertical="center"/>
    </xf>
    <xf numFmtId="0" fontId="14" fillId="0" borderId="0" xfId="0" applyFont="1"/>
    <xf numFmtId="0" fontId="14" fillId="6" borderId="20" xfId="0" applyFont="1" applyFill="1" applyBorder="1"/>
    <xf numFmtId="0" fontId="14" fillId="7" borderId="20" xfId="0" applyFont="1" applyFill="1" applyBorder="1"/>
    <xf numFmtId="0" fontId="15" fillId="7" borderId="20" xfId="0" applyFont="1" applyFill="1" applyBorder="1"/>
    <xf numFmtId="0" fontId="2" fillId="0" borderId="5" xfId="0" applyFont="1" applyBorder="1"/>
    <xf numFmtId="0" fontId="2" fillId="0" borderId="0" xfId="0" applyFont="1"/>
    <xf numFmtId="0" fontId="14" fillId="8" borderId="20" xfId="0" applyFont="1" applyFill="1" applyBorder="1"/>
    <xf numFmtId="0" fontId="14" fillId="10" borderId="20" xfId="0" applyFont="1" applyFill="1" applyBorder="1"/>
    <xf numFmtId="0" fontId="15" fillId="10" borderId="20" xfId="0" applyFont="1" applyFill="1" applyBorder="1"/>
    <xf numFmtId="0" fontId="14" fillId="11" borderId="20" xfId="0" applyFont="1" applyFill="1" applyBorder="1"/>
    <xf numFmtId="0" fontId="14" fillId="9" borderId="20" xfId="0" applyFont="1" applyFill="1" applyBorder="1"/>
    <xf numFmtId="0" fontId="18" fillId="0" borderId="0" xfId="0" applyFont="1" applyAlignment="1">
      <alignment horizontal="left" vertical="center"/>
    </xf>
    <xf numFmtId="0" fontId="18" fillId="0" borderId="44" xfId="0" applyFont="1" applyBorder="1" applyAlignment="1">
      <alignment horizontal="left" vertical="center"/>
    </xf>
    <xf numFmtId="0" fontId="14" fillId="0" borderId="0" xfId="0" applyFont="1" applyAlignment="1">
      <alignment wrapText="1"/>
    </xf>
    <xf numFmtId="0" fontId="18" fillId="0" borderId="29" xfId="0" applyFont="1" applyBorder="1" applyAlignment="1">
      <alignment horizontal="left" vertical="center"/>
    </xf>
    <xf numFmtId="0" fontId="18" fillId="0" borderId="45" xfId="0" applyFont="1" applyBorder="1" applyAlignment="1">
      <alignment horizontal="left" vertical="center"/>
    </xf>
    <xf numFmtId="0" fontId="18" fillId="0" borderId="45" xfId="0" applyFont="1" applyBorder="1" applyAlignment="1">
      <alignment horizontal="left" vertical="center" wrapText="1"/>
    </xf>
    <xf numFmtId="0" fontId="14" fillId="0" borderId="44" xfId="0" applyFont="1" applyBorder="1"/>
    <xf numFmtId="0" fontId="15" fillId="14" borderId="46" xfId="0" applyFont="1" applyFill="1" applyBorder="1"/>
    <xf numFmtId="0" fontId="18" fillId="0" borderId="32" xfId="0" applyFont="1" applyBorder="1" applyAlignment="1">
      <alignment horizontal="left" vertical="center"/>
    </xf>
    <xf numFmtId="0" fontId="15" fillId="14" borderId="47" xfId="0" applyFont="1" applyFill="1" applyBorder="1"/>
    <xf numFmtId="0" fontId="15" fillId="0" borderId="0" xfId="0" applyFont="1"/>
    <xf numFmtId="0" fontId="20" fillId="14" borderId="48" xfId="0" applyFont="1" applyFill="1" applyBorder="1" applyAlignment="1">
      <alignment horizontal="left" vertical="center"/>
    </xf>
    <xf numFmtId="0" fontId="18" fillId="15" borderId="51" xfId="0" applyFont="1" applyFill="1" applyBorder="1" applyAlignment="1">
      <alignment horizontal="left" vertical="center"/>
    </xf>
    <xf numFmtId="0" fontId="14" fillId="15" borderId="20" xfId="0" applyFont="1" applyFill="1" applyBorder="1"/>
    <xf numFmtId="0" fontId="20" fillId="14" borderId="55" xfId="0" applyFont="1" applyFill="1" applyBorder="1" applyAlignment="1">
      <alignment horizontal="left" vertical="center"/>
    </xf>
    <xf numFmtId="0" fontId="14" fillId="0" borderId="56" xfId="0" applyFont="1" applyBorder="1"/>
    <xf numFmtId="0" fontId="18" fillId="16" borderId="20" xfId="0" applyFont="1" applyFill="1" applyBorder="1" applyAlignment="1">
      <alignment horizontal="left" vertical="center"/>
    </xf>
    <xf numFmtId="9" fontId="22" fillId="3" borderId="57" xfId="0" applyNumberFormat="1" applyFont="1" applyFill="1" applyBorder="1" applyAlignment="1">
      <alignment horizontal="center" vertical="center" wrapText="1"/>
    </xf>
    <xf numFmtId="0" fontId="23" fillId="17" borderId="59" xfId="0" applyFont="1" applyFill="1" applyBorder="1" applyAlignment="1">
      <alignment horizontal="right" vertical="center" wrapText="1"/>
    </xf>
    <xf numFmtId="0" fontId="23" fillId="17" borderId="60" xfId="0" applyFont="1" applyFill="1" applyBorder="1" applyAlignment="1">
      <alignment horizontal="center" vertical="center" wrapText="1"/>
    </xf>
    <xf numFmtId="0" fontId="18" fillId="0" borderId="62" xfId="0" applyFont="1" applyBorder="1" applyAlignment="1">
      <alignment horizontal="left" vertical="center"/>
    </xf>
    <xf numFmtId="0" fontId="14" fillId="0" borderId="62" xfId="0" applyFont="1" applyBorder="1"/>
    <xf numFmtId="0" fontId="23" fillId="17" borderId="65" xfId="0" applyFont="1" applyFill="1" applyBorder="1" applyAlignment="1">
      <alignment horizontal="right" vertical="center" wrapText="1"/>
    </xf>
    <xf numFmtId="9" fontId="25" fillId="17" borderId="66" xfId="0" applyNumberFormat="1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18" fillId="16" borderId="55" xfId="0" applyFont="1" applyFill="1" applyBorder="1" applyAlignment="1">
      <alignment horizontal="left" vertical="center"/>
    </xf>
    <xf numFmtId="0" fontId="17" fillId="6" borderId="69" xfId="0" applyFont="1" applyFill="1" applyBorder="1" applyAlignment="1">
      <alignment horizontal="center" vertical="center"/>
    </xf>
    <xf numFmtId="0" fontId="18" fillId="15" borderId="71" xfId="0" applyFont="1" applyFill="1" applyBorder="1" applyAlignment="1">
      <alignment horizontal="left" vertical="center"/>
    </xf>
    <xf numFmtId="0" fontId="17" fillId="6" borderId="44" xfId="0" applyFont="1" applyFill="1" applyBorder="1" applyAlignment="1">
      <alignment horizontal="center" vertical="center"/>
    </xf>
    <xf numFmtId="0" fontId="14" fillId="0" borderId="44" xfId="0" quotePrefix="1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4" fillId="0" borderId="0" xfId="0" quotePrefix="1" applyFont="1"/>
    <xf numFmtId="0" fontId="14" fillId="0" borderId="34" xfId="0" quotePrefix="1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44" xfId="0" quotePrefix="1" applyFont="1" applyBorder="1"/>
    <xf numFmtId="0" fontId="14" fillId="16" borderId="72" xfId="0" applyFont="1" applyFill="1" applyBorder="1"/>
    <xf numFmtId="0" fontId="14" fillId="0" borderId="32" xfId="0" applyFont="1" applyBorder="1" applyAlignment="1">
      <alignment vertical="center"/>
    </xf>
    <xf numFmtId="0" fontId="14" fillId="15" borderId="73" xfId="0" applyFont="1" applyFill="1" applyBorder="1"/>
    <xf numFmtId="0" fontId="17" fillId="6" borderId="65" xfId="0" applyFont="1" applyFill="1" applyBorder="1" applyAlignment="1">
      <alignment horizontal="center" vertical="center"/>
    </xf>
    <xf numFmtId="0" fontId="14" fillId="0" borderId="74" xfId="0" applyFont="1" applyBorder="1"/>
    <xf numFmtId="0" fontId="14" fillId="15" borderId="75" xfId="0" applyFont="1" applyFill="1" applyBorder="1" applyAlignment="1">
      <alignment vertical="center"/>
    </xf>
    <xf numFmtId="0" fontId="14" fillId="15" borderId="76" xfId="0" applyFont="1" applyFill="1" applyBorder="1" applyAlignment="1">
      <alignment vertical="center"/>
    </xf>
    <xf numFmtId="0" fontId="14" fillId="16" borderId="77" xfId="0" applyFont="1" applyFill="1" applyBorder="1" applyAlignment="1">
      <alignment vertical="center"/>
    </xf>
    <xf numFmtId="0" fontId="14" fillId="15" borderId="78" xfId="0" applyFont="1" applyFill="1" applyBorder="1" applyAlignment="1">
      <alignment vertical="center"/>
    </xf>
    <xf numFmtId="2" fontId="16" fillId="19" borderId="69" xfId="0" applyNumberFormat="1" applyFont="1" applyFill="1" applyBorder="1" applyAlignment="1">
      <alignment horizontal="center" vertical="center"/>
    </xf>
    <xf numFmtId="0" fontId="14" fillId="15" borderId="77" xfId="0" applyFont="1" applyFill="1" applyBorder="1" applyAlignment="1">
      <alignment vertical="center"/>
    </xf>
    <xf numFmtId="0" fontId="14" fillId="15" borderId="84" xfId="0" applyFont="1" applyFill="1" applyBorder="1"/>
    <xf numFmtId="0" fontId="17" fillId="0" borderId="44" xfId="0" applyFont="1" applyBorder="1" applyAlignment="1">
      <alignment horizontal="center" vertical="center"/>
    </xf>
    <xf numFmtId="0" fontId="14" fillId="0" borderId="85" xfId="0" applyFont="1" applyBorder="1" applyAlignment="1">
      <alignment vertical="center"/>
    </xf>
    <xf numFmtId="0" fontId="14" fillId="16" borderId="78" xfId="0" applyFont="1" applyFill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4" fillId="16" borderId="84" xfId="0" applyFont="1" applyFill="1" applyBorder="1"/>
    <xf numFmtId="0" fontId="2" fillId="0" borderId="90" xfId="0" applyFont="1" applyBorder="1" applyAlignment="1">
      <alignment horizontal="center" vertical="center"/>
    </xf>
    <xf numFmtId="0" fontId="17" fillId="6" borderId="91" xfId="0" applyFont="1" applyFill="1" applyBorder="1" applyAlignment="1">
      <alignment horizontal="center" vertical="center"/>
    </xf>
    <xf numFmtId="0" fontId="14" fillId="0" borderId="92" xfId="0" applyFont="1" applyBorder="1"/>
    <xf numFmtId="0" fontId="14" fillId="15" borderId="93" xfId="0" applyFont="1" applyFill="1" applyBorder="1" applyAlignment="1">
      <alignment vertical="center"/>
    </xf>
    <xf numFmtId="2" fontId="2" fillId="0" borderId="31" xfId="0" applyNumberFormat="1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2" fillId="0" borderId="31" xfId="0" quotePrefix="1" applyFont="1" applyBorder="1" applyAlignment="1">
      <alignment horizontal="center" vertical="center"/>
    </xf>
    <xf numFmtId="2" fontId="2" fillId="0" borderId="31" xfId="0" quotePrefix="1" applyNumberFormat="1" applyFont="1" applyBorder="1" applyAlignment="1">
      <alignment horizontal="center" vertical="center"/>
    </xf>
    <xf numFmtId="0" fontId="14" fillId="15" borderId="95" xfId="0" applyFont="1" applyFill="1" applyBorder="1"/>
    <xf numFmtId="0" fontId="14" fillId="0" borderId="96" xfId="0" quotePrefix="1" applyFont="1" applyBorder="1" applyAlignment="1">
      <alignment vertical="center"/>
    </xf>
    <xf numFmtId="0" fontId="14" fillId="0" borderId="74" xfId="0" applyFont="1" applyBorder="1" applyAlignment="1">
      <alignment vertical="center"/>
    </xf>
    <xf numFmtId="0" fontId="14" fillId="9" borderId="84" xfId="0" applyFont="1" applyFill="1" applyBorder="1"/>
    <xf numFmtId="0" fontId="1" fillId="5" borderId="20" xfId="0" applyFont="1" applyFill="1" applyBorder="1"/>
    <xf numFmtId="0" fontId="2" fillId="0" borderId="26" xfId="0" quotePrefix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2" fontId="2" fillId="0" borderId="26" xfId="0" quotePrefix="1" applyNumberFormat="1" applyFont="1" applyBorder="1" applyAlignment="1">
      <alignment horizontal="center" vertical="center"/>
    </xf>
    <xf numFmtId="0" fontId="17" fillId="5" borderId="99" xfId="0" applyFont="1" applyFill="1" applyBorder="1" applyAlignment="1">
      <alignment vertical="center" wrapText="1"/>
    </xf>
    <xf numFmtId="0" fontId="17" fillId="5" borderId="100" xfId="0" applyFont="1" applyFill="1" applyBorder="1" applyAlignment="1">
      <alignment vertical="center" wrapText="1"/>
    </xf>
    <xf numFmtId="0" fontId="17" fillId="5" borderId="101" xfId="0" applyFont="1" applyFill="1" applyBorder="1" applyAlignment="1">
      <alignment vertical="center" wrapText="1"/>
    </xf>
    <xf numFmtId="0" fontId="17" fillId="5" borderId="102" xfId="0" applyFont="1" applyFill="1" applyBorder="1" applyAlignment="1">
      <alignment horizontal="center" vertical="center"/>
    </xf>
    <xf numFmtId="0" fontId="28" fillId="5" borderId="100" xfId="0" applyFont="1" applyFill="1" applyBorder="1" applyAlignment="1">
      <alignment horizontal="left" vertical="center" wrapText="1"/>
    </xf>
    <xf numFmtId="0" fontId="28" fillId="5" borderId="103" xfId="0" applyFont="1" applyFill="1" applyBorder="1" applyAlignment="1">
      <alignment horizontal="left" vertical="center" wrapText="1"/>
    </xf>
    <xf numFmtId="0" fontId="1" fillId="16" borderId="84" xfId="0" quotePrefix="1" applyFont="1" applyFill="1" applyBorder="1"/>
    <xf numFmtId="0" fontId="14" fillId="0" borderId="0" xfId="0" quotePrefix="1" applyFont="1" applyAlignment="1">
      <alignment vertical="center"/>
    </xf>
    <xf numFmtId="0" fontId="1" fillId="0" borderId="44" xfId="0" quotePrefix="1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14" fillId="0" borderId="96" xfId="0" applyFont="1" applyBorder="1" applyAlignment="1">
      <alignment vertical="center"/>
    </xf>
    <xf numFmtId="0" fontId="14" fillId="16" borderId="84" xfId="0" quotePrefix="1" applyFont="1" applyFill="1" applyBorder="1"/>
    <xf numFmtId="0" fontId="14" fillId="9" borderId="44" xfId="0" applyFont="1" applyFill="1" applyBorder="1" applyAlignment="1">
      <alignment vertical="center"/>
    </xf>
    <xf numFmtId="0" fontId="1" fillId="15" borderId="84" xfId="0" quotePrefix="1" applyFont="1" applyFill="1" applyBorder="1"/>
    <xf numFmtId="0" fontId="14" fillId="20" borderId="20" xfId="0" applyFont="1" applyFill="1" applyBorder="1" applyAlignment="1">
      <alignment vertical="center"/>
    </xf>
    <xf numFmtId="0" fontId="14" fillId="8" borderId="44" xfId="0" applyFont="1" applyFill="1" applyBorder="1" applyAlignment="1">
      <alignment vertical="center"/>
    </xf>
    <xf numFmtId="0" fontId="14" fillId="9" borderId="20" xfId="0" applyFont="1" applyFill="1" applyBorder="1" applyAlignment="1">
      <alignment vertical="center"/>
    </xf>
    <xf numFmtId="0" fontId="14" fillId="3" borderId="20" xfId="0" applyFont="1" applyFill="1" applyBorder="1"/>
    <xf numFmtId="0" fontId="14" fillId="16" borderId="20" xfId="0" applyFont="1" applyFill="1" applyBorder="1"/>
    <xf numFmtId="0" fontId="14" fillId="6" borderId="105" xfId="0" applyFont="1" applyFill="1" applyBorder="1"/>
    <xf numFmtId="0" fontId="2" fillId="0" borderId="32" xfId="0" applyFont="1" applyBorder="1" applyAlignment="1">
      <alignment horizontal="left" vertical="top" wrapText="1"/>
    </xf>
    <xf numFmtId="0" fontId="3" fillId="0" borderId="33" xfId="0" applyFont="1" applyBorder="1"/>
    <xf numFmtId="0" fontId="3" fillId="0" borderId="43" xfId="0" applyFont="1" applyBorder="1"/>
    <xf numFmtId="0" fontId="7" fillId="17" borderId="6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2" xfId="0" applyFont="1" applyBorder="1"/>
    <xf numFmtId="0" fontId="3" fillId="0" borderId="68" xfId="0" applyFont="1" applyBorder="1"/>
    <xf numFmtId="0" fontId="3" fillId="0" borderId="10" xfId="0" applyFont="1" applyBorder="1"/>
    <xf numFmtId="0" fontId="3" fillId="0" borderId="9" xfId="0" applyFont="1" applyBorder="1"/>
    <xf numFmtId="0" fontId="2" fillId="0" borderId="53" xfId="0" applyFont="1" applyBorder="1" applyAlignment="1">
      <alignment horizontal="left" vertical="top" wrapText="1"/>
    </xf>
    <xf numFmtId="0" fontId="3" fillId="0" borderId="50" xfId="0" applyFont="1" applyBorder="1"/>
    <xf numFmtId="0" fontId="3" fillId="0" borderId="54" xfId="0" applyFont="1" applyBorder="1"/>
    <xf numFmtId="0" fontId="10" fillId="18" borderId="82" xfId="0" applyFont="1" applyFill="1" applyBorder="1" applyAlignment="1">
      <alignment horizontal="center" vertical="center" wrapText="1"/>
    </xf>
    <xf numFmtId="0" fontId="3" fillId="0" borderId="80" xfId="0" applyFont="1" applyBorder="1"/>
    <xf numFmtId="0" fontId="3" fillId="0" borderId="83" xfId="0" applyFont="1" applyBorder="1"/>
    <xf numFmtId="0" fontId="10" fillId="18" borderId="32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top" wrapText="1"/>
    </xf>
    <xf numFmtId="0" fontId="3" fillId="0" borderId="97" xfId="0" applyFont="1" applyBorder="1"/>
    <xf numFmtId="0" fontId="3" fillId="0" borderId="98" xfId="0" applyFont="1" applyBorder="1"/>
    <xf numFmtId="0" fontId="2" fillId="0" borderId="27" xfId="0" applyFont="1" applyBorder="1" applyAlignment="1">
      <alignment horizontal="left" vertical="top" wrapText="1"/>
    </xf>
    <xf numFmtId="0" fontId="3" fillId="0" borderId="28" xfId="0" applyFont="1" applyBorder="1"/>
    <xf numFmtId="0" fontId="3" fillId="0" borderId="70" xfId="0" applyFont="1" applyBorder="1"/>
    <xf numFmtId="0" fontId="2" fillId="5" borderId="32" xfId="0" applyFont="1" applyFill="1" applyBorder="1" applyAlignment="1">
      <alignment horizontal="center" vertical="center" wrapText="1"/>
    </xf>
    <xf numFmtId="0" fontId="3" fillId="0" borderId="35" xfId="0" applyFont="1" applyBorder="1"/>
    <xf numFmtId="0" fontId="16" fillId="9" borderId="37" xfId="0" applyFont="1" applyFill="1" applyBorder="1" applyAlignment="1">
      <alignment horizontal="center" vertical="center" wrapText="1"/>
    </xf>
    <xf numFmtId="0" fontId="3" fillId="0" borderId="38" xfId="0" applyFont="1" applyBorder="1"/>
    <xf numFmtId="0" fontId="3" fillId="0" borderId="39" xfId="0" applyFont="1" applyBorder="1"/>
    <xf numFmtId="0" fontId="17" fillId="9" borderId="42" xfId="0" applyFont="1" applyFill="1" applyBorder="1" applyAlignment="1">
      <alignment horizontal="center" vertical="center" wrapText="1"/>
    </xf>
    <xf numFmtId="0" fontId="3" fillId="0" borderId="34" xfId="0" applyFont="1" applyBorder="1"/>
    <xf numFmtId="0" fontId="17" fillId="9" borderId="32" xfId="0" applyFont="1" applyFill="1" applyBorder="1" applyAlignment="1">
      <alignment horizontal="center" vertical="center" wrapText="1"/>
    </xf>
    <xf numFmtId="0" fontId="2" fillId="13" borderId="42" xfId="0" applyFont="1" applyFill="1" applyBorder="1" applyAlignment="1">
      <alignment horizontal="left" vertical="center" wrapText="1"/>
    </xf>
    <xf numFmtId="0" fontId="2" fillId="13" borderId="32" xfId="0" applyFont="1" applyFill="1" applyBorder="1" applyAlignment="1">
      <alignment horizontal="left" vertical="center" wrapText="1"/>
    </xf>
    <xf numFmtId="0" fontId="2" fillId="0" borderId="32" xfId="0" applyFont="1" applyBorder="1"/>
    <xf numFmtId="0" fontId="7" fillId="3" borderId="21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4" xfId="0" applyFont="1" applyBorder="1"/>
    <xf numFmtId="0" fontId="17" fillId="3" borderId="37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17" fillId="3" borderId="41" xfId="0" applyFont="1" applyFill="1" applyBorder="1" applyAlignment="1">
      <alignment horizontal="center" vertical="center" wrapText="1"/>
    </xf>
    <xf numFmtId="0" fontId="2" fillId="12" borderId="32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4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5" fillId="0" borderId="4" xfId="0" applyFont="1" applyBorder="1" applyAlignment="1">
      <alignment horizontal="center" vertical="center" wrapText="1"/>
    </xf>
    <xf numFmtId="0" fontId="3" fillId="0" borderId="7" xfId="0" applyFont="1" applyBorder="1"/>
    <xf numFmtId="0" fontId="7" fillId="3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4" xfId="0" applyFont="1" applyBorder="1"/>
    <xf numFmtId="0" fontId="2" fillId="4" borderId="17" xfId="0" applyFont="1" applyFill="1" applyBorder="1" applyAlignment="1">
      <alignment horizontal="left" vertical="center" wrapText="1"/>
    </xf>
    <xf numFmtId="0" fontId="3" fillId="0" borderId="18" xfId="0" applyFont="1" applyBorder="1"/>
    <xf numFmtId="0" fontId="3" fillId="0" borderId="19" xfId="0" applyFont="1" applyBorder="1"/>
    <xf numFmtId="0" fontId="10" fillId="4" borderId="15" xfId="0" applyFont="1" applyFill="1" applyBorder="1" applyAlignment="1">
      <alignment horizontal="left" vertical="center"/>
    </xf>
    <xf numFmtId="0" fontId="3" fillId="0" borderId="16" xfId="0" applyFont="1" applyBorder="1"/>
    <xf numFmtId="0" fontId="5" fillId="0" borderId="0" xfId="0" applyFont="1" applyAlignment="1">
      <alignment horizontal="left" vertical="center" wrapText="1"/>
    </xf>
    <xf numFmtId="0" fontId="10" fillId="4" borderId="15" xfId="0" applyFont="1" applyFill="1" applyBorder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4" borderId="17" xfId="0" applyNumberFormat="1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3" fillId="0" borderId="23" xfId="0" applyFont="1" applyBorder="1"/>
    <xf numFmtId="0" fontId="2" fillId="0" borderId="27" xfId="0" applyFont="1" applyBorder="1"/>
    <xf numFmtId="0" fontId="3" fillId="0" borderId="29" xfId="0" applyFont="1" applyBorder="1"/>
    <xf numFmtId="0" fontId="2" fillId="0" borderId="27" xfId="0" applyFont="1" applyBorder="1" applyAlignment="1">
      <alignment horizontal="center" vertical="center" wrapText="1"/>
    </xf>
    <xf numFmtId="0" fontId="19" fillId="12" borderId="42" xfId="0" applyFont="1" applyFill="1" applyBorder="1" applyAlignment="1">
      <alignment horizontal="center" vertical="center" wrapText="1"/>
    </xf>
    <xf numFmtId="0" fontId="19" fillId="6" borderId="42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left" vertical="center" wrapText="1"/>
    </xf>
    <xf numFmtId="0" fontId="3" fillId="0" borderId="58" xfId="0" applyFont="1" applyBorder="1"/>
    <xf numFmtId="0" fontId="3" fillId="0" borderId="64" xfId="0" applyFont="1" applyBorder="1"/>
    <xf numFmtId="0" fontId="2" fillId="6" borderId="32" xfId="0" applyFont="1" applyFill="1" applyBorder="1" applyAlignment="1">
      <alignment horizontal="left" wrapText="1"/>
    </xf>
    <xf numFmtId="2" fontId="24" fillId="8" borderId="61" xfId="0" applyNumberFormat="1" applyFont="1" applyFill="1" applyBorder="1" applyAlignment="1">
      <alignment horizontal="center" vertical="center" wrapText="1"/>
    </xf>
    <xf numFmtId="0" fontId="3" fillId="0" borderId="67" xfId="0" applyFont="1" applyBorder="1"/>
    <xf numFmtId="0" fontId="2" fillId="13" borderId="42" xfId="0" applyFont="1" applyFill="1" applyBorder="1" applyAlignment="1">
      <alignment horizontal="left"/>
    </xf>
    <xf numFmtId="0" fontId="2" fillId="13" borderId="49" xfId="0" applyFont="1" applyFill="1" applyBorder="1" applyAlignment="1">
      <alignment horizontal="left"/>
    </xf>
    <xf numFmtId="0" fontId="3" fillId="0" borderId="52" xfId="0" applyFont="1" applyBorder="1"/>
    <xf numFmtId="0" fontId="2" fillId="13" borderId="53" xfId="0" applyFont="1" applyFill="1" applyBorder="1" applyAlignment="1">
      <alignment horizontal="left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21" fillId="3" borderId="49" xfId="0" applyFont="1" applyFill="1" applyBorder="1" applyAlignment="1">
      <alignment horizontal="left" vertical="center" wrapText="1"/>
    </xf>
    <xf numFmtId="0" fontId="22" fillId="3" borderId="53" xfId="0" applyFont="1" applyFill="1" applyBorder="1" applyAlignment="1">
      <alignment horizontal="center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 wrapText="1"/>
    </xf>
    <xf numFmtId="0" fontId="23" fillId="18" borderId="79" xfId="0" applyFont="1" applyFill="1" applyBorder="1" applyAlignment="1">
      <alignment vertical="center" wrapText="1"/>
    </xf>
    <xf numFmtId="0" fontId="3" fillId="0" borderId="81" xfId="0" applyFont="1" applyBorder="1"/>
    <xf numFmtId="2" fontId="24" fillId="8" borderId="86" xfId="0" applyNumberFormat="1" applyFont="1" applyFill="1" applyBorder="1" applyAlignment="1">
      <alignment horizontal="center" vertical="center" wrapText="1"/>
    </xf>
    <xf numFmtId="0" fontId="7" fillId="17" borderId="87" xfId="0" applyFont="1" applyFill="1" applyBorder="1" applyAlignment="1">
      <alignment horizontal="center" vertical="center" wrapText="1"/>
    </xf>
    <xf numFmtId="0" fontId="3" fillId="0" borderId="88" xfId="0" applyFont="1" applyBorder="1"/>
    <xf numFmtId="0" fontId="3" fillId="0" borderId="89" xfId="0" applyFont="1" applyBorder="1"/>
    <xf numFmtId="0" fontId="2" fillId="0" borderId="63" xfId="0" applyFont="1" applyBorder="1" applyAlignment="1">
      <alignment horizontal="left" vertical="top" wrapText="1"/>
    </xf>
    <xf numFmtId="0" fontId="23" fillId="18" borderId="79" xfId="0" applyFont="1" applyFill="1" applyBorder="1" applyAlignment="1">
      <alignment horizontal="left" vertical="center" wrapText="1"/>
    </xf>
    <xf numFmtId="0" fontId="26" fillId="13" borderId="82" xfId="0" applyFont="1" applyFill="1" applyBorder="1" applyAlignment="1">
      <alignment horizontal="left" vertical="center" wrapText="1"/>
    </xf>
    <xf numFmtId="0" fontId="23" fillId="18" borderId="42" xfId="0" applyFont="1" applyFill="1" applyBorder="1" applyAlignment="1">
      <alignment vertical="center" wrapText="1"/>
    </xf>
    <xf numFmtId="0" fontId="31" fillId="0" borderId="104" xfId="0" applyFont="1" applyBorder="1" applyAlignment="1">
      <alignment horizontal="left" vertical="top" wrapText="1"/>
    </xf>
    <xf numFmtId="0" fontId="30" fillId="0" borderId="21" xfId="0" applyFont="1" applyBorder="1" applyAlignment="1">
      <alignment horizontal="left" vertical="top" wrapText="1"/>
    </xf>
    <xf numFmtId="0" fontId="31" fillId="0" borderId="5" xfId="0" applyFont="1" applyBorder="1" applyAlignment="1">
      <alignment horizontal="left" vertical="top" wrapText="1"/>
    </xf>
    <xf numFmtId="0" fontId="31" fillId="0" borderId="42" xfId="0" applyFont="1" applyBorder="1" applyAlignment="1">
      <alignment horizontal="left" vertical="top" wrapText="1"/>
    </xf>
    <xf numFmtId="0" fontId="32" fillId="3" borderId="21" xfId="0" applyFont="1" applyFill="1" applyBorder="1" applyAlignment="1">
      <alignment horizontal="center" vertical="center"/>
    </xf>
    <xf numFmtId="0" fontId="33" fillId="0" borderId="8" xfId="0" applyFont="1" applyBorder="1" applyAlignment="1">
      <alignment horizontal="left" vertical="top" wrapText="1"/>
    </xf>
    <xf numFmtId="0" fontId="29" fillId="3" borderId="21" xfId="0" applyFont="1" applyFill="1" applyBorder="1" applyAlignment="1">
      <alignment horizontal="center" vertical="center" wrapText="1"/>
    </xf>
    <xf numFmtId="0" fontId="30" fillId="0" borderId="21" xfId="0" applyFont="1" applyBorder="1" applyAlignment="1">
      <alignment horizontal="left"/>
    </xf>
    <xf numFmtId="0" fontId="31" fillId="0" borderId="37" xfId="0" applyFont="1" applyBorder="1" applyAlignment="1">
      <alignment horizontal="left" vertical="top" wrapText="1"/>
    </xf>
    <xf numFmtId="0" fontId="26" fillId="0" borderId="41" xfId="0" applyFont="1" applyBorder="1" applyAlignment="1">
      <alignment horizontal="left" vertical="center" wrapText="1"/>
    </xf>
    <xf numFmtId="0" fontId="26" fillId="13" borderId="32" xfId="0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</cellXfs>
  <cellStyles count="1">
    <cellStyle name="Normal" xfId="0" builtinId="0"/>
  </cellStyles>
  <dxfs count="284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71">
    <tableStyle name="Sheet1-style" pivot="0" count="4" xr9:uid="{00000000-0011-0000-FFFF-FFFF00000000}">
      <tableStyleElement type="wholeTable" size="0" dxfId="280"/>
      <tableStyleElement type="headerRow" dxfId="283"/>
      <tableStyleElement type="firstRowStripe" dxfId="282"/>
      <tableStyleElement type="secondRowStripe" dxfId="281"/>
    </tableStyle>
    <tableStyle name="Sheet1-style 2" pivot="0" count="4" xr9:uid="{00000000-0011-0000-FFFF-FFFF01000000}">
      <tableStyleElement type="wholeTable" size="0" dxfId="276"/>
      <tableStyleElement type="headerRow" dxfId="279"/>
      <tableStyleElement type="firstRowStripe" dxfId="278"/>
      <tableStyleElement type="secondRowStripe" dxfId="277"/>
    </tableStyle>
    <tableStyle name="Sheet1-style 3" pivot="0" count="4" xr9:uid="{00000000-0011-0000-FFFF-FFFF02000000}">
      <tableStyleElement type="wholeTable" size="0" dxfId="272"/>
      <tableStyleElement type="headerRow" dxfId="275"/>
      <tableStyleElement type="firstRowStripe" dxfId="274"/>
      <tableStyleElement type="secondRowStripe" dxfId="273"/>
    </tableStyle>
    <tableStyle name="Sheet1-style 4" pivot="0" count="4" xr9:uid="{00000000-0011-0000-FFFF-FFFF03000000}">
      <tableStyleElement type="wholeTable" size="0" dxfId="268"/>
      <tableStyleElement type="headerRow" dxfId="271"/>
      <tableStyleElement type="firstRowStripe" dxfId="270"/>
      <tableStyleElement type="secondRowStripe" dxfId="269"/>
    </tableStyle>
    <tableStyle name="Sheet1-style 5" pivot="0" count="4" xr9:uid="{00000000-0011-0000-FFFF-FFFF04000000}">
      <tableStyleElement type="wholeTable" size="0" dxfId="264"/>
      <tableStyleElement type="headerRow" dxfId="267"/>
      <tableStyleElement type="firstRowStripe" dxfId="266"/>
      <tableStyleElement type="secondRowStripe" dxfId="265"/>
    </tableStyle>
    <tableStyle name="Sheet1-style 6" pivot="0" count="4" xr9:uid="{00000000-0011-0000-FFFF-FFFF05000000}">
      <tableStyleElement type="wholeTable" size="0" dxfId="260"/>
      <tableStyleElement type="headerRow" dxfId="263"/>
      <tableStyleElement type="firstRowStripe" dxfId="262"/>
      <tableStyleElement type="secondRowStripe" dxfId="261"/>
    </tableStyle>
    <tableStyle name="Sheet1-style 7" pivot="0" count="4" xr9:uid="{00000000-0011-0000-FFFF-FFFF06000000}">
      <tableStyleElement type="wholeTable" size="0" dxfId="256"/>
      <tableStyleElement type="headerRow" dxfId="259"/>
      <tableStyleElement type="firstRowStripe" dxfId="258"/>
      <tableStyleElement type="secondRowStripe" dxfId="257"/>
    </tableStyle>
    <tableStyle name="Sheet1-style 8" pivot="0" count="4" xr9:uid="{00000000-0011-0000-FFFF-FFFF07000000}">
      <tableStyleElement type="wholeTable" size="0" dxfId="252"/>
      <tableStyleElement type="headerRow" dxfId="255"/>
      <tableStyleElement type="firstRowStripe" dxfId="254"/>
      <tableStyleElement type="secondRowStripe" dxfId="253"/>
    </tableStyle>
    <tableStyle name="Sheet1-style 9" pivot="0" count="4" xr9:uid="{00000000-0011-0000-FFFF-FFFF08000000}">
      <tableStyleElement type="wholeTable" size="0" dxfId="248"/>
      <tableStyleElement type="headerRow" dxfId="251"/>
      <tableStyleElement type="firstRowStripe" dxfId="250"/>
      <tableStyleElement type="secondRowStripe" dxfId="249"/>
    </tableStyle>
    <tableStyle name="Sheet1-style 10" pivot="0" count="4" xr9:uid="{00000000-0011-0000-FFFF-FFFF09000000}">
      <tableStyleElement type="wholeTable" size="0" dxfId="244"/>
      <tableStyleElement type="headerRow" dxfId="247"/>
      <tableStyleElement type="firstRowStripe" dxfId="246"/>
      <tableStyleElement type="secondRowStripe" dxfId="245"/>
    </tableStyle>
    <tableStyle name="Sheet1-style 11" pivot="0" count="4" xr9:uid="{00000000-0011-0000-FFFF-FFFF0A000000}">
      <tableStyleElement type="wholeTable" size="0" dxfId="240"/>
      <tableStyleElement type="headerRow" dxfId="243"/>
      <tableStyleElement type="firstRowStripe" dxfId="242"/>
      <tableStyleElement type="secondRowStripe" dxfId="241"/>
    </tableStyle>
    <tableStyle name="Sheet1-style 12" pivot="0" count="4" xr9:uid="{00000000-0011-0000-FFFF-FFFF0B000000}">
      <tableStyleElement type="wholeTable" size="0" dxfId="236"/>
      <tableStyleElement type="headerRow" dxfId="239"/>
      <tableStyleElement type="firstRowStripe" dxfId="238"/>
      <tableStyleElement type="secondRowStripe" dxfId="237"/>
    </tableStyle>
    <tableStyle name="Sheet1-style 13" pivot="0" count="4" xr9:uid="{00000000-0011-0000-FFFF-FFFF0C000000}">
      <tableStyleElement type="wholeTable" size="0" dxfId="232"/>
      <tableStyleElement type="headerRow" dxfId="235"/>
      <tableStyleElement type="firstRowStripe" dxfId="234"/>
      <tableStyleElement type="secondRowStripe" dxfId="233"/>
    </tableStyle>
    <tableStyle name="Sheet1-style 14" pivot="0" count="4" xr9:uid="{00000000-0011-0000-FFFF-FFFF0D000000}">
      <tableStyleElement type="wholeTable" size="0" dxfId="228"/>
      <tableStyleElement type="headerRow" dxfId="231"/>
      <tableStyleElement type="firstRowStripe" dxfId="230"/>
      <tableStyleElement type="secondRowStripe" dxfId="229"/>
    </tableStyle>
    <tableStyle name="Sheet1-style 15" pivot="0" count="4" xr9:uid="{00000000-0011-0000-FFFF-FFFF0E000000}">
      <tableStyleElement type="wholeTable" size="0" dxfId="224"/>
      <tableStyleElement type="headerRow" dxfId="227"/>
      <tableStyleElement type="firstRowStripe" dxfId="226"/>
      <tableStyleElement type="secondRowStripe" dxfId="225"/>
    </tableStyle>
    <tableStyle name="Sheet1-style 16" pivot="0" count="4" xr9:uid="{00000000-0011-0000-FFFF-FFFF0F000000}">
      <tableStyleElement type="wholeTable" size="0" dxfId="220"/>
      <tableStyleElement type="headerRow" dxfId="223"/>
      <tableStyleElement type="firstRowStripe" dxfId="222"/>
      <tableStyleElement type="secondRowStripe" dxfId="221"/>
    </tableStyle>
    <tableStyle name="Sheet1-style 17" pivot="0" count="4" xr9:uid="{00000000-0011-0000-FFFF-FFFF10000000}">
      <tableStyleElement type="wholeTable" size="0" dxfId="216"/>
      <tableStyleElement type="headerRow" dxfId="219"/>
      <tableStyleElement type="firstRowStripe" dxfId="218"/>
      <tableStyleElement type="secondRowStripe" dxfId="217"/>
    </tableStyle>
    <tableStyle name="Sheet1-style 18" pivot="0" count="4" xr9:uid="{00000000-0011-0000-FFFF-FFFF11000000}">
      <tableStyleElement type="wholeTable" size="0" dxfId="212"/>
      <tableStyleElement type="headerRow" dxfId="215"/>
      <tableStyleElement type="firstRowStripe" dxfId="214"/>
      <tableStyleElement type="secondRowStripe" dxfId="213"/>
    </tableStyle>
    <tableStyle name="Sheet1-style 19" pivot="0" count="4" xr9:uid="{00000000-0011-0000-FFFF-FFFF12000000}">
      <tableStyleElement type="wholeTable" size="0" dxfId="208"/>
      <tableStyleElement type="headerRow" dxfId="211"/>
      <tableStyleElement type="firstRowStripe" dxfId="210"/>
      <tableStyleElement type="secondRowStripe" dxfId="209"/>
    </tableStyle>
    <tableStyle name="Sheet1-style 20" pivot="0" count="4" xr9:uid="{00000000-0011-0000-FFFF-FFFF13000000}">
      <tableStyleElement type="wholeTable" size="0" dxfId="204"/>
      <tableStyleElement type="headerRow" dxfId="207"/>
      <tableStyleElement type="firstRowStripe" dxfId="206"/>
      <tableStyleElement type="secondRowStripe" dxfId="205"/>
    </tableStyle>
    <tableStyle name="Sheet1-style 21" pivot="0" count="4" xr9:uid="{00000000-0011-0000-FFFF-FFFF14000000}">
      <tableStyleElement type="wholeTable" size="0" dxfId="200"/>
      <tableStyleElement type="headerRow" dxfId="203"/>
      <tableStyleElement type="firstRowStripe" dxfId="202"/>
      <tableStyleElement type="secondRowStripe" dxfId="201"/>
    </tableStyle>
    <tableStyle name="Sheet1-style 22" pivot="0" count="4" xr9:uid="{00000000-0011-0000-FFFF-FFFF15000000}">
      <tableStyleElement type="wholeTable" size="0" dxfId="196"/>
      <tableStyleElement type="headerRow" dxfId="199"/>
      <tableStyleElement type="firstRowStripe" dxfId="198"/>
      <tableStyleElement type="secondRowStripe" dxfId="197"/>
    </tableStyle>
    <tableStyle name="Sheet1-style 23" pivot="0" count="4" xr9:uid="{00000000-0011-0000-FFFF-FFFF16000000}">
      <tableStyleElement type="wholeTable" size="0" dxfId="192"/>
      <tableStyleElement type="headerRow" dxfId="195"/>
      <tableStyleElement type="firstRowStripe" dxfId="194"/>
      <tableStyleElement type="secondRowStripe" dxfId="193"/>
    </tableStyle>
    <tableStyle name="Sheet1-style 24" pivot="0" count="4" xr9:uid="{00000000-0011-0000-FFFF-FFFF17000000}">
      <tableStyleElement type="wholeTable" size="0" dxfId="188"/>
      <tableStyleElement type="headerRow" dxfId="191"/>
      <tableStyleElement type="firstRowStripe" dxfId="190"/>
      <tableStyleElement type="secondRowStripe" dxfId="189"/>
    </tableStyle>
    <tableStyle name="Sheet1-style 25" pivot="0" count="4" xr9:uid="{00000000-0011-0000-FFFF-FFFF18000000}">
      <tableStyleElement type="wholeTable" size="0" dxfId="184"/>
      <tableStyleElement type="headerRow" dxfId="187"/>
      <tableStyleElement type="firstRowStripe" dxfId="186"/>
      <tableStyleElement type="secondRowStripe" dxfId="185"/>
    </tableStyle>
    <tableStyle name="Sheet1-style 26" pivot="0" count="4" xr9:uid="{00000000-0011-0000-FFFF-FFFF19000000}">
      <tableStyleElement type="wholeTable" size="0" dxfId="180"/>
      <tableStyleElement type="headerRow" dxfId="183"/>
      <tableStyleElement type="firstRowStripe" dxfId="182"/>
      <tableStyleElement type="secondRowStripe" dxfId="181"/>
    </tableStyle>
    <tableStyle name="Sheet1-style 27" pivot="0" count="4" xr9:uid="{00000000-0011-0000-FFFF-FFFF1A000000}">
      <tableStyleElement type="wholeTable" size="0" dxfId="176"/>
      <tableStyleElement type="headerRow" dxfId="179"/>
      <tableStyleElement type="firstRowStripe" dxfId="178"/>
      <tableStyleElement type="secondRowStripe" dxfId="177"/>
    </tableStyle>
    <tableStyle name="Sheet1-style 28" pivot="0" count="4" xr9:uid="{00000000-0011-0000-FFFF-FFFF1B000000}">
      <tableStyleElement type="wholeTable" size="0" dxfId="172"/>
      <tableStyleElement type="headerRow" dxfId="175"/>
      <tableStyleElement type="firstRowStripe" dxfId="174"/>
      <tableStyleElement type="secondRowStripe" dxfId="173"/>
    </tableStyle>
    <tableStyle name="Sheet1-style 29" pivot="0" count="4" xr9:uid="{00000000-0011-0000-FFFF-FFFF1C000000}">
      <tableStyleElement type="wholeTable" size="0" dxfId="168"/>
      <tableStyleElement type="headerRow" dxfId="171"/>
      <tableStyleElement type="firstRowStripe" dxfId="170"/>
      <tableStyleElement type="secondRowStripe" dxfId="169"/>
    </tableStyle>
    <tableStyle name="Sheet1-style 30" pivot="0" count="4" xr9:uid="{00000000-0011-0000-FFFF-FFFF1D000000}">
      <tableStyleElement type="wholeTable" size="0" dxfId="164"/>
      <tableStyleElement type="headerRow" dxfId="167"/>
      <tableStyleElement type="firstRowStripe" dxfId="166"/>
      <tableStyleElement type="secondRowStripe" dxfId="165"/>
    </tableStyle>
    <tableStyle name="Sheet1-style 31" pivot="0" count="4" xr9:uid="{00000000-0011-0000-FFFF-FFFF1E000000}">
      <tableStyleElement type="wholeTable" size="0" dxfId="160"/>
      <tableStyleElement type="headerRow" dxfId="163"/>
      <tableStyleElement type="firstRowStripe" dxfId="162"/>
      <tableStyleElement type="secondRowStripe" dxfId="161"/>
    </tableStyle>
    <tableStyle name="Sheet1-style 32" pivot="0" count="4" xr9:uid="{00000000-0011-0000-FFFF-FFFF1F000000}">
      <tableStyleElement type="wholeTable" size="0" dxfId="156"/>
      <tableStyleElement type="headerRow" dxfId="159"/>
      <tableStyleElement type="firstRowStripe" dxfId="158"/>
      <tableStyleElement type="secondRowStripe" dxfId="157"/>
    </tableStyle>
    <tableStyle name="Sheet1-style 33" pivot="0" count="4" xr9:uid="{00000000-0011-0000-FFFF-FFFF20000000}">
      <tableStyleElement type="wholeTable" size="0" dxfId="152"/>
      <tableStyleElement type="headerRow" dxfId="155"/>
      <tableStyleElement type="firstRowStripe" dxfId="154"/>
      <tableStyleElement type="secondRowStripe" dxfId="153"/>
    </tableStyle>
    <tableStyle name="Sheet1-style 34" pivot="0" count="4" xr9:uid="{00000000-0011-0000-FFFF-FFFF21000000}">
      <tableStyleElement type="wholeTable" size="0" dxfId="148"/>
      <tableStyleElement type="headerRow" dxfId="151"/>
      <tableStyleElement type="firstRowStripe" dxfId="150"/>
      <tableStyleElement type="secondRowStripe" dxfId="149"/>
    </tableStyle>
    <tableStyle name="Sheet1-style 35" pivot="0" count="4" xr9:uid="{00000000-0011-0000-FFFF-FFFF22000000}">
      <tableStyleElement type="wholeTable" size="0" dxfId="144"/>
      <tableStyleElement type="headerRow" dxfId="147"/>
      <tableStyleElement type="firstRowStripe" dxfId="146"/>
      <tableStyleElement type="secondRowStripe" dxfId="145"/>
    </tableStyle>
    <tableStyle name="Sheet1-style 36" pivot="0" count="4" xr9:uid="{00000000-0011-0000-FFFF-FFFF23000000}">
      <tableStyleElement type="wholeTable" size="0" dxfId="140"/>
      <tableStyleElement type="headerRow" dxfId="143"/>
      <tableStyleElement type="firstRowStripe" dxfId="142"/>
      <tableStyleElement type="secondRowStripe" dxfId="141"/>
    </tableStyle>
    <tableStyle name="Sheet1-style 37" pivot="0" count="4" xr9:uid="{00000000-0011-0000-FFFF-FFFF24000000}">
      <tableStyleElement type="wholeTable" size="0" dxfId="136"/>
      <tableStyleElement type="headerRow" dxfId="139"/>
      <tableStyleElement type="firstRowStripe" dxfId="138"/>
      <tableStyleElement type="secondRowStripe" dxfId="137"/>
    </tableStyle>
    <tableStyle name="Sheet1-style 38" pivot="0" count="4" xr9:uid="{00000000-0011-0000-FFFF-FFFF25000000}">
      <tableStyleElement type="wholeTable" size="0" dxfId="132"/>
      <tableStyleElement type="headerRow" dxfId="135"/>
      <tableStyleElement type="firstRowStripe" dxfId="134"/>
      <tableStyleElement type="secondRowStripe" dxfId="133"/>
    </tableStyle>
    <tableStyle name="Sheet1-style 39" pivot="0" count="4" xr9:uid="{00000000-0011-0000-FFFF-FFFF26000000}">
      <tableStyleElement type="wholeTable" size="0" dxfId="128"/>
      <tableStyleElement type="headerRow" dxfId="131"/>
      <tableStyleElement type="firstRowStripe" dxfId="130"/>
      <tableStyleElement type="secondRowStripe" dxfId="129"/>
    </tableStyle>
    <tableStyle name="Sheet1-style 40" pivot="0" count="4" xr9:uid="{00000000-0011-0000-FFFF-FFFF27000000}">
      <tableStyleElement type="wholeTable" size="0" dxfId="124"/>
      <tableStyleElement type="headerRow" dxfId="127"/>
      <tableStyleElement type="firstRowStripe" dxfId="126"/>
      <tableStyleElement type="secondRowStripe" dxfId="125"/>
    </tableStyle>
    <tableStyle name="Sheet1-style 41" pivot="0" count="4" xr9:uid="{00000000-0011-0000-FFFF-FFFF28000000}">
      <tableStyleElement type="wholeTable" size="0" dxfId="120"/>
      <tableStyleElement type="headerRow" dxfId="123"/>
      <tableStyleElement type="firstRowStripe" dxfId="122"/>
      <tableStyleElement type="secondRowStripe" dxfId="121"/>
    </tableStyle>
    <tableStyle name="Sheet1-style 42" pivot="0" count="4" xr9:uid="{00000000-0011-0000-FFFF-FFFF29000000}">
      <tableStyleElement type="wholeTable" size="0" dxfId="116"/>
      <tableStyleElement type="headerRow" dxfId="119"/>
      <tableStyleElement type="firstRowStripe" dxfId="118"/>
      <tableStyleElement type="secondRowStripe" dxfId="117"/>
    </tableStyle>
    <tableStyle name="Sheet1-style 43" pivot="0" count="4" xr9:uid="{00000000-0011-0000-FFFF-FFFF2A000000}">
      <tableStyleElement type="wholeTable" size="0" dxfId="112"/>
      <tableStyleElement type="headerRow" dxfId="115"/>
      <tableStyleElement type="firstRowStripe" dxfId="114"/>
      <tableStyleElement type="secondRowStripe" dxfId="113"/>
    </tableStyle>
    <tableStyle name="Sheet1-style 44" pivot="0" count="4" xr9:uid="{00000000-0011-0000-FFFF-FFFF2B000000}">
      <tableStyleElement type="wholeTable" size="0" dxfId="108"/>
      <tableStyleElement type="headerRow" dxfId="111"/>
      <tableStyleElement type="firstRowStripe" dxfId="110"/>
      <tableStyleElement type="secondRowStripe" dxfId="109"/>
    </tableStyle>
    <tableStyle name="Sheet1-style 45" pivot="0" count="4" xr9:uid="{00000000-0011-0000-FFFF-FFFF2C000000}">
      <tableStyleElement type="wholeTable" size="0" dxfId="104"/>
      <tableStyleElement type="headerRow" dxfId="107"/>
      <tableStyleElement type="firstRowStripe" dxfId="106"/>
      <tableStyleElement type="secondRowStripe" dxfId="105"/>
    </tableStyle>
    <tableStyle name="Sheet1-style 46" pivot="0" count="4" xr9:uid="{00000000-0011-0000-FFFF-FFFF2D000000}">
      <tableStyleElement type="wholeTable" size="0" dxfId="100"/>
      <tableStyleElement type="headerRow" dxfId="103"/>
      <tableStyleElement type="firstRowStripe" dxfId="102"/>
      <tableStyleElement type="secondRowStripe" dxfId="101"/>
    </tableStyle>
    <tableStyle name="Sheet1-style 47" pivot="0" count="4" xr9:uid="{00000000-0011-0000-FFFF-FFFF2E000000}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Sheet1-style 48" pivot="0" count="4" xr9:uid="{00000000-0011-0000-FFFF-FFFF2F000000}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Sheet1-style 49" pivot="0" count="4" xr9:uid="{00000000-0011-0000-FFFF-FFFF30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Sheet1-style 50" pivot="0" count="4" xr9:uid="{00000000-0011-0000-FFFF-FFFF31000000}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Sheet1-style 51" pivot="0" count="4" xr9:uid="{00000000-0011-0000-FFFF-FFFF32000000}">
      <tableStyleElement type="wholeTable" size="0" dxfId="80"/>
      <tableStyleElement type="headerRow" dxfId="83"/>
      <tableStyleElement type="firstRowStripe" dxfId="82"/>
      <tableStyleElement type="secondRowStripe" dxfId="81"/>
    </tableStyle>
    <tableStyle name="Sheet1-style 52" pivot="0" count="4" xr9:uid="{00000000-0011-0000-FFFF-FFFF33000000}">
      <tableStyleElement type="wholeTable" size="0" dxfId="76"/>
      <tableStyleElement type="headerRow" dxfId="79"/>
      <tableStyleElement type="firstRowStripe" dxfId="78"/>
      <tableStyleElement type="secondRowStripe" dxfId="77"/>
    </tableStyle>
    <tableStyle name="Sheet1-style 53" pivot="0" count="4" xr9:uid="{00000000-0011-0000-FFFF-FFFF34000000}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Sheet1-style 54" pivot="0" count="4" xr9:uid="{00000000-0011-0000-FFFF-FFFF35000000}">
      <tableStyleElement type="wholeTable" size="0" dxfId="68"/>
      <tableStyleElement type="headerRow" dxfId="71"/>
      <tableStyleElement type="firstRowStripe" dxfId="70"/>
      <tableStyleElement type="secondRowStripe" dxfId="69"/>
    </tableStyle>
    <tableStyle name="Sheet1-style 55" pivot="0" count="4" xr9:uid="{00000000-0011-0000-FFFF-FFFF36000000}">
      <tableStyleElement type="wholeTable" size="0" dxfId="64"/>
      <tableStyleElement type="headerRow" dxfId="67"/>
      <tableStyleElement type="firstRowStripe" dxfId="66"/>
      <tableStyleElement type="secondRowStripe" dxfId="65"/>
    </tableStyle>
    <tableStyle name="Sheet1-style 56" pivot="0" count="4" xr9:uid="{00000000-0011-0000-FFFF-FFFF37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Sheet1-style 57" pivot="0" count="4" xr9:uid="{00000000-0011-0000-FFFF-FFFF38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Sheet1-style 58" pivot="0" count="4" xr9:uid="{00000000-0011-0000-FFFF-FFFF39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Sheet1-style 59" pivot="0" count="4" xr9:uid="{00000000-0011-0000-FFFF-FFFF3A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Sheet1-style 60" pivot="0" count="4" xr9:uid="{00000000-0011-0000-FFFF-FFFF3B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Sheet1-style 61" pivot="0" count="4" xr9:uid="{00000000-0011-0000-FFFF-FFFF3C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Sheet1-style 62" pivot="0" count="4" xr9:uid="{00000000-0011-0000-FFFF-FFFF3D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Sheet1-style 63" pivot="0" count="4" xr9:uid="{00000000-0011-0000-FFFF-FFFF3E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Sheet1-style 64" pivot="0" count="4" xr9:uid="{00000000-0011-0000-FFFF-FFFF3F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Sheet1-style 65" pivot="0" count="4" xr9:uid="{00000000-0011-0000-FFFF-FFFF4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Sheet1-style 66" pivot="0" count="4" xr9:uid="{00000000-0011-0000-FFFF-FFFF4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Sheet1-style 67" pivot="0" count="4" xr9:uid="{00000000-0011-0000-FFFF-FFFF4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Sheet1-style 68" pivot="0" count="4" xr9:uid="{00000000-0011-0000-FFFF-FFFF4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Sheet1-style 69" pivot="0" count="4" xr9:uid="{00000000-0011-0000-FFFF-FFFF4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heet1-style 70" pivot="0" count="4" xr9:uid="{00000000-0011-0000-FFFF-FFFF4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1-style 71" pivot="0" count="4" xr9:uid="{00000000-0011-0000-FFFF-FFFF4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38100</xdr:rowOff>
    </xdr:from>
    <xdr:ext cx="1038225" cy="447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128</xdr:row>
      <xdr:rowOff>857250</xdr:rowOff>
    </xdr:from>
    <xdr:ext cx="2381250" cy="1343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2" displayName="Table32" ref="A2:B7">
  <tableColumns count="2">
    <tableColumn id="1" xr3:uid="{00000000-0010-0000-0000-000001000000}" name="id"/>
    <tableColumn id="2" xr3:uid="{00000000-0010-0000-0000-000002000000}" name="Vicepresidencia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3" displayName="Table43" ref="F2:I16">
  <tableColumns count="4">
    <tableColumn id="1" xr3:uid="{00000000-0010-0000-0100-000001000000}" name="id"/>
    <tableColumn id="2" xr3:uid="{00000000-0010-0000-0100-000002000000}" name="Gerencia"/>
    <tableColumn id="3" xr3:uid="{00000000-0010-0000-0100-000003000000}" name="ant_v"/>
    <tableColumn id="4" xr3:uid="{00000000-0010-0000-0100-000004000000}" name="ant_g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64" displayName="Table64" ref="X2:Z155">
  <tableColumns count="3">
    <tableColumn id="1" xr3:uid="{00000000-0010-0000-0200-000001000000}" name="id"/>
    <tableColumn id="2" xr3:uid="{00000000-0010-0000-0200-000002000000}" name="nombre_sp"/>
    <tableColumn id="3" xr3:uid="{00000000-0010-0000-0200-000003000000}" name="Supervision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75" displayName="Table75" ref="AM2:AN148">
  <tableColumns count="2">
    <tableColumn id="1" xr3:uid="{00000000-0010-0000-0300-000001000000}" name="id"/>
    <tableColumn id="2" xr3:uid="{00000000-0010-0000-0300-000002000000}" name="Empresa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86" displayName="Table86" ref="AS2:AT32">
  <tableColumns count="2">
    <tableColumn id="1" xr3:uid="{00000000-0010-0000-0400-000001000000}" name="id"/>
    <tableColumn id="2" xr3:uid="{00000000-0010-0000-0400-000002000000}" name="Archivo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97" displayName="Table97" ref="AX2:AY8">
  <tableColumns count="2">
    <tableColumn id="1" xr3:uid="{00000000-0010-0000-0500-000001000000}" name="id"/>
    <tableColumn id="2" xr3:uid="{00000000-0010-0000-0500-000002000000}" name="version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vice_" displayName="vice_" ref="BO2:BO7">
  <tableColumns count="1">
    <tableColumn id="1" xr3:uid="{00000000-0010-0000-0600-000001000000}" name="Vicepresidencia"/>
  </tableColumns>
  <tableStyleInfo name="Sheet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esidencia_Ejecutiva" displayName="Presidencia_Ejecutiva" ref="BR2:BR3">
  <tableColumns count="1">
    <tableColumn id="1" xr3:uid="{00000000-0010-0000-0700-000001000000}" name="Presi"/>
  </tableColumns>
  <tableStyleInfo name="Sheet1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VICEPRESIDENCIA_CORPORATIVA" displayName="VICEPRESIDENCIA_CORPORATIVA" ref="BT2:BT9">
  <tableColumns count="1">
    <tableColumn id="1" xr3:uid="{00000000-0010-0000-0800-000001000000}" name="VICEPRESIDENCIA_CORPORATIVA"/>
  </tableColumns>
  <tableStyleInfo name="Sheet1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ERENCIA_CORPORATIVA" displayName="GERENCIA_CORPORATIVA" ref="BV2:BV6">
  <tableColumns count="1">
    <tableColumn id="1" xr3:uid="{00000000-0010-0000-0900-000001000000}" name="GERENCIA_CORPORATIVA"/>
  </tableColumns>
  <tableStyleInfo name="Sheet1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UPERINTENDENCIA_DE_ADQUISICIONES" displayName="SUPERINTENDENCIA_DE_ADQUISICIONES" ref="BX2:BX4">
  <tableColumns count="1">
    <tableColumn id="1" xr3:uid="{00000000-0010-0000-0A00-000001000000}" name="SUPERINTENDENCIA_DE_ADQUISICIONES"/>
  </tableColumns>
  <tableStyleInfo name="Sheet1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UPERINTENDENCIA_DE_RELACIONES_INSTITUCIONALES" displayName="SUPERINTENDENCIA_DE_RELACIONES_INSTITUCIONALES" ref="BZ2:BZ3">
  <tableColumns count="1">
    <tableColumn id="1" xr3:uid="{00000000-0010-0000-0B00-000001000000}" name="SUPERINTENDENCIA_DE_RELACIONES_INSTITUCIONALES"/>
  </tableColumns>
  <tableStyleInfo name="Sheet1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UPERINTENDENCIA_DE_RELACIONES_PÚBLICAS" displayName="SUPERINTENDENCIA_DE_RELACIONES_PÚBLICAS" ref="CB2:CB3">
  <tableColumns count="1">
    <tableColumn id="1" xr3:uid="{00000000-0010-0000-0C00-000001000000}" name="SUPERINTENDENCIA_DE_RELACIONES_PÚBLICAS"/>
  </tableColumns>
  <tableStyleInfo name="Sheet1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GERENCIA_CORPORATIVA_" displayName="GERENCIA_CORPORATIVA_" ref="CD2:CD3">
  <tableColumns count="1">
    <tableColumn id="1" xr3:uid="{00000000-0010-0000-0D00-000001000000}" name="GERENCIA_CORPORATIVA_"/>
  </tableColumns>
  <tableStyleInfo name="Sheet1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GERENCIA_DE_COMERCIALIZACIÓN_Y_SERVICIOS" displayName="GERENCIA_DE_COMERCIALIZACIÓN_Y_SERVICIOS" ref="CF2:CF7">
  <tableColumns count="1">
    <tableColumn id="1" xr3:uid="{00000000-0010-0000-0E00-000001000000}" name="GERENCIA_DE_COMERCIALIZACIÓN_Y_SERVICIOS"/>
  </tableColumns>
  <tableStyleInfo name="Sheet1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SUPERINTENDENCIA_DE_ALMACENES_Y_CONTROL_DE_INVENTARIOS" displayName="SUPERINTENDENCIA_DE_ALMACENES_Y_CONTROL_DE_INVENTARIOS" ref="CH2:CH7">
  <tableColumns count="1">
    <tableColumn id="1" xr3:uid="{00000000-0010-0000-0F00-000001000000}" name="SUPERINTENDENCIA_DE_ALMACENES_Y_CONTROL_DE_INVENTARIOS"/>
  </tableColumns>
  <tableStyleInfo name="Sheet1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SUPERINTENDENCIA_DE_EXPORTACIONES" displayName="SUPERINTENDENCIA_DE_EXPORTACIONES" ref="CJ2:CJ3">
  <tableColumns count="1">
    <tableColumn id="1" xr3:uid="{00000000-0010-0000-1000-000001000000}" name="SUPERINTENDENCIA_DE_EXPORTACIONES"/>
  </tableColumns>
  <tableStyleInfo name="Sheet1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UPERINTENDENCIA_DE_GESTION_COMERCIAL" displayName="SUPERINTENDENCIA_DE_GESTION_COMERCIAL" ref="CL2:CL3">
  <tableColumns count="1">
    <tableColumn id="1" xr3:uid="{00000000-0010-0000-1100-000001000000}" name="SUPERINTENDENCIA_DE_GESTION_COMERCIAL"/>
  </tableColumns>
  <tableStyleInfo name="Sheet1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SUPERINTENDENCIA_DE_LOGÍSTICA" displayName="SUPERINTENDENCIA_DE_LOGÍSTICA" ref="CN2:CN4">
  <tableColumns count="1">
    <tableColumn id="1" xr3:uid="{00000000-0010-0000-1200-000001000000}" name="SUPERINTENDENCIA_DE_LOGÍSTICA"/>
  </tableColumns>
  <tableStyleInfo name="Sheet1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UPERINTENDENCIA_DE_MANEJO_DE_MATERIALES" displayName="SUPERINTENDENCIA_DE_MANEJO_DE_MATERIALES" ref="CP2:CP4">
  <tableColumns count="1">
    <tableColumn id="1" xr3:uid="{00000000-0010-0000-1300-000001000000}" name="SUPERINTENDENCIA_DE_MANEJO_DE_MATERIALES"/>
  </tableColumns>
  <tableStyleInfo name="Sheet1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GERENCIA_DE_MEDIO_AMBIENTE" displayName="GERENCIA_DE_MEDIO_AMBIENTE" ref="CR2:CR3">
  <tableColumns count="1">
    <tableColumn id="1" xr3:uid="{00000000-0010-0000-1400-000001000000}" name="GERENCIA_DE_MEDIO_AMBIENTE"/>
  </tableColumns>
  <tableStyleInfo name="Sheet1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UPERINTENDENCIA_DE_MEDIO_AMBIENTE" displayName="SUPERINTENDENCIA_DE_MEDIO_AMBIENTE" ref="CT2:CT3">
  <tableColumns count="1">
    <tableColumn id="1" xr3:uid="{00000000-0010-0000-1500-000001000000}" name="SUPERINTENDENCIA_DE_MEDIO_AMBIENTE"/>
  </tableColumns>
  <tableStyleInfo name="Sheet1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GERENCIA_DE_RECURSOS_HUMANOS_Y_SERVICIOS_DE_PERSONAL" displayName="GERENCIA_DE_RECURSOS_HUMANOS_Y_SERVICIOS_DE_PERSONAL" ref="CV2:CV6">
  <tableColumns count="1">
    <tableColumn id="1" xr3:uid="{00000000-0010-0000-1600-000001000000}" name="GERENCIA_DE_RECURSOS_HUMANOS_Y_SERVICIOS_DE_PERSONAL"/>
  </tableColumns>
  <tableStyleInfo name="Sheet1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SUPERINTENDENCIA_DE_CAMPAMENTO" displayName="SUPERINTENDENCIA_DE_CAMPAMENTO" ref="CX2:CX8">
  <tableColumns count="1">
    <tableColumn id="1" xr3:uid="{00000000-0010-0000-1700-000001000000}" name="SUPERINTENDENCIA_DE_CAMPAMENTO"/>
  </tableColumns>
  <tableStyleInfo name="Sheet1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SUPERINTENDENCIA_DE_RECURSOS_HUMANOS" displayName="SUPERINTENDENCIA_DE_RECURSOS_HUMANOS" ref="CZ2:CZ7">
  <tableColumns count="1">
    <tableColumn id="1" xr3:uid="{00000000-0010-0000-1800-000001000000}" name="SUPERINTENDENCIA_DE_RECURSOS_HUMANOS"/>
  </tableColumns>
  <tableStyleInfo name="Sheet1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SUPERINTENDENCIA_SÉNIOR_DE_SALUD" displayName="SUPERINTENDENCIA_SÉNIOR_DE_SALUD" ref="DB2:DB5">
  <tableColumns count="1">
    <tableColumn id="1" xr3:uid="{00000000-0010-0000-1900-000001000000}" name="SUPERINTENDENCIA_SÉNIOR_DE_SALUD"/>
  </tableColumns>
  <tableStyleInfo name="Sheet1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SUPERVISIÓN_SENIOR_DE_SEGURIDAD_FÍSICA" displayName="SUPERVISIÓN_SENIOR_DE_SEGURIDAD_FÍSICA" ref="DD2:DD5">
  <tableColumns count="1">
    <tableColumn id="1" xr3:uid="{00000000-0010-0000-1A00-000001000000}" name="SUPERVISIÓN_SENIOR_DE_SEGURIDAD_FÍSICA"/>
  </tableColumns>
  <tableStyleInfo name="Sheet1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GERENCIA_DE_RELACIONES_COMUNITARIAS" displayName="GERENCIA_DE_RELACIONES_COMUNITARIAS" ref="DF2:DF3">
  <tableColumns count="1">
    <tableColumn id="1" xr3:uid="{00000000-0010-0000-1B00-000001000000}" name="GERENCIA_DE_RELACIONES_COMUNITARIAS"/>
  </tableColumns>
  <tableStyleInfo name="Sheet1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SUPERINTENDENCIA_DE_DESARROLLO_SOSTENIBLE_Y_RELACIONES_COMUNITARIAS" displayName="SUPERINTENDENCIA_DE_DESARROLLO_SOSTENIBLE_Y_RELACIONES_COMUNITARIAS" ref="DH2:DH5">
  <tableColumns count="1">
    <tableColumn id="1" xr3:uid="{00000000-0010-0000-1C00-000001000000}" name="SUPERINTENDENCIA_DE_DESARROLLO_SOSTENIBLE_Y_RELACIONES_COMUNITARIAS"/>
  </tableColumns>
  <tableStyleInfo name="Sheet1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GERENCIA_DE_SEGURIDAD_INDUSTRIAL" displayName="GERENCIA_DE_SEGURIDAD_INDUSTRIAL" ref="DJ2:DJ3">
  <tableColumns count="1">
    <tableColumn id="1" xr3:uid="{00000000-0010-0000-1D00-000001000000}" name="GERENCIA_DE_SEGURIDAD_INDUSTRIAL"/>
  </tableColumns>
  <tableStyleInfo name="Sheet1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SUPERINTENDENCIA_DE_SEGURIDAD_INDUSTRIAL" displayName="SUPERINTENDENCIA_DE_SEGURIDAD_INDUSTRIAL" ref="DL2:DL6">
  <tableColumns count="1">
    <tableColumn id="1" xr3:uid="{00000000-0010-0000-1E00-000001000000}" name="SUPERINTENDENCIA_DE_SEGURIDAD_INDUSTRIAL"/>
  </tableColumns>
  <tableStyleInfo name="Sheet1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GERENCIA_DE_SERVICIOS_DE_TRANSPORTE_Y_AVIACIÓN" displayName="GERENCIA_DE_SERVICIOS_DE_TRANSPORTE_Y_AVIACIÓN" ref="DN2:DN4">
  <tableColumns count="1">
    <tableColumn id="1" xr3:uid="{00000000-0010-0000-1F00-000001000000}" name="GERENCIA_DE_SERVICIOS_DE_TRANSPORTE_Y_AVIACIÓN"/>
  </tableColumns>
  <tableStyleInfo name="Sheet1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SUPERINTENDENCIA_DE_SERVICIOS_DE_AVIACIÓN" displayName="SUPERINTENDENCIA_DE_SERVICIOS_DE_AVIACIÓN" ref="DP2:DP4">
  <tableColumns count="1">
    <tableColumn id="1" xr3:uid="{00000000-0010-0000-2000-000001000000}" name="SUPERINTENDENCIA_DE_SERVICIOS_DE_AVIACIÓN"/>
  </tableColumns>
  <tableStyleInfo name="Sheet1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SUPERINTENDENCIA_DE_SERVICIOS_DE_TRANSPORTE_DE_PERSONAL" displayName="SUPERINTENDENCIA_DE_SERVICIOS_DE_TRANSPORTE_DE_PERSONAL" ref="DR2:DR9">
  <tableColumns count="1">
    <tableColumn id="1" xr3:uid="{00000000-0010-0000-2100-000001000000}" name="SUPERINTENDENCIA_DE_SERVICIOS_DE_TRANSPORTE_DE_PERSONAL"/>
  </tableColumns>
  <tableStyleInfo name="Sheet1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VICEPRESIDENCIA_DE_DESARROLLO_DE_PROYECTOS" displayName="VICEPRESIDENCIA_DE_DESARROLLO_DE_PROYECTOS" ref="DT2:DT3">
  <tableColumns count="1">
    <tableColumn id="1" xr3:uid="{00000000-0010-0000-2200-000001000000}" name="VICEPRESIDENCIA_DE_DESARROLLO_DE_PROYECTOS"/>
  </tableColumns>
  <tableStyleInfo name="Sheet1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GERENCIA_DE_PROYECTOS" displayName="GERENCIA_DE_PROYECTOS" ref="DV2:DV4">
  <tableColumns count="1">
    <tableColumn id="1" xr3:uid="{00000000-0010-0000-2300-000001000000}" name="GERENCIA_DE_PROYECTOS"/>
  </tableColumns>
  <tableStyleInfo name="Sheet1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SUPERINTENDENCIA_ADMINISTRATIVO_DE_OPERACIONES" displayName="SUPERINTENDENCIA_ADMINISTRATIVO_DE_OPERACIONES" ref="DX2:DX3">
  <tableColumns count="1">
    <tableColumn id="1" xr3:uid="{00000000-0010-0000-2400-000001000000}" name="SUPERINTENDENCIA_ADMINISTRATIVO_DE_OPERACIONES"/>
  </tableColumns>
  <tableStyleInfo name="Sheet1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SUPERINTENDENCIA_DE_INGENIERÍA_PLANTA" displayName="SUPERINTENDENCIA_DE_INGENIERÍA_PLANTA" ref="DZ2:DZ8">
  <tableColumns count="1">
    <tableColumn id="1" xr3:uid="{00000000-0010-0000-2500-000001000000}" name="SUPERINTENDENCIA_DE_INGENIERÍA_PLANTA"/>
  </tableColumns>
  <tableStyleInfo name="Sheet1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VICEPRESIDENCIA_DE_FINANZAS" displayName="VICEPRESIDENCIA_DE_FINANZAS" ref="EB2:EB4">
  <tableColumns count="1">
    <tableColumn id="1" xr3:uid="{00000000-0010-0000-2600-000001000000}" name="VICEPRESIDENCIA_DE_FINANZAS"/>
  </tableColumns>
  <tableStyleInfo name="Sheet1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GERENCIA_DE_FINANZAS" displayName="GERENCIA_DE_FINANZAS" ref="ED2:ED5">
  <tableColumns count="1">
    <tableColumn id="1" xr3:uid="{00000000-0010-0000-2700-000001000000}" name="GERENCIA_DE_FINANZAS"/>
  </tableColumns>
  <tableStyleInfo name="Sheet1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SUPERINTENDENCIA_DE_CONTABILIDAD" displayName="SUPERINTENDENCIA_DE_CONTABILIDAD" ref="EF2:EF5">
  <tableColumns count="1">
    <tableColumn id="1" xr3:uid="{00000000-0010-0000-2800-000001000000}" name="SUPERINTENDENCIA_DE_CONTABILIDAD"/>
  </tableColumns>
  <tableStyleInfo name="Sheet1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SUPERINTENDENCIA_DE_IMPUESTOS" displayName="SUPERINTENDENCIA_DE_IMPUESTOS" ref="EH2:EH3">
  <tableColumns count="1">
    <tableColumn id="1" xr3:uid="{00000000-0010-0000-2900-000001000000}" name="SUPERINTENDENCIA_DE_IMPUESTOS"/>
  </tableColumns>
  <tableStyleInfo name="Sheet1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SUPERINTENDENCIA_DE_PLANIFICACIÓN_FINANCIERA" displayName="SUPERINTENDENCIA_DE_PLANIFICACIÓN_FINANCIERA" ref="EJ2:EJ3">
  <tableColumns count="1">
    <tableColumn id="1" xr3:uid="{00000000-0010-0000-2A00-000001000000}" name="SUPERINTENDENCIA_DE_PLANIFICACIÓN_FINANCIERA"/>
  </tableColumns>
  <tableStyleInfo name="Sheet1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GERENCIA_DE_TI_Y_DESARROLLO_DEL_NEGOCIO" displayName="GERENCIA_DE_TI_Y_DESARROLLO_DEL_NEGOCIO" ref="EL2:EL6">
  <tableColumns count="1">
    <tableColumn id="1" xr3:uid="{00000000-0010-0000-2B00-000001000000}" name="GERENCIA_DE_TI_Y_DESARROLLO_DEL_NEGOCIO"/>
  </tableColumns>
  <tableStyleInfo name="Sheet1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SUPERINTENDENCIA_DE_DESARROLLO_DEL_NEGOCIO" displayName="SUPERINTENDENCIA_DE_DESARROLLO_DEL_NEGOCIO" ref="EN2:EN3">
  <tableColumns count="1">
    <tableColumn id="1" xr3:uid="{00000000-0010-0000-2C00-000001000000}" name="SUPERINTENDENCIA_DE_DESARROLLO_DEL_NEGOCIO"/>
  </tableColumns>
  <tableStyleInfo name="Sheet1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SUPERINTENDENCIA_DE_TI" displayName="SUPERINTENDENCIA_DE_TI" ref="EP2:EP4">
  <tableColumns count="1">
    <tableColumn id="1" xr3:uid="{00000000-0010-0000-2D00-000001000000}" name="SUPERINTENDENCIA_DE_TI"/>
  </tableColumns>
  <tableStyleInfo name="Sheet1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SUPERINTENDENCIA_DE_TO" displayName="SUPERINTENDENCIA_DE_TO" ref="ER2:ER5">
  <tableColumns count="1">
    <tableColumn id="1" xr3:uid="{00000000-0010-0000-2E00-000001000000}" name="SUPERINTENDENCIA_DE_TO"/>
  </tableColumns>
  <tableStyleInfo name="Sheet1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SUPERVISIÓN_DE_SEGURIDAD_DE_LA_INFORMACIÓN_CISO" displayName="SUPERVISIÓN_DE_SEGURIDAD_DE_LA_INFORMACIÓN_CISO" ref="ET2:ET3">
  <tableColumns count="1">
    <tableColumn id="1" xr3:uid="{00000000-0010-0000-2F00-000001000000}" name="SUPERVISIÓN_DE_SEGURIDAD_DE_LA_INFORMACIÓN_CISO"/>
  </tableColumns>
  <tableStyleInfo name="Sheet1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VICEPRESIDENCIA_DE_OPERACIONES" displayName="VICEPRESIDENCIA_DE_OPERACIONES" ref="EV2:EV6">
  <tableColumns count="1">
    <tableColumn id="1" xr3:uid="{00000000-0010-0000-3000-000001000000}" name="VICEPRESIDENCIA_DE_OPERACIONES"/>
  </tableColumns>
  <tableStyleInfo name="Sheet1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GERENCIA_DE_MANTENIMIENTO_MINA" displayName="GERENCIA_DE_MANTENIMIENTO_MINA" ref="EX2:EX4">
  <tableColumns count="1">
    <tableColumn id="1" xr3:uid="{00000000-0010-0000-3100-000001000000}" name="GERENCIA_DE_MANTENIMIENTO_MINA"/>
  </tableColumns>
  <tableStyleInfo name="Sheet1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SUPERINTENDENCIA_SÉNIOR_DE_MANTENIMIENTO_MINA" displayName="SUPERINTENDENCIA_SÉNIOR_DE_MANTENIMIENTO_MINA" ref="EZ2:EZ14">
  <tableColumns count="1">
    <tableColumn id="1" xr3:uid="{00000000-0010-0000-3200-000001000000}" name="SUPERINTENDENCIA_SÉNIOR_DE_MANTENIMIENTO_MINA"/>
  </tableColumns>
  <tableStyleInfo name="Sheet1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SUPERINTENDENTE_DE_MANTENIMIENTO_MINA_PLANIFICACIÓN_Y_PROGRAMACIÓN" displayName="SUPERINTENDENTE_DE_MANTENIMIENTO_MINA_PLANIFICACIÓN_Y_PROGRAMACIÓN" ref="FB2:FB14">
  <tableColumns count="1">
    <tableColumn id="1" xr3:uid="{00000000-0010-0000-3300-000001000000}" name="SUPERINTENDENTE_DE_MANTENIMIENTO_MINA_PLANIFICACIÓN_Y_PROGRAMACIÓN"/>
  </tableColumns>
  <tableStyleInfo name="Sheet1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GERENCIA_DE_MANTENIMIENTO_PLANTA" displayName="GERENCIA_DE_MANTENIMIENTO_PLANTA" ref="FD2:FD7">
  <tableColumns count="1">
    <tableColumn id="1" xr3:uid="{00000000-0010-0000-3400-000001000000}" name="GERENCIA_DE_MANTENIMIENTO_PLANTA"/>
  </tableColumns>
  <tableStyleInfo name="Sheet1-style 5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SUPERINTENDENCIA_DE_MANTENIMIENTO_ELÉCTRICO_E_INSTRUMENTACIÓN_PLANTA" displayName="SUPERINTENDENCIA_DE_MANTENIMIENTO_ELÉCTRICO_E_INSTRUMENTACIÓN_PLANTA" ref="FF2:FF7">
  <tableColumns count="1">
    <tableColumn id="1" xr3:uid="{00000000-0010-0000-3500-000001000000}" name="SUPERINTENDENCIA_DE_MANTENIMIENTO_ELÉCTRICO_E_INSTRUMENTACIÓN_PLANTA"/>
  </tableColumns>
  <tableStyleInfo name="Sheet1-style 5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SUPERINTENDENCIA_DE_MANTENIMIENTO_INGENIERÍA_DE_CONFIABILIDAD" displayName="SUPERINTENDENCIA_DE_MANTENIMIENTO_INGENIERÍA_DE_CONFIABILIDAD" ref="FH2:FH8">
  <tableColumns count="1">
    <tableColumn id="1" xr3:uid="{00000000-0010-0000-3600-000001000000}" name="SUPERINTENDENCIA_DE_MANTENIMIENTO_INGENIERÍA_DE_CONFIABILIDAD"/>
  </tableColumns>
  <tableStyleInfo name="Sheet1-style 55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SUPERINTENDENCIA_DE_MANTENIMIENTO_MEC._PLTA._CHANCADO_MOLIENDA_Y_LUBRICACIÓN" displayName="SUPERINTENDENCIA_DE_MANTENIMIENTO_MEC._PLTA._CHANCADO_MOLIENDA_Y_LUBRICACIÓN" ref="FJ2:FJ12">
  <tableColumns count="1">
    <tableColumn id="1" xr3:uid="{00000000-0010-0000-3700-000001000000}" name="SUPERINTENDENCIA_DE_MANTENIMIENTO_MEC._PLTA._CHANCADO_MOLIENDA_Y_LUBRICACIÓN"/>
  </tableColumns>
  <tableStyleInfo name="Sheet1-style 56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SUPERINTENDENCIA_DE_MANTENIMIENTO_MEC._PLTA._FLOT._FILTROS_TALLER_GRAL._Y_RH" displayName="SUPERINTENDENCIA_DE_MANTENIMIENTO_MEC._PLTA._FLOT._FILTROS_TALLER_GRAL._Y_RH" ref="FL2:FL7">
  <tableColumns count="1">
    <tableColumn id="1" xr3:uid="{00000000-0010-0000-3800-000001000000}" name="SUPERINTENDENCIA_DE_MANTENIMIENTO_MEC._PLTA._FLOT._FILTROS_TALLER_GRAL._Y_RH"/>
  </tableColumns>
  <tableStyleInfo name="Sheet1-style 57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SUPERINTENDENCIA_DE_MANTENIMIENTO_PLANIFICACIÓN" displayName="SUPERINTENDENCIA_DE_MANTENIMIENTO_PLANIFICACIÓN" ref="FN2:FN8">
  <tableColumns count="1">
    <tableColumn id="1" xr3:uid="{00000000-0010-0000-3900-000001000000}" name="SUPERINTENDENCIA_DE_MANTENIMIENTO_PLANIFICACIÓN"/>
  </tableColumns>
  <tableStyleInfo name="Sheet1-style 58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GERENCIA_DE_OPERACIONES_MINA" displayName="GERENCIA_DE_OPERACIONES_MINA" ref="FP2:FP6">
  <tableColumns count="1">
    <tableColumn id="1" xr3:uid="{00000000-0010-0000-3A00-000001000000}" name="GERENCIA_DE_OPERACIONES_MINA"/>
  </tableColumns>
  <tableStyleInfo name="Sheet1-style 59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SUPERINTENDENCIA_DE_INGENIERÍA_MINA" displayName="SUPERINTENDENCIA_DE_INGENIERÍA_MINA" ref="FR2:FR10">
  <tableColumns count="1">
    <tableColumn id="1" xr3:uid="{00000000-0010-0000-3B00-000001000000}" name="SUPERINTENDENCIA_DE_INGENIERÍA_MINA"/>
  </tableColumns>
  <tableStyleInfo name="Sheet1-style 60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SUPERINTENDENCIA_DE_OPERACIONES_MINA" displayName="SUPERINTENDENCIA_DE_OPERACIONES_MINA" ref="FT2:FT9">
  <tableColumns count="1">
    <tableColumn id="1" xr3:uid="{00000000-0010-0000-3C00-000001000000}" name="SUPERINTENDENCIA_DE_OPERACIONES_MINA"/>
  </tableColumns>
  <tableStyleInfo name="Sheet1-style 61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SUPERINTENDENCIA_DE_SERVICIOS_DE_EXPLORACIÓN" displayName="SUPERINTENDENCIA_DE_SERVICIOS_DE_EXPLORACIÓN" ref="FV2:FV3">
  <tableColumns count="1">
    <tableColumn id="1" xr3:uid="{00000000-0010-0000-3D00-000001000000}" name="SUPERINTENDENCIA_DE_SERVICIOS_DE_EXPLORACIÓN"/>
  </tableColumns>
  <tableStyleInfo name="Sheet1-style 62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SUPERVISIÓN_DE_ENTRENAMIENTO_MINA" displayName="SUPERVISIÓN_DE_ENTRENAMIENTO_MINA" ref="FX2:FX3">
  <tableColumns count="1">
    <tableColumn id="1" xr3:uid="{00000000-0010-0000-3E00-000001000000}" name="SUPERVISIÓN_DE_ENTRENAMIENTO_MINA"/>
  </tableColumns>
  <tableStyleInfo name="Sheet1-style 63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GERENCIA_DE_OPERACIONES_PLANTA" displayName="GERENCIA_DE_OPERACIONES_PLANTA" ref="FZ2:FZ6">
  <tableColumns count="1">
    <tableColumn id="1" xr3:uid="{00000000-0010-0000-3F00-000001000000}" name="GERENCIA_DE_OPERACIONES_PLANTA"/>
  </tableColumns>
  <tableStyleInfo name="Sheet1-style 64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SUPERINTENDENCIA_DE_GESTIÓN_DE_RELAVES_Y_SERVICIOS_AUXILIARES" displayName="SUPERINTENDENCIA_DE_GESTIÓN_DE_RELAVES_Y_SERVICIOS_AUXILIARES" ref="GB2:GB6">
  <tableColumns count="1">
    <tableColumn id="1" xr3:uid="{00000000-0010-0000-4000-000001000000}" name="SUPERINTENDENCIA_DE_GESTIÓN_DE_RELAVES_Y_SERVICIOS_AUXILIARES"/>
  </tableColumns>
  <tableStyleInfo name="Sheet1-style 65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SUPERINTENDENCIA_DE_OPERACIONES_PLANTA" displayName="SUPERINTENDENCIA_DE_OPERACIONES_PLANTA" ref="GD2:GD10">
  <tableColumns count="1">
    <tableColumn id="1" xr3:uid="{00000000-0010-0000-4100-000001000000}" name="SUPERINTENDENCIA_DE_OPERACIONES_PLANTA"/>
  </tableColumns>
  <tableStyleInfo name="Sheet1-style 66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SUPERINTENDENCIA_DE_SERVICIOS_TÉCNICOS" displayName="SUPERINTENDENCIA_DE_SERVICIOS_TÉCNICOS" ref="GF2:GF8">
  <tableColumns count="1">
    <tableColumn id="1" xr3:uid="{00000000-0010-0000-4200-000001000000}" name="SUPERINTENDENCIA_DE_SERVICIOS_TÉCNICOS"/>
  </tableColumns>
  <tableStyleInfo name="Sheet1-style 67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GERENCIA_DE_OPERACIONES_PLANTA_" displayName="GERENCIA_DE_OPERACIONES_PLANTA_" ref="GH2:GH4">
  <tableColumns count="1">
    <tableColumn id="1" xr3:uid="{00000000-0010-0000-4300-000001000000}" name="GERENCIA_DE_OPERACIONES_PLANTA_"/>
  </tableColumns>
  <tableStyleInfo name="Sheet1-style 68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nombre93" displayName="nombre93" ref="BR151:BR153">
  <tableColumns count="1">
    <tableColumn id="1" xr3:uid="{00000000-0010-0000-4400-000001000000}" name="nombre"/>
  </tableColumns>
  <tableStyleInfo name="Sheet1-style 69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ramiro94" displayName="ramiro94" ref="BT151:BT155">
  <tableColumns count="1">
    <tableColumn id="1" xr3:uid="{00000000-0010-0000-4500-000001000000}" name="ramiro"/>
  </tableColumns>
  <tableStyleInfo name="Sheet1-style 70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juan95" displayName="juan95" ref="BU151:BU156">
  <tableColumns count="1">
    <tableColumn id="1" xr3:uid="{00000000-0010-0000-4600-000001000000}" name="juan"/>
  </tableColumns>
  <tableStyleInfo name="Sheet1-style 7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63" Type="http://schemas.openxmlformats.org/officeDocument/2006/relationships/table" Target="../tables/table63.xml"/><Relationship Id="rId68" Type="http://schemas.openxmlformats.org/officeDocument/2006/relationships/table" Target="../tables/table68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66" Type="http://schemas.openxmlformats.org/officeDocument/2006/relationships/table" Target="../tables/table66.xml"/><Relationship Id="rId5" Type="http://schemas.openxmlformats.org/officeDocument/2006/relationships/table" Target="../tables/table5.xml"/><Relationship Id="rId61" Type="http://schemas.openxmlformats.org/officeDocument/2006/relationships/table" Target="../tables/table61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56" Type="http://schemas.openxmlformats.org/officeDocument/2006/relationships/table" Target="../tables/table56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59" Type="http://schemas.openxmlformats.org/officeDocument/2006/relationships/table" Target="../tables/table59.xml"/><Relationship Id="rId67" Type="http://schemas.openxmlformats.org/officeDocument/2006/relationships/table" Target="../tables/table67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62" Type="http://schemas.openxmlformats.org/officeDocument/2006/relationships/table" Target="../tables/table62.xml"/><Relationship Id="rId70" Type="http://schemas.openxmlformats.org/officeDocument/2006/relationships/table" Target="../tables/table7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57" Type="http://schemas.openxmlformats.org/officeDocument/2006/relationships/table" Target="../tables/table5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4" sqref="B14:E14"/>
    </sheetView>
  </sheetViews>
  <sheetFormatPr baseColWidth="10" defaultColWidth="12.6640625" defaultRowHeight="15" customHeight="1" x14ac:dyDescent="0.25"/>
  <cols>
    <col min="1" max="1" width="5.109375" customWidth="1"/>
    <col min="2" max="2" width="13.6640625" customWidth="1"/>
    <col min="3" max="3" width="7.6640625" customWidth="1"/>
    <col min="4" max="4" width="24.88671875" customWidth="1"/>
    <col min="5" max="5" width="10" customWidth="1"/>
    <col min="6" max="6" width="9.109375" customWidth="1"/>
    <col min="7" max="7" width="7.88671875" customWidth="1"/>
    <col min="8" max="11" width="5.33203125" customWidth="1"/>
    <col min="12" max="12" width="9.77734375" customWidth="1"/>
    <col min="13" max="13" width="13.6640625" customWidth="1"/>
    <col min="14" max="14" width="16.21875" customWidth="1"/>
    <col min="15" max="26" width="9.109375" customWidth="1"/>
  </cols>
  <sheetData>
    <row r="1" spans="1:26" ht="15.75" customHeight="1" x14ac:dyDescent="0.25">
      <c r="A1" s="171"/>
      <c r="B1" s="136"/>
      <c r="C1" s="175" t="s">
        <v>28</v>
      </c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77" t="s">
        <v>29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72"/>
      <c r="B2" s="173"/>
      <c r="C2" s="172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174"/>
      <c r="B3" s="139"/>
      <c r="C3" s="174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5" t="s">
        <v>30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.5" customHeight="1" x14ac:dyDescent="0.3">
      <c r="A4" s="4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.75" customHeight="1" x14ac:dyDescent="0.3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5">
      <c r="A6" s="179" t="s">
        <v>31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.5" customHeight="1" x14ac:dyDescent="0.3">
      <c r="A7" s="12"/>
      <c r="B7" s="13"/>
      <c r="C7" s="13"/>
      <c r="D7" s="14"/>
      <c r="E7" s="15"/>
      <c r="F7" s="13"/>
      <c r="G7" s="14"/>
      <c r="H7" s="14"/>
      <c r="I7" s="14"/>
      <c r="J7" s="13"/>
      <c r="K7" s="13"/>
      <c r="L7" s="13"/>
      <c r="M7" s="13"/>
      <c r="N7" s="1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6.75" customHeight="1" x14ac:dyDescent="0.25">
      <c r="A8" s="188" t="s">
        <v>32</v>
      </c>
      <c r="B8" s="186"/>
      <c r="C8" s="182" t="str">
        <f t="array" ref="C8">IFERROR(INDEX(Sheet1!AB3:AB437, MATCH(H8, Sheet1!Z3:Z437, 0)),"")</f>
        <v/>
      </c>
      <c r="D8" s="183"/>
      <c r="E8" s="184"/>
      <c r="F8" s="185" t="s">
        <v>33</v>
      </c>
      <c r="G8" s="186"/>
      <c r="H8" s="187"/>
      <c r="I8" s="176"/>
      <c r="J8" s="176"/>
      <c r="K8" s="176"/>
      <c r="L8" s="176"/>
      <c r="M8" s="16" t="s">
        <v>34</v>
      </c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25">
      <c r="A9" s="188" t="s">
        <v>35</v>
      </c>
      <c r="B9" s="186"/>
      <c r="C9" s="182" t="str">
        <f t="array" ref="C9">IFERROR(INDEX(Sheet1!AC3:AC437, MATCH(H8, Sheet1!Z3:Z437, 0)),"")</f>
        <v/>
      </c>
      <c r="D9" s="183"/>
      <c r="E9" s="184"/>
      <c r="F9" s="185" t="s">
        <v>36</v>
      </c>
      <c r="G9" s="186"/>
      <c r="H9" s="189"/>
      <c r="I9" s="176"/>
      <c r="J9" s="176"/>
      <c r="K9" s="190" t="s">
        <v>37</v>
      </c>
      <c r="L9" s="186"/>
      <c r="M9" s="189" t="s">
        <v>38</v>
      </c>
      <c r="N9" s="17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2.25" customHeight="1" x14ac:dyDescent="0.25">
      <c r="A10" s="188" t="s">
        <v>39</v>
      </c>
      <c r="B10" s="186"/>
      <c r="C10" s="182" t="str">
        <f t="array" ref="C10">IFERROR(INDEX(Sheet1!AF3:AF437, MATCH(H8, Sheet1!Z3:Z437, 0)),"")</f>
        <v/>
      </c>
      <c r="D10" s="183"/>
      <c r="E10" s="184"/>
      <c r="F10" s="191" t="s">
        <v>40</v>
      </c>
      <c r="G10" s="186"/>
      <c r="H10" s="192"/>
      <c r="I10" s="176"/>
      <c r="J10" s="176"/>
      <c r="K10" s="176"/>
      <c r="L10" s="176"/>
      <c r="M10" s="18" t="s">
        <v>41</v>
      </c>
      <c r="N10" s="19" t="str">
        <f>IF(ISBLANK(H8),"",CONCATENATE("V",E11,"-G",F11,"-S",G11,"-SP",H11,"-AR",I11,"-E",J11,"-A01","-VR00","-F",TEXT(H10, "yyyymmdd")))</f>
        <v/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" customHeight="1" x14ac:dyDescent="0.25">
      <c r="A11" s="20"/>
      <c r="B11" s="21"/>
      <c r="C11" s="21"/>
      <c r="D11" s="22"/>
      <c r="E11" s="23" t="e">
        <f t="array" ref="E11">INDEX(Sheet1!U3:U437, MATCH(H8, Sheet1!Z3:Z437, 0))</f>
        <v>#N/A</v>
      </c>
      <c r="F11" s="21" t="e">
        <f t="array" ref="F11">INDEX(Sheet1!V3:V437, MATCH(H8, Sheet1!Z3:Z437, 0))</f>
        <v>#N/A</v>
      </c>
      <c r="G11" s="21" t="str">
        <f t="array" ref="G11">IFERROR(INDEX(Sheet1!W3:W437, MATCH(H8, Sheet1!Z3:Z437, 0)),"")</f>
        <v/>
      </c>
      <c r="H11" s="21" t="str">
        <f t="array" ref="H11">IFERROR(INDEX(Sheet1!X3:X437, MATCH(H8, Sheet1!Z3:Z437, 0)),"")</f>
        <v/>
      </c>
      <c r="I11" s="21" t="str">
        <f t="array" ref="I11">IFERROR(INDEX(Sheet1!BJ3:BJ107, MATCH(C10, Sheet1!BK3:BK107, 0)),"")</f>
        <v/>
      </c>
      <c r="J11" s="21" t="str">
        <f t="array" ref="J11">IFERROR(INDEX(Sheet1!AM3:AM147, MATCH(M9, Sheet1!AN3:AN147, 0)),"")</f>
        <v>000</v>
      </c>
      <c r="K11" s="21"/>
      <c r="L11" s="21"/>
      <c r="M11" s="21"/>
      <c r="N11" s="23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9.5" customHeight="1" x14ac:dyDescent="0.25">
      <c r="A12" s="164" t="s">
        <v>42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9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5">
      <c r="A13" s="164" t="s">
        <v>43</v>
      </c>
      <c r="B13" s="165"/>
      <c r="C13" s="165"/>
      <c r="D13" s="165"/>
      <c r="E13" s="193"/>
      <c r="F13" s="164" t="s">
        <v>44</v>
      </c>
      <c r="G13" s="165"/>
      <c r="H13" s="165"/>
      <c r="I13" s="165"/>
      <c r="J13" s="165"/>
      <c r="K13" s="165"/>
      <c r="L13" s="165"/>
      <c r="M13" s="166"/>
      <c r="N13" s="26" t="s">
        <v>45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27" t="s">
        <v>46</v>
      </c>
      <c r="B14" s="194"/>
      <c r="C14" s="151"/>
      <c r="D14" s="151"/>
      <c r="E14" s="195"/>
      <c r="F14" s="196"/>
      <c r="G14" s="151"/>
      <c r="H14" s="151"/>
      <c r="I14" s="151"/>
      <c r="J14" s="151"/>
      <c r="K14" s="151"/>
      <c r="L14" s="151"/>
      <c r="M14" s="151"/>
      <c r="N14" s="2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29" t="s">
        <v>47</v>
      </c>
      <c r="B15" s="163"/>
      <c r="C15" s="132"/>
      <c r="D15" s="132"/>
      <c r="E15" s="159"/>
      <c r="F15" s="153"/>
      <c r="G15" s="132"/>
      <c r="H15" s="132"/>
      <c r="I15" s="132"/>
      <c r="J15" s="132"/>
      <c r="K15" s="132"/>
      <c r="L15" s="132"/>
      <c r="M15" s="154"/>
      <c r="N15" s="3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29" t="s">
        <v>48</v>
      </c>
      <c r="B16" s="163"/>
      <c r="C16" s="132"/>
      <c r="D16" s="132"/>
      <c r="E16" s="159"/>
      <c r="F16" s="153"/>
      <c r="G16" s="132"/>
      <c r="H16" s="132"/>
      <c r="I16" s="132"/>
      <c r="J16" s="132"/>
      <c r="K16" s="132"/>
      <c r="L16" s="132"/>
      <c r="M16" s="154"/>
      <c r="N16" s="3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29" t="s">
        <v>52</v>
      </c>
      <c r="B17" s="163"/>
      <c r="C17" s="132"/>
      <c r="D17" s="132"/>
      <c r="E17" s="159"/>
      <c r="F17" s="153"/>
      <c r="G17" s="132"/>
      <c r="H17" s="132"/>
      <c r="I17" s="132"/>
      <c r="J17" s="132"/>
      <c r="K17" s="132"/>
      <c r="L17" s="132"/>
      <c r="M17" s="154"/>
      <c r="N17" s="3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29" t="s">
        <v>55</v>
      </c>
      <c r="B18" s="163"/>
      <c r="C18" s="132"/>
      <c r="D18" s="132"/>
      <c r="E18" s="159"/>
      <c r="F18" s="153"/>
      <c r="G18" s="132"/>
      <c r="H18" s="132"/>
      <c r="I18" s="132"/>
      <c r="J18" s="132"/>
      <c r="K18" s="132"/>
      <c r="L18" s="132"/>
      <c r="M18" s="154"/>
      <c r="N18" s="3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29" t="s">
        <v>56</v>
      </c>
      <c r="B19" s="163"/>
      <c r="C19" s="132"/>
      <c r="D19" s="132"/>
      <c r="E19" s="159"/>
      <c r="F19" s="153"/>
      <c r="G19" s="132"/>
      <c r="H19" s="132"/>
      <c r="I19" s="132"/>
      <c r="J19" s="132"/>
      <c r="K19" s="132"/>
      <c r="L19" s="132"/>
      <c r="M19" s="154"/>
      <c r="N19" s="3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.7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5">
      <c r="A21" s="164" t="s">
        <v>57</v>
      </c>
      <c r="B21" s="165"/>
      <c r="C21" s="165"/>
      <c r="D21" s="165"/>
      <c r="E21" s="165"/>
      <c r="F21" s="166"/>
      <c r="G21" s="155" t="s">
        <v>58</v>
      </c>
      <c r="H21" s="156"/>
      <c r="I21" s="156"/>
      <c r="J21" s="156"/>
      <c r="K21" s="156"/>
      <c r="L21" s="156"/>
      <c r="M21" s="156"/>
      <c r="N21" s="15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67" t="s">
        <v>59</v>
      </c>
      <c r="B22" s="168"/>
      <c r="C22" s="169" t="s">
        <v>60</v>
      </c>
      <c r="D22" s="156"/>
      <c r="E22" s="156"/>
      <c r="F22" s="168"/>
      <c r="G22" s="158" t="s">
        <v>61</v>
      </c>
      <c r="H22" s="132"/>
      <c r="I22" s="132"/>
      <c r="J22" s="132"/>
      <c r="K22" s="159"/>
      <c r="L22" s="160" t="s">
        <v>63</v>
      </c>
      <c r="M22" s="132"/>
      <c r="N22" s="13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customHeight="1" x14ac:dyDescent="0.3">
      <c r="A23" s="197">
        <v>0</v>
      </c>
      <c r="B23" s="159"/>
      <c r="C23" s="170" t="s">
        <v>65</v>
      </c>
      <c r="D23" s="132"/>
      <c r="E23" s="132"/>
      <c r="F23" s="154"/>
      <c r="G23" s="161" t="s">
        <v>66</v>
      </c>
      <c r="H23" s="132"/>
      <c r="I23" s="132"/>
      <c r="J23" s="132"/>
      <c r="K23" s="159"/>
      <c r="L23" s="162" t="s">
        <v>69</v>
      </c>
      <c r="M23" s="132"/>
      <c r="N23" s="13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 x14ac:dyDescent="0.3">
      <c r="A24" s="197">
        <v>1</v>
      </c>
      <c r="B24" s="159"/>
      <c r="C24" s="170" t="s">
        <v>72</v>
      </c>
      <c r="D24" s="132"/>
      <c r="E24" s="132"/>
      <c r="F24" s="154"/>
      <c r="G24" s="161" t="s">
        <v>76</v>
      </c>
      <c r="H24" s="132"/>
      <c r="I24" s="132"/>
      <c r="J24" s="132"/>
      <c r="K24" s="159"/>
      <c r="L24" s="162" t="s">
        <v>77</v>
      </c>
      <c r="M24" s="132"/>
      <c r="N24" s="13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9.25" customHeight="1" x14ac:dyDescent="0.3">
      <c r="A25" s="197">
        <v>2</v>
      </c>
      <c r="B25" s="159"/>
      <c r="C25" s="170" t="s">
        <v>80</v>
      </c>
      <c r="D25" s="132"/>
      <c r="E25" s="132"/>
      <c r="F25" s="154"/>
      <c r="G25" s="161" t="s">
        <v>82</v>
      </c>
      <c r="H25" s="132"/>
      <c r="I25" s="132"/>
      <c r="J25" s="132"/>
      <c r="K25" s="159"/>
      <c r="L25" s="162" t="s">
        <v>83</v>
      </c>
      <c r="M25" s="132"/>
      <c r="N25" s="13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.25" customHeight="1" x14ac:dyDescent="0.3">
      <c r="A26" s="197">
        <v>3</v>
      </c>
      <c r="B26" s="159"/>
      <c r="C26" s="170" t="s">
        <v>87</v>
      </c>
      <c r="D26" s="132"/>
      <c r="E26" s="132"/>
      <c r="F26" s="154"/>
      <c r="G26" s="161" t="s">
        <v>89</v>
      </c>
      <c r="H26" s="132"/>
      <c r="I26" s="132"/>
      <c r="J26" s="132"/>
      <c r="K26" s="159"/>
      <c r="L26" s="162" t="s">
        <v>90</v>
      </c>
      <c r="M26" s="132"/>
      <c r="N26" s="13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197" t="s">
        <v>92</v>
      </c>
      <c r="B27" s="159"/>
      <c r="C27" s="170" t="s">
        <v>93</v>
      </c>
      <c r="D27" s="132"/>
      <c r="E27" s="132"/>
      <c r="F27" s="154"/>
      <c r="G27" s="205"/>
      <c r="H27" s="132"/>
      <c r="I27" s="132"/>
      <c r="J27" s="132"/>
      <c r="K27" s="159"/>
      <c r="L27" s="162" t="s">
        <v>96</v>
      </c>
      <c r="M27" s="132"/>
      <c r="N27" s="13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5" customHeight="1" x14ac:dyDescent="0.3">
      <c r="A28" s="198" t="s">
        <v>100</v>
      </c>
      <c r="B28" s="159"/>
      <c r="C28" s="202" t="s">
        <v>101</v>
      </c>
      <c r="D28" s="132"/>
      <c r="E28" s="132"/>
      <c r="F28" s="154"/>
      <c r="G28" s="206"/>
      <c r="H28" s="141"/>
      <c r="I28" s="141"/>
      <c r="J28" s="141"/>
      <c r="K28" s="207"/>
      <c r="L28" s="208" t="s">
        <v>103</v>
      </c>
      <c r="M28" s="141"/>
      <c r="N28" s="14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" customHeight="1" x14ac:dyDescent="0.3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5">
      <c r="A30" s="209" t="s">
        <v>107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25" customHeight="1" x14ac:dyDescent="0.25">
      <c r="A31" s="210" t="s">
        <v>110</v>
      </c>
      <c r="B31" s="141"/>
      <c r="C31" s="141"/>
      <c r="D31" s="141"/>
      <c r="E31" s="207"/>
      <c r="F31" s="211" t="s">
        <v>113</v>
      </c>
      <c r="G31" s="141"/>
      <c r="H31" s="141"/>
      <c r="I31" s="141"/>
      <c r="J31" s="141"/>
      <c r="K31" s="141"/>
      <c r="L31" s="141"/>
      <c r="M31" s="207"/>
      <c r="N31" s="59">
        <f>(F32+F46+F66+F75+F88+F134+F145)/(E32+E46+E66+E75+E88+E134+E145)</f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25">
      <c r="A32" s="199" t="s">
        <v>124</v>
      </c>
      <c r="B32" s="135"/>
      <c r="C32" s="200"/>
      <c r="D32" s="60" t="s">
        <v>127</v>
      </c>
      <c r="E32" s="61">
        <f>COUNTIF(F34:F45,"&lt;&gt;"&amp;$A$27)*3</f>
        <v>36</v>
      </c>
      <c r="F32" s="203">
        <f>SUM(F34:F45)</f>
        <v>0</v>
      </c>
      <c r="G32" s="134" t="s">
        <v>136</v>
      </c>
      <c r="H32" s="135"/>
      <c r="I32" s="135"/>
      <c r="J32" s="135"/>
      <c r="K32" s="135"/>
      <c r="L32" s="135"/>
      <c r="M32" s="135"/>
      <c r="N32" s="13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25">
      <c r="A33" s="174"/>
      <c r="B33" s="138"/>
      <c r="C33" s="201"/>
      <c r="D33" s="64" t="s">
        <v>140</v>
      </c>
      <c r="E33" s="65">
        <f>F32/E32</f>
        <v>0</v>
      </c>
      <c r="F33" s="204"/>
      <c r="G33" s="137"/>
      <c r="H33" s="138"/>
      <c r="I33" s="138"/>
      <c r="J33" s="138"/>
      <c r="K33" s="138"/>
      <c r="L33" s="138"/>
      <c r="M33" s="138"/>
      <c r="N33" s="13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25" customHeight="1" x14ac:dyDescent="0.25">
      <c r="A34" s="66" t="s">
        <v>146</v>
      </c>
      <c r="B34" s="212" t="s">
        <v>148</v>
      </c>
      <c r="C34" s="151"/>
      <c r="D34" s="151"/>
      <c r="E34" s="195"/>
      <c r="F34" s="68"/>
      <c r="G34" s="150"/>
      <c r="H34" s="151"/>
      <c r="I34" s="151"/>
      <c r="J34" s="151"/>
      <c r="K34" s="151"/>
      <c r="L34" s="151"/>
      <c r="M34" s="151"/>
      <c r="N34" s="15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25" customHeight="1" x14ac:dyDescent="0.25">
      <c r="A35" s="66" t="s">
        <v>154</v>
      </c>
      <c r="B35" s="213" t="s">
        <v>155</v>
      </c>
      <c r="C35" s="132"/>
      <c r="D35" s="132"/>
      <c r="E35" s="159"/>
      <c r="F35" s="70"/>
      <c r="G35" s="131"/>
      <c r="H35" s="132"/>
      <c r="I35" s="132"/>
      <c r="J35" s="132"/>
      <c r="K35" s="132"/>
      <c r="L35" s="132"/>
      <c r="M35" s="132"/>
      <c r="N35" s="13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5" customHeight="1" x14ac:dyDescent="0.25">
      <c r="A36" s="66" t="s">
        <v>160</v>
      </c>
      <c r="B36" s="213" t="s">
        <v>161</v>
      </c>
      <c r="C36" s="132"/>
      <c r="D36" s="132"/>
      <c r="E36" s="159"/>
      <c r="F36" s="70"/>
      <c r="G36" s="131"/>
      <c r="H36" s="132"/>
      <c r="I36" s="132"/>
      <c r="J36" s="132"/>
      <c r="K36" s="132"/>
      <c r="L36" s="132"/>
      <c r="M36" s="132"/>
      <c r="N36" s="13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25" customHeight="1" x14ac:dyDescent="0.25">
      <c r="A37" s="66" t="s">
        <v>165</v>
      </c>
      <c r="B37" s="213" t="s">
        <v>166</v>
      </c>
      <c r="C37" s="132"/>
      <c r="D37" s="132"/>
      <c r="E37" s="159"/>
      <c r="F37" s="70"/>
      <c r="G37" s="131"/>
      <c r="H37" s="132"/>
      <c r="I37" s="132"/>
      <c r="J37" s="132"/>
      <c r="K37" s="132"/>
      <c r="L37" s="132"/>
      <c r="M37" s="132"/>
      <c r="N37" s="13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25" customHeight="1" x14ac:dyDescent="0.25">
      <c r="A38" s="66" t="s">
        <v>170</v>
      </c>
      <c r="B38" s="213" t="s">
        <v>172</v>
      </c>
      <c r="C38" s="132"/>
      <c r="D38" s="132"/>
      <c r="E38" s="159"/>
      <c r="F38" s="70"/>
      <c r="G38" s="131"/>
      <c r="H38" s="132"/>
      <c r="I38" s="132"/>
      <c r="J38" s="132"/>
      <c r="K38" s="132"/>
      <c r="L38" s="132"/>
      <c r="M38" s="132"/>
      <c r="N38" s="13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25" customHeight="1" x14ac:dyDescent="0.25">
      <c r="A39" s="66" t="s">
        <v>177</v>
      </c>
      <c r="B39" s="214" t="s">
        <v>179</v>
      </c>
      <c r="C39" s="132"/>
      <c r="D39" s="132"/>
      <c r="E39" s="159"/>
      <c r="F39" s="70"/>
      <c r="G39" s="131"/>
      <c r="H39" s="132"/>
      <c r="I39" s="132"/>
      <c r="J39" s="132"/>
      <c r="K39" s="132"/>
      <c r="L39" s="132"/>
      <c r="M39" s="132"/>
      <c r="N39" s="13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25" customHeight="1" x14ac:dyDescent="0.25">
      <c r="A40" s="66" t="s">
        <v>183</v>
      </c>
      <c r="B40" s="213" t="s">
        <v>184</v>
      </c>
      <c r="C40" s="132"/>
      <c r="D40" s="132"/>
      <c r="E40" s="159"/>
      <c r="F40" s="70"/>
      <c r="G40" s="131"/>
      <c r="H40" s="132"/>
      <c r="I40" s="132"/>
      <c r="J40" s="132"/>
      <c r="K40" s="132"/>
      <c r="L40" s="132"/>
      <c r="M40" s="132"/>
      <c r="N40" s="13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25" customHeight="1" x14ac:dyDescent="0.25">
      <c r="A41" s="66" t="s">
        <v>188</v>
      </c>
      <c r="B41" s="213" t="s">
        <v>189</v>
      </c>
      <c r="C41" s="132"/>
      <c r="D41" s="132"/>
      <c r="E41" s="159"/>
      <c r="F41" s="70"/>
      <c r="G41" s="131"/>
      <c r="H41" s="132"/>
      <c r="I41" s="132"/>
      <c r="J41" s="132"/>
      <c r="K41" s="132"/>
      <c r="L41" s="132"/>
      <c r="M41" s="132"/>
      <c r="N41" s="13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25">
      <c r="A42" s="66" t="s">
        <v>191</v>
      </c>
      <c r="B42" s="213" t="s">
        <v>192</v>
      </c>
      <c r="C42" s="132"/>
      <c r="D42" s="132"/>
      <c r="E42" s="159"/>
      <c r="F42" s="70"/>
      <c r="G42" s="131"/>
      <c r="H42" s="132"/>
      <c r="I42" s="132"/>
      <c r="J42" s="132"/>
      <c r="K42" s="132"/>
      <c r="L42" s="132"/>
      <c r="M42" s="132"/>
      <c r="N42" s="13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5">
      <c r="A43" s="66" t="s">
        <v>199</v>
      </c>
      <c r="B43" s="213" t="s">
        <v>201</v>
      </c>
      <c r="C43" s="132"/>
      <c r="D43" s="132"/>
      <c r="E43" s="159"/>
      <c r="F43" s="70"/>
      <c r="G43" s="131"/>
      <c r="H43" s="132"/>
      <c r="I43" s="132"/>
      <c r="J43" s="132"/>
      <c r="K43" s="132"/>
      <c r="L43" s="132"/>
      <c r="M43" s="132"/>
      <c r="N43" s="13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5">
      <c r="A44" s="66" t="s">
        <v>209</v>
      </c>
      <c r="B44" s="213" t="s">
        <v>210</v>
      </c>
      <c r="C44" s="132"/>
      <c r="D44" s="132"/>
      <c r="E44" s="159"/>
      <c r="F44" s="70"/>
      <c r="G44" s="131"/>
      <c r="H44" s="132"/>
      <c r="I44" s="132"/>
      <c r="J44" s="132"/>
      <c r="K44" s="132"/>
      <c r="L44" s="132"/>
      <c r="M44" s="132"/>
      <c r="N44" s="1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5">
      <c r="A45" s="66" t="s">
        <v>213</v>
      </c>
      <c r="B45" s="213" t="s">
        <v>214</v>
      </c>
      <c r="C45" s="132"/>
      <c r="D45" s="132"/>
      <c r="E45" s="159"/>
      <c r="F45" s="80"/>
      <c r="G45" s="140"/>
      <c r="H45" s="141"/>
      <c r="I45" s="141"/>
      <c r="J45" s="141"/>
      <c r="K45" s="141"/>
      <c r="L45" s="141"/>
      <c r="M45" s="141"/>
      <c r="N45" s="14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 x14ac:dyDescent="0.25">
      <c r="A46" s="199" t="s">
        <v>219</v>
      </c>
      <c r="B46" s="135"/>
      <c r="C46" s="200"/>
      <c r="D46" s="60" t="s">
        <v>127</v>
      </c>
      <c r="E46" s="61">
        <f>((COUNTIF(F49:F65,"&lt;&gt;"&amp;$A$27)*3))</f>
        <v>51</v>
      </c>
      <c r="F46" s="203">
        <f>SUM(F49:F65)</f>
        <v>0</v>
      </c>
      <c r="G46" s="134" t="s">
        <v>136</v>
      </c>
      <c r="H46" s="135"/>
      <c r="I46" s="135"/>
      <c r="J46" s="135"/>
      <c r="K46" s="135"/>
      <c r="L46" s="135"/>
      <c r="M46" s="135"/>
      <c r="N46" s="13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 x14ac:dyDescent="0.25">
      <c r="A47" s="174"/>
      <c r="B47" s="138"/>
      <c r="C47" s="201"/>
      <c r="D47" s="64" t="s">
        <v>140</v>
      </c>
      <c r="E47" s="65">
        <f>F46/E46</f>
        <v>0</v>
      </c>
      <c r="F47" s="204"/>
      <c r="G47" s="137"/>
      <c r="H47" s="138"/>
      <c r="I47" s="138"/>
      <c r="J47" s="138"/>
      <c r="K47" s="138"/>
      <c r="L47" s="138"/>
      <c r="M47" s="138"/>
      <c r="N47" s="13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 x14ac:dyDescent="0.25">
      <c r="A48" s="215" t="s">
        <v>230</v>
      </c>
      <c r="B48" s="144"/>
      <c r="C48" s="144"/>
      <c r="D48" s="144"/>
      <c r="E48" s="216"/>
      <c r="F48" s="86">
        <f>SUM(F49:F65)</f>
        <v>0</v>
      </c>
      <c r="G48" s="143"/>
      <c r="H48" s="144"/>
      <c r="I48" s="144"/>
      <c r="J48" s="144"/>
      <c r="K48" s="144"/>
      <c r="L48" s="144"/>
      <c r="M48" s="144"/>
      <c r="N48" s="14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9" customHeight="1" x14ac:dyDescent="0.25">
      <c r="A49" s="66" t="s">
        <v>236</v>
      </c>
      <c r="B49" s="212" t="s">
        <v>237</v>
      </c>
      <c r="C49" s="151"/>
      <c r="D49" s="151"/>
      <c r="E49" s="195"/>
      <c r="F49" s="70"/>
      <c r="G49" s="131"/>
      <c r="H49" s="132"/>
      <c r="I49" s="132"/>
      <c r="J49" s="132"/>
      <c r="K49" s="132"/>
      <c r="L49" s="132"/>
      <c r="M49" s="132"/>
      <c r="N49" s="13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3.25" customHeight="1" x14ac:dyDescent="0.25">
      <c r="A50" s="66" t="s">
        <v>240</v>
      </c>
      <c r="B50" s="212" t="s">
        <v>241</v>
      </c>
      <c r="C50" s="151"/>
      <c r="D50" s="151"/>
      <c r="E50" s="195"/>
      <c r="F50" s="70"/>
      <c r="G50" s="131"/>
      <c r="H50" s="132"/>
      <c r="I50" s="132"/>
      <c r="J50" s="132"/>
      <c r="K50" s="132"/>
      <c r="L50" s="132"/>
      <c r="M50" s="132"/>
      <c r="N50" s="13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3.5" customHeight="1" x14ac:dyDescent="0.25">
      <c r="A51" s="66" t="s">
        <v>244</v>
      </c>
      <c r="B51" s="212" t="s">
        <v>245</v>
      </c>
      <c r="C51" s="151"/>
      <c r="D51" s="151"/>
      <c r="E51" s="195"/>
      <c r="F51" s="70"/>
      <c r="G51" s="131"/>
      <c r="H51" s="132"/>
      <c r="I51" s="132"/>
      <c r="J51" s="132"/>
      <c r="K51" s="132"/>
      <c r="L51" s="132"/>
      <c r="M51" s="132"/>
      <c r="N51" s="13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customHeight="1" x14ac:dyDescent="0.25">
      <c r="A52" s="66" t="s">
        <v>247</v>
      </c>
      <c r="B52" s="212" t="s">
        <v>249</v>
      </c>
      <c r="C52" s="151"/>
      <c r="D52" s="151"/>
      <c r="E52" s="195"/>
      <c r="F52" s="70"/>
      <c r="G52" s="131"/>
      <c r="H52" s="132"/>
      <c r="I52" s="132"/>
      <c r="J52" s="132"/>
      <c r="K52" s="132"/>
      <c r="L52" s="132"/>
      <c r="M52" s="132"/>
      <c r="N52" s="13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9" customHeight="1" x14ac:dyDescent="0.25">
      <c r="A53" s="66" t="s">
        <v>252</v>
      </c>
      <c r="B53" s="212" t="s">
        <v>253</v>
      </c>
      <c r="C53" s="151"/>
      <c r="D53" s="151"/>
      <c r="E53" s="195"/>
      <c r="F53" s="70"/>
      <c r="G53" s="131"/>
      <c r="H53" s="132"/>
      <c r="I53" s="132"/>
      <c r="J53" s="132"/>
      <c r="K53" s="132"/>
      <c r="L53" s="132"/>
      <c r="M53" s="132"/>
      <c r="N53" s="13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53.25" customHeight="1" x14ac:dyDescent="0.25">
      <c r="A54" s="66" t="s">
        <v>256</v>
      </c>
      <c r="B54" s="212" t="s">
        <v>257</v>
      </c>
      <c r="C54" s="151"/>
      <c r="D54" s="151"/>
      <c r="E54" s="195"/>
      <c r="F54" s="70"/>
      <c r="G54" s="131"/>
      <c r="H54" s="132"/>
      <c r="I54" s="132"/>
      <c r="J54" s="132"/>
      <c r="K54" s="132"/>
      <c r="L54" s="132"/>
      <c r="M54" s="132"/>
      <c r="N54" s="13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.25" customHeight="1" x14ac:dyDescent="0.25">
      <c r="A55" s="66" t="s">
        <v>261</v>
      </c>
      <c r="B55" s="213" t="s">
        <v>262</v>
      </c>
      <c r="C55" s="132"/>
      <c r="D55" s="132"/>
      <c r="E55" s="159"/>
      <c r="F55" s="70"/>
      <c r="G55" s="131"/>
      <c r="H55" s="132"/>
      <c r="I55" s="132"/>
      <c r="J55" s="132"/>
      <c r="K55" s="132"/>
      <c r="L55" s="132"/>
      <c r="M55" s="132"/>
      <c r="N55" s="13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6.25" customHeight="1" x14ac:dyDescent="0.25">
      <c r="A56" s="66" t="s">
        <v>266</v>
      </c>
      <c r="B56" s="212" t="s">
        <v>267</v>
      </c>
      <c r="C56" s="151"/>
      <c r="D56" s="151"/>
      <c r="E56" s="195"/>
      <c r="F56" s="70"/>
      <c r="G56" s="131"/>
      <c r="H56" s="132"/>
      <c r="I56" s="132"/>
      <c r="J56" s="132"/>
      <c r="K56" s="132"/>
      <c r="L56" s="132"/>
      <c r="M56" s="132"/>
      <c r="N56" s="13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6.25" customHeight="1" x14ac:dyDescent="0.25">
      <c r="A57" s="66" t="s">
        <v>271</v>
      </c>
      <c r="B57" s="212" t="s">
        <v>272</v>
      </c>
      <c r="C57" s="151"/>
      <c r="D57" s="151"/>
      <c r="E57" s="195"/>
      <c r="F57" s="70"/>
      <c r="G57" s="131"/>
      <c r="H57" s="132"/>
      <c r="I57" s="132"/>
      <c r="J57" s="132"/>
      <c r="K57" s="132"/>
      <c r="L57" s="132"/>
      <c r="M57" s="132"/>
      <c r="N57" s="1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6.25" customHeight="1" x14ac:dyDescent="0.25">
      <c r="A58" s="66" t="s">
        <v>275</v>
      </c>
      <c r="B58" s="212" t="s">
        <v>276</v>
      </c>
      <c r="C58" s="151"/>
      <c r="D58" s="151"/>
      <c r="E58" s="195"/>
      <c r="F58" s="70"/>
      <c r="G58" s="131"/>
      <c r="H58" s="132"/>
      <c r="I58" s="132"/>
      <c r="J58" s="132"/>
      <c r="K58" s="132"/>
      <c r="L58" s="132"/>
      <c r="M58" s="132"/>
      <c r="N58" s="13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6.25" customHeight="1" x14ac:dyDescent="0.25">
      <c r="A59" s="66" t="s">
        <v>279</v>
      </c>
      <c r="B59" s="212" t="s">
        <v>281</v>
      </c>
      <c r="C59" s="151"/>
      <c r="D59" s="151"/>
      <c r="E59" s="195"/>
      <c r="F59" s="70"/>
      <c r="G59" s="131"/>
      <c r="H59" s="132"/>
      <c r="I59" s="132"/>
      <c r="J59" s="132"/>
      <c r="K59" s="132"/>
      <c r="L59" s="132"/>
      <c r="M59" s="132"/>
      <c r="N59" s="13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6.25" customHeight="1" x14ac:dyDescent="0.25">
      <c r="A60" s="66" t="s">
        <v>284</v>
      </c>
      <c r="B60" s="212" t="s">
        <v>285</v>
      </c>
      <c r="C60" s="151"/>
      <c r="D60" s="151"/>
      <c r="E60" s="195"/>
      <c r="F60" s="70"/>
      <c r="G60" s="131"/>
      <c r="H60" s="132"/>
      <c r="I60" s="132"/>
      <c r="J60" s="132"/>
      <c r="K60" s="132"/>
      <c r="L60" s="132"/>
      <c r="M60" s="132"/>
      <c r="N60" s="13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6.25" customHeight="1" x14ac:dyDescent="0.25">
      <c r="A61" s="66" t="s">
        <v>288</v>
      </c>
      <c r="B61" s="212" t="s">
        <v>289</v>
      </c>
      <c r="C61" s="151"/>
      <c r="D61" s="151"/>
      <c r="E61" s="195"/>
      <c r="F61" s="70"/>
      <c r="G61" s="131"/>
      <c r="H61" s="132"/>
      <c r="I61" s="132"/>
      <c r="J61" s="132"/>
      <c r="K61" s="132"/>
      <c r="L61" s="132"/>
      <c r="M61" s="132"/>
      <c r="N61" s="13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6.25" customHeight="1" x14ac:dyDescent="0.25">
      <c r="A62" s="66" t="s">
        <v>292</v>
      </c>
      <c r="B62" s="212" t="s">
        <v>293</v>
      </c>
      <c r="C62" s="151"/>
      <c r="D62" s="151"/>
      <c r="E62" s="195"/>
      <c r="F62" s="70"/>
      <c r="G62" s="131"/>
      <c r="H62" s="132"/>
      <c r="I62" s="132"/>
      <c r="J62" s="132"/>
      <c r="K62" s="132"/>
      <c r="L62" s="132"/>
      <c r="M62" s="132"/>
      <c r="N62" s="13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6.25" customHeight="1" x14ac:dyDescent="0.25">
      <c r="A63" s="66" t="s">
        <v>298</v>
      </c>
      <c r="B63" s="212" t="s">
        <v>299</v>
      </c>
      <c r="C63" s="151"/>
      <c r="D63" s="151"/>
      <c r="E63" s="195"/>
      <c r="F63" s="70"/>
      <c r="G63" s="131"/>
      <c r="H63" s="132"/>
      <c r="I63" s="132"/>
      <c r="J63" s="132"/>
      <c r="K63" s="132"/>
      <c r="L63" s="132"/>
      <c r="M63" s="132"/>
      <c r="N63" s="159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6.25" customHeight="1" x14ac:dyDescent="0.25">
      <c r="A64" s="66" t="s">
        <v>305</v>
      </c>
      <c r="B64" s="212" t="s">
        <v>306</v>
      </c>
      <c r="C64" s="151"/>
      <c r="D64" s="151"/>
      <c r="E64" s="195"/>
      <c r="F64" s="70"/>
      <c r="G64" s="131"/>
      <c r="H64" s="132"/>
      <c r="I64" s="132"/>
      <c r="J64" s="132"/>
      <c r="K64" s="132"/>
      <c r="L64" s="132"/>
      <c r="M64" s="132"/>
      <c r="N64" s="159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6.25" customHeight="1" x14ac:dyDescent="0.25">
      <c r="A65" s="66" t="s">
        <v>310</v>
      </c>
      <c r="B65" s="212" t="s">
        <v>311</v>
      </c>
      <c r="C65" s="151"/>
      <c r="D65" s="151"/>
      <c r="E65" s="195"/>
      <c r="F65" s="89"/>
      <c r="G65" s="131"/>
      <c r="H65" s="132"/>
      <c r="I65" s="132"/>
      <c r="J65" s="132"/>
      <c r="K65" s="132"/>
      <c r="L65" s="132"/>
      <c r="M65" s="132"/>
      <c r="N65" s="159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 x14ac:dyDescent="0.25">
      <c r="A66" s="199" t="s">
        <v>315</v>
      </c>
      <c r="B66" s="135"/>
      <c r="C66" s="200"/>
      <c r="D66" s="60" t="s">
        <v>127</v>
      </c>
      <c r="E66" s="61">
        <f>(COUNTIF(F68:F74,"&lt;&gt;"&amp;$A$27))*3</f>
        <v>21</v>
      </c>
      <c r="F66" s="217">
        <f>SUM(F68:F74)</f>
        <v>0</v>
      </c>
      <c r="G66" s="218" t="s">
        <v>136</v>
      </c>
      <c r="H66" s="219"/>
      <c r="I66" s="219"/>
      <c r="J66" s="219"/>
      <c r="K66" s="219"/>
      <c r="L66" s="219"/>
      <c r="M66" s="219"/>
      <c r="N66" s="220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 x14ac:dyDescent="0.25">
      <c r="A67" s="174"/>
      <c r="B67" s="138"/>
      <c r="C67" s="201"/>
      <c r="D67" s="64" t="s">
        <v>140</v>
      </c>
      <c r="E67" s="65">
        <f>F66/E66</f>
        <v>0</v>
      </c>
      <c r="F67" s="204"/>
      <c r="G67" s="137"/>
      <c r="H67" s="138"/>
      <c r="I67" s="138"/>
      <c r="J67" s="138"/>
      <c r="K67" s="138"/>
      <c r="L67" s="138"/>
      <c r="M67" s="138"/>
      <c r="N67" s="139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0" customHeight="1" x14ac:dyDescent="0.25">
      <c r="A68" s="92" t="s">
        <v>326</v>
      </c>
      <c r="B68" s="212" t="s">
        <v>327</v>
      </c>
      <c r="C68" s="151"/>
      <c r="D68" s="151"/>
      <c r="E68" s="195"/>
      <c r="F68" s="68"/>
      <c r="G68" s="150"/>
      <c r="H68" s="151"/>
      <c r="I68" s="151"/>
      <c r="J68" s="151"/>
      <c r="K68" s="151"/>
      <c r="L68" s="151"/>
      <c r="M68" s="151"/>
      <c r="N68" s="15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0" customHeight="1" x14ac:dyDescent="0.25">
      <c r="A69" s="66" t="s">
        <v>330</v>
      </c>
      <c r="B69" s="212" t="s">
        <v>331</v>
      </c>
      <c r="C69" s="151"/>
      <c r="D69" s="151"/>
      <c r="E69" s="195"/>
      <c r="F69" s="70"/>
      <c r="G69" s="131"/>
      <c r="H69" s="132"/>
      <c r="I69" s="132"/>
      <c r="J69" s="132"/>
      <c r="K69" s="132"/>
      <c r="L69" s="132"/>
      <c r="M69" s="132"/>
      <c r="N69" s="13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7.5" customHeight="1" x14ac:dyDescent="0.25">
      <c r="A70" s="92" t="s">
        <v>333</v>
      </c>
      <c r="B70" s="212" t="s">
        <v>334</v>
      </c>
      <c r="C70" s="151"/>
      <c r="D70" s="151"/>
      <c r="E70" s="195"/>
      <c r="F70" s="70"/>
      <c r="G70" s="131"/>
      <c r="H70" s="132"/>
      <c r="I70" s="132"/>
      <c r="J70" s="132"/>
      <c r="K70" s="132"/>
      <c r="L70" s="132"/>
      <c r="M70" s="132"/>
      <c r="N70" s="13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0" customHeight="1" x14ac:dyDescent="0.25">
      <c r="A71" s="66" t="s">
        <v>338</v>
      </c>
      <c r="B71" s="212" t="s">
        <v>339</v>
      </c>
      <c r="C71" s="151"/>
      <c r="D71" s="151"/>
      <c r="E71" s="195"/>
      <c r="F71" s="70"/>
      <c r="G71" s="131"/>
      <c r="H71" s="132"/>
      <c r="I71" s="132"/>
      <c r="J71" s="132"/>
      <c r="K71" s="132"/>
      <c r="L71" s="132"/>
      <c r="M71" s="132"/>
      <c r="N71" s="13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0" customHeight="1" x14ac:dyDescent="0.25">
      <c r="A72" s="92" t="s">
        <v>341</v>
      </c>
      <c r="B72" s="212" t="s">
        <v>342</v>
      </c>
      <c r="C72" s="151"/>
      <c r="D72" s="151"/>
      <c r="E72" s="195"/>
      <c r="F72" s="70"/>
      <c r="G72" s="131"/>
      <c r="H72" s="132"/>
      <c r="I72" s="132"/>
      <c r="J72" s="132"/>
      <c r="K72" s="132"/>
      <c r="L72" s="132"/>
      <c r="M72" s="132"/>
      <c r="N72" s="13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9.75" customHeight="1" x14ac:dyDescent="0.25">
      <c r="A73" s="66" t="s">
        <v>345</v>
      </c>
      <c r="B73" s="212" t="s">
        <v>346</v>
      </c>
      <c r="C73" s="151"/>
      <c r="D73" s="151"/>
      <c r="E73" s="195"/>
      <c r="F73" s="70"/>
      <c r="G73" s="131"/>
      <c r="H73" s="132"/>
      <c r="I73" s="132"/>
      <c r="J73" s="132"/>
      <c r="K73" s="132"/>
      <c r="L73" s="132"/>
      <c r="M73" s="132"/>
      <c r="N73" s="13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42" customHeight="1" x14ac:dyDescent="0.25">
      <c r="A74" s="92" t="s">
        <v>350</v>
      </c>
      <c r="B74" s="212" t="s">
        <v>351</v>
      </c>
      <c r="C74" s="151"/>
      <c r="D74" s="151"/>
      <c r="E74" s="195"/>
      <c r="F74" s="80"/>
      <c r="G74" s="140"/>
      <c r="H74" s="141"/>
      <c r="I74" s="141"/>
      <c r="J74" s="141"/>
      <c r="K74" s="141"/>
      <c r="L74" s="141"/>
      <c r="M74" s="141"/>
      <c r="N74" s="14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customHeight="1" x14ac:dyDescent="0.25">
      <c r="A75" s="199" t="s">
        <v>355</v>
      </c>
      <c r="B75" s="135"/>
      <c r="C75" s="200"/>
      <c r="D75" s="60" t="s">
        <v>127</v>
      </c>
      <c r="E75" s="61">
        <f>COUNTIF(F77:F87,"&lt;&gt;"&amp;$A$27)*3</f>
        <v>33</v>
      </c>
      <c r="F75" s="203">
        <f>SUM(F77:F87)</f>
        <v>0</v>
      </c>
      <c r="G75" s="134" t="s">
        <v>136</v>
      </c>
      <c r="H75" s="135"/>
      <c r="I75" s="135"/>
      <c r="J75" s="135"/>
      <c r="K75" s="135"/>
      <c r="L75" s="135"/>
      <c r="M75" s="135"/>
      <c r="N75" s="13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customHeight="1" x14ac:dyDescent="0.25">
      <c r="A76" s="174"/>
      <c r="B76" s="138"/>
      <c r="C76" s="201"/>
      <c r="D76" s="64" t="s">
        <v>140</v>
      </c>
      <c r="E76" s="65">
        <f>F75/E75</f>
        <v>0</v>
      </c>
      <c r="F76" s="204"/>
      <c r="G76" s="137"/>
      <c r="H76" s="138"/>
      <c r="I76" s="138"/>
      <c r="J76" s="138"/>
      <c r="K76" s="138"/>
      <c r="L76" s="138"/>
      <c r="M76" s="138"/>
      <c r="N76" s="139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6.25" customHeight="1" x14ac:dyDescent="0.25">
      <c r="A77" s="95" t="s">
        <v>365</v>
      </c>
      <c r="B77" s="212" t="s">
        <v>367</v>
      </c>
      <c r="C77" s="151"/>
      <c r="D77" s="151"/>
      <c r="E77" s="195"/>
      <c r="F77" s="96"/>
      <c r="G77" s="221"/>
      <c r="H77" s="135"/>
      <c r="I77" s="135"/>
      <c r="J77" s="135"/>
      <c r="K77" s="135"/>
      <c r="L77" s="135"/>
      <c r="M77" s="135"/>
      <c r="N77" s="13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6.25" customHeight="1" x14ac:dyDescent="0.25">
      <c r="A78" s="66" t="s">
        <v>369</v>
      </c>
      <c r="B78" s="212" t="s">
        <v>370</v>
      </c>
      <c r="C78" s="151"/>
      <c r="D78" s="151"/>
      <c r="E78" s="195"/>
      <c r="F78" s="70"/>
      <c r="G78" s="131"/>
      <c r="H78" s="132"/>
      <c r="I78" s="132"/>
      <c r="J78" s="132"/>
      <c r="K78" s="132"/>
      <c r="L78" s="132"/>
      <c r="M78" s="132"/>
      <c r="N78" s="13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6.25" customHeight="1" x14ac:dyDescent="0.25">
      <c r="A79" s="66" t="s">
        <v>373</v>
      </c>
      <c r="B79" s="213" t="s">
        <v>375</v>
      </c>
      <c r="C79" s="132"/>
      <c r="D79" s="132"/>
      <c r="E79" s="159"/>
      <c r="F79" s="70"/>
      <c r="G79" s="131"/>
      <c r="H79" s="132"/>
      <c r="I79" s="132"/>
      <c r="J79" s="132"/>
      <c r="K79" s="132"/>
      <c r="L79" s="132"/>
      <c r="M79" s="132"/>
      <c r="N79" s="13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6.25" customHeight="1" x14ac:dyDescent="0.25">
      <c r="A80" s="66" t="s">
        <v>377</v>
      </c>
      <c r="B80" s="212" t="s">
        <v>378</v>
      </c>
      <c r="C80" s="151"/>
      <c r="D80" s="151"/>
      <c r="E80" s="195"/>
      <c r="F80" s="70"/>
      <c r="G80" s="131"/>
      <c r="H80" s="132"/>
      <c r="I80" s="132"/>
      <c r="J80" s="132"/>
      <c r="K80" s="132"/>
      <c r="L80" s="132"/>
      <c r="M80" s="132"/>
      <c r="N80" s="13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6.25" customHeight="1" x14ac:dyDescent="0.25">
      <c r="A81" s="66" t="s">
        <v>381</v>
      </c>
      <c r="B81" s="212" t="s">
        <v>382</v>
      </c>
      <c r="C81" s="151"/>
      <c r="D81" s="151"/>
      <c r="E81" s="195"/>
      <c r="F81" s="70"/>
      <c r="G81" s="131"/>
      <c r="H81" s="132"/>
      <c r="I81" s="132"/>
      <c r="J81" s="132"/>
      <c r="K81" s="132"/>
      <c r="L81" s="132"/>
      <c r="M81" s="132"/>
      <c r="N81" s="13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6.25" customHeight="1" x14ac:dyDescent="0.25">
      <c r="A82" s="66" t="s">
        <v>383</v>
      </c>
      <c r="B82" s="212" t="s">
        <v>384</v>
      </c>
      <c r="C82" s="151"/>
      <c r="D82" s="151"/>
      <c r="E82" s="195"/>
      <c r="F82" s="70"/>
      <c r="G82" s="131"/>
      <c r="H82" s="132"/>
      <c r="I82" s="132"/>
      <c r="J82" s="132"/>
      <c r="K82" s="132"/>
      <c r="L82" s="132"/>
      <c r="M82" s="132"/>
      <c r="N82" s="13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40.5" customHeight="1" x14ac:dyDescent="0.25">
      <c r="A83" s="66" t="s">
        <v>386</v>
      </c>
      <c r="B83" s="212" t="s">
        <v>387</v>
      </c>
      <c r="C83" s="151"/>
      <c r="D83" s="151"/>
      <c r="E83" s="195"/>
      <c r="F83" s="70"/>
      <c r="G83" s="131"/>
      <c r="H83" s="132"/>
      <c r="I83" s="132"/>
      <c r="J83" s="132"/>
      <c r="K83" s="132"/>
      <c r="L83" s="132"/>
      <c r="M83" s="132"/>
      <c r="N83" s="13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6.25" customHeight="1" x14ac:dyDescent="0.25">
      <c r="A84" s="66" t="s">
        <v>389</v>
      </c>
      <c r="B84" s="212" t="s">
        <v>390</v>
      </c>
      <c r="C84" s="151"/>
      <c r="D84" s="151"/>
      <c r="E84" s="195"/>
      <c r="F84" s="70"/>
      <c r="G84" s="131"/>
      <c r="H84" s="132"/>
      <c r="I84" s="132"/>
      <c r="J84" s="132"/>
      <c r="K84" s="132"/>
      <c r="L84" s="132"/>
      <c r="M84" s="132"/>
      <c r="N84" s="13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6.25" customHeight="1" x14ac:dyDescent="0.25">
      <c r="A85" s="66" t="s">
        <v>394</v>
      </c>
      <c r="B85" s="212" t="s">
        <v>395</v>
      </c>
      <c r="C85" s="151"/>
      <c r="D85" s="151"/>
      <c r="E85" s="195"/>
      <c r="F85" s="70"/>
      <c r="G85" s="131"/>
      <c r="H85" s="132"/>
      <c r="I85" s="132"/>
      <c r="J85" s="132"/>
      <c r="K85" s="132"/>
      <c r="L85" s="132"/>
      <c r="M85" s="132"/>
      <c r="N85" s="13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6.25" customHeight="1" x14ac:dyDescent="0.25">
      <c r="A86" s="99" t="s">
        <v>398</v>
      </c>
      <c r="B86" s="212" t="s">
        <v>400</v>
      </c>
      <c r="C86" s="151"/>
      <c r="D86" s="151"/>
      <c r="E86" s="195"/>
      <c r="F86" s="70"/>
      <c r="G86" s="131"/>
      <c r="H86" s="132"/>
      <c r="I86" s="132"/>
      <c r="J86" s="132"/>
      <c r="K86" s="132"/>
      <c r="L86" s="132"/>
      <c r="M86" s="132"/>
      <c r="N86" s="13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6.25" customHeight="1" x14ac:dyDescent="0.25">
      <c r="A87" s="66" t="s">
        <v>402</v>
      </c>
      <c r="B87" s="212" t="s">
        <v>403</v>
      </c>
      <c r="C87" s="151"/>
      <c r="D87" s="151"/>
      <c r="E87" s="195"/>
      <c r="F87" s="80"/>
      <c r="G87" s="140"/>
      <c r="H87" s="141"/>
      <c r="I87" s="141"/>
      <c r="J87" s="141"/>
      <c r="K87" s="141"/>
      <c r="L87" s="141"/>
      <c r="M87" s="141"/>
      <c r="N87" s="14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customHeight="1" x14ac:dyDescent="0.25">
      <c r="A88" s="199" t="s">
        <v>405</v>
      </c>
      <c r="B88" s="135"/>
      <c r="C88" s="200"/>
      <c r="D88" s="60" t="s">
        <v>127</v>
      </c>
      <c r="E88" s="61">
        <f>((COUNTIF(F91:F98,"&lt;&gt;"&amp;$A$27)*3)+(COUNTIF(F100:F102,"&lt;&gt;"&amp;$A$27)*3)+(COUNTIF(F104:F108,"&lt;&gt;"&amp;$A$27)*3)+(COUNTIF(F110:F133,"&lt;&gt;"&amp;$A$27)*3))</f>
        <v>120</v>
      </c>
      <c r="F88" s="203">
        <f>SUM(F90+F99+F103+F109)</f>
        <v>0</v>
      </c>
      <c r="G88" s="134" t="s">
        <v>136</v>
      </c>
      <c r="H88" s="135"/>
      <c r="I88" s="135"/>
      <c r="J88" s="135"/>
      <c r="K88" s="135"/>
      <c r="L88" s="135"/>
      <c r="M88" s="135"/>
      <c r="N88" s="13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customHeight="1" x14ac:dyDescent="0.25">
      <c r="A89" s="174"/>
      <c r="B89" s="138"/>
      <c r="C89" s="201"/>
      <c r="D89" s="64" t="s">
        <v>140</v>
      </c>
      <c r="E89" s="65">
        <f>F88/E88</f>
        <v>0</v>
      </c>
      <c r="F89" s="204"/>
      <c r="G89" s="137"/>
      <c r="H89" s="138"/>
      <c r="I89" s="138"/>
      <c r="J89" s="138"/>
      <c r="K89" s="138"/>
      <c r="L89" s="138"/>
      <c r="M89" s="138"/>
      <c r="N89" s="139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.75" customHeight="1" x14ac:dyDescent="0.25">
      <c r="A90" s="222" t="s">
        <v>421</v>
      </c>
      <c r="B90" s="144"/>
      <c r="C90" s="144"/>
      <c r="D90" s="144"/>
      <c r="E90" s="216"/>
      <c r="F90" s="86">
        <f>SUM(F91:F98)</f>
        <v>0</v>
      </c>
      <c r="G90" s="143"/>
      <c r="H90" s="144"/>
      <c r="I90" s="144"/>
      <c r="J90" s="144"/>
      <c r="K90" s="144"/>
      <c r="L90" s="144"/>
      <c r="M90" s="144"/>
      <c r="N90" s="14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6.25" customHeight="1" x14ac:dyDescent="0.25">
      <c r="A91" s="66" t="s">
        <v>429</v>
      </c>
      <c r="B91" s="223" t="s">
        <v>430</v>
      </c>
      <c r="C91" s="144"/>
      <c r="D91" s="144"/>
      <c r="E91" s="216"/>
      <c r="F91" s="70"/>
      <c r="G91" s="131"/>
      <c r="H91" s="132"/>
      <c r="I91" s="132"/>
      <c r="J91" s="132"/>
      <c r="K91" s="132"/>
      <c r="L91" s="132"/>
      <c r="M91" s="132"/>
      <c r="N91" s="13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6.25" customHeight="1" x14ac:dyDescent="0.25">
      <c r="A92" s="66" t="s">
        <v>434</v>
      </c>
      <c r="B92" s="223" t="s">
        <v>435</v>
      </c>
      <c r="C92" s="144"/>
      <c r="D92" s="144"/>
      <c r="E92" s="216"/>
      <c r="F92" s="70"/>
      <c r="G92" s="131"/>
      <c r="H92" s="132"/>
      <c r="I92" s="132"/>
      <c r="J92" s="132"/>
      <c r="K92" s="132"/>
      <c r="L92" s="132"/>
      <c r="M92" s="132"/>
      <c r="N92" s="13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6.25" customHeight="1" x14ac:dyDescent="0.25">
      <c r="A93" s="66" t="s">
        <v>437</v>
      </c>
      <c r="B93" s="223" t="s">
        <v>438</v>
      </c>
      <c r="C93" s="144"/>
      <c r="D93" s="144"/>
      <c r="E93" s="216"/>
      <c r="F93" s="70"/>
      <c r="G93" s="131"/>
      <c r="H93" s="132"/>
      <c r="I93" s="132"/>
      <c r="J93" s="132"/>
      <c r="K93" s="132"/>
      <c r="L93" s="132"/>
      <c r="M93" s="132"/>
      <c r="N93" s="13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45" customHeight="1" x14ac:dyDescent="0.25">
      <c r="A94" s="66" t="s">
        <v>440</v>
      </c>
      <c r="B94" s="212" t="s">
        <v>441</v>
      </c>
      <c r="C94" s="151"/>
      <c r="D94" s="151"/>
      <c r="E94" s="195"/>
      <c r="F94" s="70"/>
      <c r="G94" s="131"/>
      <c r="H94" s="132"/>
      <c r="I94" s="132"/>
      <c r="J94" s="132"/>
      <c r="K94" s="132"/>
      <c r="L94" s="132"/>
      <c r="M94" s="132"/>
      <c r="N94" s="13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6.25" customHeight="1" x14ac:dyDescent="0.25">
      <c r="A95" s="66" t="s">
        <v>444</v>
      </c>
      <c r="B95" s="212" t="s">
        <v>445</v>
      </c>
      <c r="C95" s="151"/>
      <c r="D95" s="151"/>
      <c r="E95" s="195"/>
      <c r="F95" s="70"/>
      <c r="G95" s="131"/>
      <c r="H95" s="132"/>
      <c r="I95" s="132"/>
      <c r="J95" s="132"/>
      <c r="K95" s="132"/>
      <c r="L95" s="132"/>
      <c r="M95" s="132"/>
      <c r="N95" s="13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6.25" customHeight="1" x14ac:dyDescent="0.25">
      <c r="A96" s="66" t="s">
        <v>448</v>
      </c>
      <c r="B96" s="212" t="s">
        <v>449</v>
      </c>
      <c r="C96" s="151"/>
      <c r="D96" s="151"/>
      <c r="E96" s="195"/>
      <c r="F96" s="70"/>
      <c r="G96" s="131"/>
      <c r="H96" s="132"/>
      <c r="I96" s="132"/>
      <c r="J96" s="132"/>
      <c r="K96" s="132"/>
      <c r="L96" s="132"/>
      <c r="M96" s="132"/>
      <c r="N96" s="13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6.25" customHeight="1" x14ac:dyDescent="0.25">
      <c r="A97" s="66" t="s">
        <v>451</v>
      </c>
      <c r="B97" s="212" t="s">
        <v>452</v>
      </c>
      <c r="C97" s="151"/>
      <c r="D97" s="151"/>
      <c r="E97" s="195"/>
      <c r="F97" s="70"/>
      <c r="G97" s="131"/>
      <c r="H97" s="132"/>
      <c r="I97" s="132"/>
      <c r="J97" s="132"/>
      <c r="K97" s="132"/>
      <c r="L97" s="132"/>
      <c r="M97" s="132"/>
      <c r="N97" s="13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6.25" customHeight="1" x14ac:dyDescent="0.25">
      <c r="A98" s="66" t="s">
        <v>454</v>
      </c>
      <c r="B98" s="212" t="s">
        <v>455</v>
      </c>
      <c r="C98" s="151"/>
      <c r="D98" s="151"/>
      <c r="E98" s="195"/>
      <c r="F98" s="70"/>
      <c r="G98" s="131"/>
      <c r="H98" s="132"/>
      <c r="I98" s="132"/>
      <c r="J98" s="132"/>
      <c r="K98" s="132"/>
      <c r="L98" s="132"/>
      <c r="M98" s="132"/>
      <c r="N98" s="13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45" customHeight="1" x14ac:dyDescent="0.25">
      <c r="A99" s="222" t="s">
        <v>460</v>
      </c>
      <c r="B99" s="144"/>
      <c r="C99" s="144"/>
      <c r="D99" s="144"/>
      <c r="E99" s="216"/>
      <c r="F99" s="86">
        <f>SUM(F100:F102)</f>
        <v>0</v>
      </c>
      <c r="G99" s="143"/>
      <c r="H99" s="144"/>
      <c r="I99" s="144"/>
      <c r="J99" s="144"/>
      <c r="K99" s="144"/>
      <c r="L99" s="144"/>
      <c r="M99" s="144"/>
      <c r="N99" s="14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51" customHeight="1" x14ac:dyDescent="0.25">
      <c r="A100" s="101" t="s">
        <v>467</v>
      </c>
      <c r="B100" s="212" t="s">
        <v>468</v>
      </c>
      <c r="C100" s="151"/>
      <c r="D100" s="151"/>
      <c r="E100" s="195"/>
      <c r="F100" s="68"/>
      <c r="G100" s="131"/>
      <c r="H100" s="132"/>
      <c r="I100" s="132"/>
      <c r="J100" s="132"/>
      <c r="K100" s="132"/>
      <c r="L100" s="132"/>
      <c r="M100" s="132"/>
      <c r="N100" s="13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54.75" customHeight="1" x14ac:dyDescent="0.25">
      <c r="A101" s="102" t="s">
        <v>471</v>
      </c>
      <c r="B101" s="212" t="s">
        <v>472</v>
      </c>
      <c r="C101" s="151"/>
      <c r="D101" s="151"/>
      <c r="E101" s="195"/>
      <c r="F101" s="68"/>
      <c r="G101" s="131"/>
      <c r="H101" s="132"/>
      <c r="I101" s="132"/>
      <c r="J101" s="132"/>
      <c r="K101" s="132"/>
      <c r="L101" s="132"/>
      <c r="M101" s="132"/>
      <c r="N101" s="13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47.25" customHeight="1" x14ac:dyDescent="0.25">
      <c r="A102" s="102" t="s">
        <v>476</v>
      </c>
      <c r="B102" s="212" t="s">
        <v>477</v>
      </c>
      <c r="C102" s="151"/>
      <c r="D102" s="151"/>
      <c r="E102" s="195"/>
      <c r="F102" s="68"/>
      <c r="G102" s="131"/>
      <c r="H102" s="132"/>
      <c r="I102" s="132"/>
      <c r="J102" s="132"/>
      <c r="K102" s="132"/>
      <c r="L102" s="132"/>
      <c r="M102" s="132"/>
      <c r="N102" s="13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43.5" customHeight="1" x14ac:dyDescent="0.25">
      <c r="A103" s="224" t="s">
        <v>482</v>
      </c>
      <c r="B103" s="132"/>
      <c r="C103" s="132"/>
      <c r="D103" s="132"/>
      <c r="E103" s="159"/>
      <c r="F103" s="86">
        <f>SUM(F104:F108)</f>
        <v>0</v>
      </c>
      <c r="G103" s="146"/>
      <c r="H103" s="132"/>
      <c r="I103" s="132"/>
      <c r="J103" s="132"/>
      <c r="K103" s="132"/>
      <c r="L103" s="132"/>
      <c r="M103" s="132"/>
      <c r="N103" s="13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51.75" customHeight="1" x14ac:dyDescent="0.25">
      <c r="A104" s="101" t="s">
        <v>490</v>
      </c>
      <c r="B104" s="212" t="s">
        <v>491</v>
      </c>
      <c r="C104" s="151"/>
      <c r="D104" s="151"/>
      <c r="E104" s="195"/>
      <c r="F104" s="89"/>
      <c r="G104" s="131"/>
      <c r="H104" s="132"/>
      <c r="I104" s="132"/>
      <c r="J104" s="132"/>
      <c r="K104" s="132"/>
      <c r="L104" s="132"/>
      <c r="M104" s="132"/>
      <c r="N104" s="13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6.25" customHeight="1" x14ac:dyDescent="0.25">
      <c r="A105" s="101" t="s">
        <v>492</v>
      </c>
      <c r="B105" s="212" t="s">
        <v>493</v>
      </c>
      <c r="C105" s="151"/>
      <c r="D105" s="151"/>
      <c r="E105" s="195"/>
      <c r="F105" s="89"/>
      <c r="G105" s="131"/>
      <c r="H105" s="132"/>
      <c r="I105" s="132"/>
      <c r="J105" s="132"/>
      <c r="K105" s="132"/>
      <c r="L105" s="132"/>
      <c r="M105" s="132"/>
      <c r="N105" s="13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6.25" customHeight="1" x14ac:dyDescent="0.25">
      <c r="A106" s="101" t="s">
        <v>494</v>
      </c>
      <c r="B106" s="212" t="s">
        <v>495</v>
      </c>
      <c r="C106" s="151"/>
      <c r="D106" s="151"/>
      <c r="E106" s="195"/>
      <c r="F106" s="89"/>
      <c r="G106" s="131"/>
      <c r="H106" s="132"/>
      <c r="I106" s="132"/>
      <c r="J106" s="132"/>
      <c r="K106" s="132"/>
      <c r="L106" s="132"/>
      <c r="M106" s="132"/>
      <c r="N106" s="13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.75" customHeight="1" x14ac:dyDescent="0.25">
      <c r="A107" s="101" t="s">
        <v>498</v>
      </c>
      <c r="B107" s="223" t="s">
        <v>499</v>
      </c>
      <c r="C107" s="144"/>
      <c r="D107" s="144"/>
      <c r="E107" s="216"/>
      <c r="F107" s="89"/>
      <c r="G107" s="131"/>
      <c r="H107" s="132"/>
      <c r="I107" s="132"/>
      <c r="J107" s="132"/>
      <c r="K107" s="132"/>
      <c r="L107" s="132"/>
      <c r="M107" s="132"/>
      <c r="N107" s="13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6.25" customHeight="1" x14ac:dyDescent="0.25">
      <c r="A108" s="101" t="s">
        <v>503</v>
      </c>
      <c r="B108" s="212" t="s">
        <v>504</v>
      </c>
      <c r="C108" s="151"/>
      <c r="D108" s="151"/>
      <c r="E108" s="195"/>
      <c r="F108" s="89"/>
      <c r="G108" s="131"/>
      <c r="H108" s="132"/>
      <c r="I108" s="132"/>
      <c r="J108" s="132"/>
      <c r="K108" s="132"/>
      <c r="L108" s="132"/>
      <c r="M108" s="132"/>
      <c r="N108" s="13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6.25" customHeight="1" x14ac:dyDescent="0.25">
      <c r="A109" s="215" t="s">
        <v>506</v>
      </c>
      <c r="B109" s="144"/>
      <c r="C109" s="144"/>
      <c r="D109" s="144"/>
      <c r="E109" s="216"/>
      <c r="F109" s="86">
        <f>SUM(F110:F133)</f>
        <v>0</v>
      </c>
      <c r="G109" s="143"/>
      <c r="H109" s="144"/>
      <c r="I109" s="144"/>
      <c r="J109" s="144"/>
      <c r="K109" s="144"/>
      <c r="L109" s="144"/>
      <c r="M109" s="144"/>
      <c r="N109" s="14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6.25" customHeight="1" x14ac:dyDescent="0.25">
      <c r="A110" s="101" t="s">
        <v>513</v>
      </c>
      <c r="B110" s="212" t="s">
        <v>514</v>
      </c>
      <c r="C110" s="151"/>
      <c r="D110" s="151"/>
      <c r="E110" s="195"/>
      <c r="F110" s="70"/>
      <c r="G110" s="131"/>
      <c r="H110" s="132"/>
      <c r="I110" s="132"/>
      <c r="J110" s="132"/>
      <c r="K110" s="132"/>
      <c r="L110" s="132"/>
      <c r="M110" s="132"/>
      <c r="N110" s="13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6.25" customHeight="1" x14ac:dyDescent="0.25">
      <c r="A111" s="101" t="s">
        <v>517</v>
      </c>
      <c r="B111" s="212" t="s">
        <v>519</v>
      </c>
      <c r="C111" s="151"/>
      <c r="D111" s="151"/>
      <c r="E111" s="195"/>
      <c r="F111" s="70"/>
      <c r="G111" s="131"/>
      <c r="H111" s="132"/>
      <c r="I111" s="132"/>
      <c r="J111" s="132"/>
      <c r="K111" s="132"/>
      <c r="L111" s="132"/>
      <c r="M111" s="132"/>
      <c r="N111" s="13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6.25" customHeight="1" x14ac:dyDescent="0.25">
      <c r="A112" s="101" t="s">
        <v>522</v>
      </c>
      <c r="B112" s="213" t="s">
        <v>523</v>
      </c>
      <c r="C112" s="132"/>
      <c r="D112" s="132"/>
      <c r="E112" s="159"/>
      <c r="F112" s="89"/>
      <c r="G112" s="131"/>
      <c r="H112" s="132"/>
      <c r="I112" s="132"/>
      <c r="J112" s="132"/>
      <c r="K112" s="132"/>
      <c r="L112" s="132"/>
      <c r="M112" s="132"/>
      <c r="N112" s="13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6.25" customHeight="1" x14ac:dyDescent="0.25">
      <c r="A113" s="101" t="s">
        <v>528</v>
      </c>
      <c r="B113" s="212" t="s">
        <v>529</v>
      </c>
      <c r="C113" s="151"/>
      <c r="D113" s="151"/>
      <c r="E113" s="195"/>
      <c r="F113" s="89"/>
      <c r="G113" s="131"/>
      <c r="H113" s="132"/>
      <c r="I113" s="132"/>
      <c r="J113" s="132"/>
      <c r="K113" s="132"/>
      <c r="L113" s="132"/>
      <c r="M113" s="132"/>
      <c r="N113" s="13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6.25" customHeight="1" x14ac:dyDescent="0.25">
      <c r="A114" s="101" t="s">
        <v>532</v>
      </c>
      <c r="B114" s="212" t="s">
        <v>533</v>
      </c>
      <c r="C114" s="151"/>
      <c r="D114" s="151"/>
      <c r="E114" s="195"/>
      <c r="F114" s="89"/>
      <c r="G114" s="131"/>
      <c r="H114" s="132"/>
      <c r="I114" s="132"/>
      <c r="J114" s="132"/>
      <c r="K114" s="132"/>
      <c r="L114" s="132"/>
      <c r="M114" s="132"/>
      <c r="N114" s="13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6.25" customHeight="1" x14ac:dyDescent="0.25">
      <c r="A115" s="101" t="s">
        <v>536</v>
      </c>
      <c r="B115" s="212" t="s">
        <v>537</v>
      </c>
      <c r="C115" s="151"/>
      <c r="D115" s="151"/>
      <c r="E115" s="195"/>
      <c r="F115" s="89"/>
      <c r="G115" s="131"/>
      <c r="H115" s="132"/>
      <c r="I115" s="132"/>
      <c r="J115" s="132"/>
      <c r="K115" s="132"/>
      <c r="L115" s="132"/>
      <c r="M115" s="132"/>
      <c r="N115" s="13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6.25" customHeight="1" x14ac:dyDescent="0.25">
      <c r="A116" s="101" t="s">
        <v>540</v>
      </c>
      <c r="B116" s="212" t="s">
        <v>541</v>
      </c>
      <c r="C116" s="151"/>
      <c r="D116" s="151"/>
      <c r="E116" s="195"/>
      <c r="F116" s="89"/>
      <c r="G116" s="131"/>
      <c r="H116" s="132"/>
      <c r="I116" s="132"/>
      <c r="J116" s="132"/>
      <c r="K116" s="132"/>
      <c r="L116" s="132"/>
      <c r="M116" s="132"/>
      <c r="N116" s="13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6.25" customHeight="1" x14ac:dyDescent="0.25">
      <c r="A117" s="101" t="s">
        <v>543</v>
      </c>
      <c r="B117" s="212" t="s">
        <v>544</v>
      </c>
      <c r="C117" s="151"/>
      <c r="D117" s="151"/>
      <c r="E117" s="195"/>
      <c r="F117" s="89"/>
      <c r="G117" s="131"/>
      <c r="H117" s="132"/>
      <c r="I117" s="132"/>
      <c r="J117" s="132"/>
      <c r="K117" s="132"/>
      <c r="L117" s="132"/>
      <c r="M117" s="132"/>
      <c r="N117" s="13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9.25" customHeight="1" x14ac:dyDescent="0.25">
      <c r="A118" s="101" t="s">
        <v>547</v>
      </c>
      <c r="B118" s="212" t="s">
        <v>548</v>
      </c>
      <c r="C118" s="151"/>
      <c r="D118" s="151"/>
      <c r="E118" s="195"/>
      <c r="F118" s="70"/>
      <c r="G118" s="131"/>
      <c r="H118" s="132"/>
      <c r="I118" s="132"/>
      <c r="J118" s="132"/>
      <c r="K118" s="132"/>
      <c r="L118" s="132"/>
      <c r="M118" s="132"/>
      <c r="N118" s="13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6.25" customHeight="1" x14ac:dyDescent="0.25">
      <c r="A119" s="101" t="s">
        <v>552</v>
      </c>
      <c r="B119" s="212" t="s">
        <v>553</v>
      </c>
      <c r="C119" s="151"/>
      <c r="D119" s="151"/>
      <c r="E119" s="195"/>
      <c r="F119" s="70"/>
      <c r="G119" s="131"/>
      <c r="H119" s="132"/>
      <c r="I119" s="132"/>
      <c r="J119" s="132"/>
      <c r="K119" s="132"/>
      <c r="L119" s="132"/>
      <c r="M119" s="132"/>
      <c r="N119" s="13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6.25" customHeight="1" x14ac:dyDescent="0.25">
      <c r="A120" s="101" t="s">
        <v>558</v>
      </c>
      <c r="B120" s="212" t="s">
        <v>559</v>
      </c>
      <c r="C120" s="151"/>
      <c r="D120" s="151"/>
      <c r="E120" s="195"/>
      <c r="F120" s="70"/>
      <c r="G120" s="131"/>
      <c r="H120" s="132"/>
      <c r="I120" s="132"/>
      <c r="J120" s="132"/>
      <c r="K120" s="132"/>
      <c r="L120" s="132"/>
      <c r="M120" s="132"/>
      <c r="N120" s="13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6.25" customHeight="1" x14ac:dyDescent="0.25">
      <c r="A121" s="101" t="s">
        <v>563</v>
      </c>
      <c r="B121" s="212" t="s">
        <v>564</v>
      </c>
      <c r="C121" s="151"/>
      <c r="D121" s="151"/>
      <c r="E121" s="195"/>
      <c r="F121" s="70"/>
      <c r="G121" s="131"/>
      <c r="H121" s="132"/>
      <c r="I121" s="132"/>
      <c r="J121" s="132"/>
      <c r="K121" s="132"/>
      <c r="L121" s="132"/>
      <c r="M121" s="132"/>
      <c r="N121" s="13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6.25" customHeight="1" x14ac:dyDescent="0.25">
      <c r="A122" s="101" t="s">
        <v>568</v>
      </c>
      <c r="B122" s="212" t="s">
        <v>569</v>
      </c>
      <c r="C122" s="151"/>
      <c r="D122" s="151"/>
      <c r="E122" s="195"/>
      <c r="F122" s="70"/>
      <c r="G122" s="131"/>
      <c r="H122" s="132"/>
      <c r="I122" s="132"/>
      <c r="J122" s="132"/>
      <c r="K122" s="132"/>
      <c r="L122" s="132"/>
      <c r="M122" s="132"/>
      <c r="N122" s="13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6.25" customHeight="1" x14ac:dyDescent="0.25">
      <c r="A123" s="101" t="s">
        <v>574</v>
      </c>
      <c r="B123" s="212" t="s">
        <v>575</v>
      </c>
      <c r="C123" s="151"/>
      <c r="D123" s="151"/>
      <c r="E123" s="195"/>
      <c r="F123" s="70"/>
      <c r="G123" s="131"/>
      <c r="H123" s="132"/>
      <c r="I123" s="132"/>
      <c r="J123" s="132"/>
      <c r="K123" s="132"/>
      <c r="L123" s="132"/>
      <c r="M123" s="132"/>
      <c r="N123" s="13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6.25" customHeight="1" x14ac:dyDescent="0.25">
      <c r="A124" s="101" t="s">
        <v>578</v>
      </c>
      <c r="B124" s="212" t="s">
        <v>579</v>
      </c>
      <c r="C124" s="151"/>
      <c r="D124" s="151"/>
      <c r="E124" s="195"/>
      <c r="F124" s="70"/>
      <c r="G124" s="131"/>
      <c r="H124" s="132"/>
      <c r="I124" s="132"/>
      <c r="J124" s="132"/>
      <c r="K124" s="132"/>
      <c r="L124" s="132"/>
      <c r="M124" s="132"/>
      <c r="N124" s="13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6.25" customHeight="1" x14ac:dyDescent="0.25">
      <c r="A125" s="101" t="s">
        <v>581</v>
      </c>
      <c r="B125" s="212" t="s">
        <v>582</v>
      </c>
      <c r="C125" s="151"/>
      <c r="D125" s="151"/>
      <c r="E125" s="195"/>
      <c r="F125" s="70"/>
      <c r="G125" s="131"/>
      <c r="H125" s="132"/>
      <c r="I125" s="132"/>
      <c r="J125" s="132"/>
      <c r="K125" s="132"/>
      <c r="L125" s="132"/>
      <c r="M125" s="132"/>
      <c r="N125" s="13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6.25" customHeight="1" x14ac:dyDescent="0.25">
      <c r="A126" s="101" t="s">
        <v>584</v>
      </c>
      <c r="B126" s="212" t="s">
        <v>585</v>
      </c>
      <c r="C126" s="151"/>
      <c r="D126" s="151"/>
      <c r="E126" s="195"/>
      <c r="F126" s="70"/>
      <c r="G126" s="131"/>
      <c r="H126" s="132"/>
      <c r="I126" s="132"/>
      <c r="J126" s="132"/>
      <c r="K126" s="132"/>
      <c r="L126" s="132"/>
      <c r="M126" s="132"/>
      <c r="N126" s="13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0" customHeight="1" x14ac:dyDescent="0.25">
      <c r="A127" s="101" t="s">
        <v>587</v>
      </c>
      <c r="B127" s="212" t="s">
        <v>588</v>
      </c>
      <c r="C127" s="151"/>
      <c r="D127" s="151"/>
      <c r="E127" s="195"/>
      <c r="F127" s="70"/>
      <c r="G127" s="131"/>
      <c r="H127" s="132"/>
      <c r="I127" s="132"/>
      <c r="J127" s="132"/>
      <c r="K127" s="132"/>
      <c r="L127" s="132"/>
      <c r="M127" s="132"/>
      <c r="N127" s="13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6.25" customHeight="1" x14ac:dyDescent="0.25">
      <c r="A128" s="101" t="s">
        <v>591</v>
      </c>
      <c r="B128" s="212" t="s">
        <v>592</v>
      </c>
      <c r="C128" s="151"/>
      <c r="D128" s="151"/>
      <c r="E128" s="195"/>
      <c r="F128" s="70"/>
      <c r="G128" s="131"/>
      <c r="H128" s="132"/>
      <c r="I128" s="132"/>
      <c r="J128" s="132"/>
      <c r="K128" s="132"/>
      <c r="L128" s="132"/>
      <c r="M128" s="132"/>
      <c r="N128" s="13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6.75" customHeight="1" x14ac:dyDescent="0.25">
      <c r="A129" s="101" t="s">
        <v>596</v>
      </c>
      <c r="B129" s="214" t="s">
        <v>597</v>
      </c>
      <c r="C129" s="132"/>
      <c r="D129" s="132"/>
      <c r="E129" s="159"/>
      <c r="F129" s="70"/>
      <c r="G129" s="147"/>
      <c r="H129" s="148"/>
      <c r="I129" s="148"/>
      <c r="J129" s="148"/>
      <c r="K129" s="148"/>
      <c r="L129" s="148"/>
      <c r="M129" s="148"/>
      <c r="N129" s="149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6.25" customHeight="1" x14ac:dyDescent="0.25">
      <c r="A130" s="101" t="s">
        <v>607</v>
      </c>
      <c r="B130" s="212" t="s">
        <v>609</v>
      </c>
      <c r="C130" s="151"/>
      <c r="D130" s="151"/>
      <c r="E130" s="195"/>
      <c r="F130" s="70"/>
      <c r="G130" s="131"/>
      <c r="H130" s="132"/>
      <c r="I130" s="132"/>
      <c r="J130" s="132"/>
      <c r="K130" s="132"/>
      <c r="L130" s="132"/>
      <c r="M130" s="132"/>
      <c r="N130" s="13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6.25" customHeight="1" x14ac:dyDescent="0.25">
      <c r="A131" s="101" t="s">
        <v>613</v>
      </c>
      <c r="B131" s="212" t="s">
        <v>614</v>
      </c>
      <c r="C131" s="151"/>
      <c r="D131" s="151"/>
      <c r="E131" s="195"/>
      <c r="F131" s="89"/>
      <c r="G131" s="131"/>
      <c r="H131" s="132"/>
      <c r="I131" s="132"/>
      <c r="J131" s="132"/>
      <c r="K131" s="132"/>
      <c r="L131" s="132"/>
      <c r="M131" s="132"/>
      <c r="N131" s="13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6.25" customHeight="1" x14ac:dyDescent="0.25">
      <c r="A132" s="101" t="s">
        <v>618</v>
      </c>
      <c r="B132" s="212" t="s">
        <v>619</v>
      </c>
      <c r="C132" s="151"/>
      <c r="D132" s="151"/>
      <c r="E132" s="195"/>
      <c r="F132" s="70"/>
      <c r="G132" s="131"/>
      <c r="H132" s="132"/>
      <c r="I132" s="132"/>
      <c r="J132" s="132"/>
      <c r="K132" s="132"/>
      <c r="L132" s="132"/>
      <c r="M132" s="132"/>
      <c r="N132" s="13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6.25" customHeight="1" x14ac:dyDescent="0.25">
      <c r="A133" s="101" t="s">
        <v>620</v>
      </c>
      <c r="B133" s="223" t="s">
        <v>621</v>
      </c>
      <c r="C133" s="144"/>
      <c r="D133" s="144"/>
      <c r="E133" s="216"/>
      <c r="F133" s="70"/>
      <c r="G133" s="131"/>
      <c r="H133" s="132"/>
      <c r="I133" s="132"/>
      <c r="J133" s="132"/>
      <c r="K133" s="132"/>
      <c r="L133" s="132"/>
      <c r="M133" s="132"/>
      <c r="N133" s="13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6.25" customHeight="1" x14ac:dyDescent="0.25">
      <c r="A134" s="199" t="s">
        <v>625</v>
      </c>
      <c r="B134" s="135"/>
      <c r="C134" s="200"/>
      <c r="D134" s="60" t="s">
        <v>127</v>
      </c>
      <c r="E134" s="61">
        <f>COUNTIF(F136:F144,"&lt;&gt;"&amp;$A$27)*3</f>
        <v>27</v>
      </c>
      <c r="F134" s="203">
        <f>SUM(F136:F144)</f>
        <v>0</v>
      </c>
      <c r="G134" s="134" t="s">
        <v>136</v>
      </c>
      <c r="H134" s="135"/>
      <c r="I134" s="135"/>
      <c r="J134" s="135"/>
      <c r="K134" s="135"/>
      <c r="L134" s="135"/>
      <c r="M134" s="135"/>
      <c r="N134" s="136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 spans="1:26" ht="26.25" customHeight="1" x14ac:dyDescent="0.25">
      <c r="A135" s="174"/>
      <c r="B135" s="138"/>
      <c r="C135" s="201"/>
      <c r="D135" s="64" t="s">
        <v>140</v>
      </c>
      <c r="E135" s="65">
        <f>F134/E134</f>
        <v>0</v>
      </c>
      <c r="F135" s="204"/>
      <c r="G135" s="137"/>
      <c r="H135" s="138"/>
      <c r="I135" s="138"/>
      <c r="J135" s="138"/>
      <c r="K135" s="138"/>
      <c r="L135" s="138"/>
      <c r="M135" s="138"/>
      <c r="N135" s="139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 spans="1:26" ht="26.25" customHeight="1" x14ac:dyDescent="0.25">
      <c r="A136" s="92" t="s">
        <v>641</v>
      </c>
      <c r="B136" s="234" t="s">
        <v>642</v>
      </c>
      <c r="C136" s="156"/>
      <c r="D136" s="156"/>
      <c r="E136" s="168"/>
      <c r="F136" s="68"/>
      <c r="G136" s="150"/>
      <c r="H136" s="151"/>
      <c r="I136" s="151"/>
      <c r="J136" s="151"/>
      <c r="K136" s="151"/>
      <c r="L136" s="151"/>
      <c r="M136" s="151"/>
      <c r="N136" s="152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 spans="1:26" ht="26.25" customHeight="1" x14ac:dyDescent="0.25">
      <c r="A137" s="66" t="s">
        <v>645</v>
      </c>
      <c r="B137" s="235" t="s">
        <v>646</v>
      </c>
      <c r="C137" s="132"/>
      <c r="D137" s="132"/>
      <c r="E137" s="159"/>
      <c r="F137" s="70"/>
      <c r="G137" s="131"/>
      <c r="H137" s="132"/>
      <c r="I137" s="132"/>
      <c r="J137" s="132"/>
      <c r="K137" s="132"/>
      <c r="L137" s="132"/>
      <c r="M137" s="132"/>
      <c r="N137" s="133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 spans="1:26" ht="26.25" customHeight="1" x14ac:dyDescent="0.25">
      <c r="A138" s="92" t="s">
        <v>649</v>
      </c>
      <c r="B138" s="213" t="s">
        <v>650</v>
      </c>
      <c r="C138" s="132"/>
      <c r="D138" s="132"/>
      <c r="E138" s="159"/>
      <c r="F138" s="70"/>
      <c r="G138" s="131"/>
      <c r="H138" s="132"/>
      <c r="I138" s="132"/>
      <c r="J138" s="132"/>
      <c r="K138" s="132"/>
      <c r="L138" s="132"/>
      <c r="M138" s="132"/>
      <c r="N138" s="133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 spans="1:26" ht="26.25" customHeight="1" x14ac:dyDescent="0.25">
      <c r="A139" s="66" t="s">
        <v>654</v>
      </c>
      <c r="B139" s="213" t="s">
        <v>655</v>
      </c>
      <c r="C139" s="132"/>
      <c r="D139" s="132"/>
      <c r="E139" s="159"/>
      <c r="F139" s="70"/>
      <c r="G139" s="131"/>
      <c r="H139" s="132"/>
      <c r="I139" s="132"/>
      <c r="J139" s="132"/>
      <c r="K139" s="132"/>
      <c r="L139" s="132"/>
      <c r="M139" s="132"/>
      <c r="N139" s="133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spans="1:26" ht="26.25" customHeight="1" x14ac:dyDescent="0.25">
      <c r="A140" s="92" t="s">
        <v>658</v>
      </c>
      <c r="B140" s="235" t="s">
        <v>659</v>
      </c>
      <c r="C140" s="132"/>
      <c r="D140" s="132"/>
      <c r="E140" s="159"/>
      <c r="F140" s="70"/>
      <c r="G140" s="131"/>
      <c r="H140" s="132"/>
      <c r="I140" s="132"/>
      <c r="J140" s="132"/>
      <c r="K140" s="132"/>
      <c r="L140" s="132"/>
      <c r="M140" s="132"/>
      <c r="N140" s="133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spans="1:26" ht="26.25" customHeight="1" x14ac:dyDescent="0.25">
      <c r="A141" s="66" t="s">
        <v>662</v>
      </c>
      <c r="B141" s="213" t="s">
        <v>663</v>
      </c>
      <c r="C141" s="132"/>
      <c r="D141" s="132"/>
      <c r="E141" s="159"/>
      <c r="F141" s="70"/>
      <c r="G141" s="131"/>
      <c r="H141" s="132"/>
      <c r="I141" s="132"/>
      <c r="J141" s="132"/>
      <c r="K141" s="132"/>
      <c r="L141" s="132"/>
      <c r="M141" s="132"/>
      <c r="N141" s="133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spans="1:26" ht="26.25" customHeight="1" x14ac:dyDescent="0.25">
      <c r="A142" s="92" t="s">
        <v>666</v>
      </c>
      <c r="B142" s="213" t="s">
        <v>667</v>
      </c>
      <c r="C142" s="132"/>
      <c r="D142" s="132"/>
      <c r="E142" s="159"/>
      <c r="F142" s="70"/>
      <c r="G142" s="131"/>
      <c r="H142" s="132"/>
      <c r="I142" s="132"/>
      <c r="J142" s="132"/>
      <c r="K142" s="132"/>
      <c r="L142" s="132"/>
      <c r="M142" s="132"/>
      <c r="N142" s="133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spans="1:26" ht="22.5" customHeight="1" x14ac:dyDescent="0.25">
      <c r="A143" s="66" t="s">
        <v>668</v>
      </c>
      <c r="B143" s="213" t="s">
        <v>669</v>
      </c>
      <c r="C143" s="132"/>
      <c r="D143" s="132"/>
      <c r="E143" s="159"/>
      <c r="F143" s="70"/>
      <c r="G143" s="131"/>
      <c r="H143" s="132"/>
      <c r="I143" s="132"/>
      <c r="J143" s="132"/>
      <c r="K143" s="132"/>
      <c r="L143" s="132"/>
      <c r="M143" s="132"/>
      <c r="N143" s="133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spans="1:26" ht="22.5" customHeight="1" x14ac:dyDescent="0.25">
      <c r="A144" s="92" t="s">
        <v>670</v>
      </c>
      <c r="B144" s="236" t="s">
        <v>671</v>
      </c>
      <c r="C144" s="141"/>
      <c r="D144" s="141"/>
      <c r="E144" s="207"/>
      <c r="F144" s="70"/>
      <c r="G144" s="131"/>
      <c r="H144" s="132"/>
      <c r="I144" s="132"/>
      <c r="J144" s="132"/>
      <c r="K144" s="132"/>
      <c r="L144" s="132"/>
      <c r="M144" s="132"/>
      <c r="N144" s="133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 spans="1:26" ht="26.25" customHeight="1" x14ac:dyDescent="0.25">
      <c r="A145" s="199" t="s">
        <v>673</v>
      </c>
      <c r="B145" s="135"/>
      <c r="C145" s="200"/>
      <c r="D145" s="60" t="s">
        <v>127</v>
      </c>
      <c r="E145" s="61">
        <f>COUNTIF(F147:F162,"&lt;&gt;"&amp;$A$27)*3</f>
        <v>48</v>
      </c>
      <c r="F145" s="203">
        <f>SUM(F147:F162)</f>
        <v>0</v>
      </c>
      <c r="G145" s="134" t="s">
        <v>136</v>
      </c>
      <c r="H145" s="135"/>
      <c r="I145" s="135"/>
      <c r="J145" s="135"/>
      <c r="K145" s="135"/>
      <c r="L145" s="135"/>
      <c r="M145" s="135"/>
      <c r="N145" s="136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 spans="1:26" ht="26.25" customHeight="1" x14ac:dyDescent="0.25">
      <c r="A146" s="174"/>
      <c r="B146" s="138"/>
      <c r="C146" s="201"/>
      <c r="D146" s="64" t="s">
        <v>140</v>
      </c>
      <c r="E146" s="65">
        <f>F145/E145</f>
        <v>0</v>
      </c>
      <c r="F146" s="204"/>
      <c r="G146" s="137"/>
      <c r="H146" s="138"/>
      <c r="I146" s="138"/>
      <c r="J146" s="138"/>
      <c r="K146" s="138"/>
      <c r="L146" s="138"/>
      <c r="M146" s="138"/>
      <c r="N146" s="139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 spans="1:26" ht="26.25" customHeight="1" x14ac:dyDescent="0.25">
      <c r="A147" s="108" t="s">
        <v>680</v>
      </c>
      <c r="B147" s="212" t="s">
        <v>682</v>
      </c>
      <c r="C147" s="151"/>
      <c r="D147" s="151"/>
      <c r="E147" s="195"/>
      <c r="F147" s="68"/>
      <c r="G147" s="150"/>
      <c r="H147" s="151"/>
      <c r="I147" s="151"/>
      <c r="J147" s="151"/>
      <c r="K147" s="151"/>
      <c r="L147" s="151"/>
      <c r="M147" s="151"/>
      <c r="N147" s="152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spans="1:26" ht="26.25" customHeight="1" x14ac:dyDescent="0.25">
      <c r="A148" s="101" t="s">
        <v>685</v>
      </c>
      <c r="B148" s="212" t="s">
        <v>686</v>
      </c>
      <c r="C148" s="151"/>
      <c r="D148" s="151"/>
      <c r="E148" s="195"/>
      <c r="F148" s="89"/>
      <c r="G148" s="131"/>
      <c r="H148" s="132"/>
      <c r="I148" s="132"/>
      <c r="J148" s="132"/>
      <c r="K148" s="132"/>
      <c r="L148" s="132"/>
      <c r="M148" s="132"/>
      <c r="N148" s="133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spans="1:26" ht="26.25" customHeight="1" x14ac:dyDescent="0.25">
      <c r="A149" s="108" t="s">
        <v>689</v>
      </c>
      <c r="B149" s="212" t="s">
        <v>690</v>
      </c>
      <c r="C149" s="151"/>
      <c r="D149" s="151"/>
      <c r="E149" s="195"/>
      <c r="F149" s="70"/>
      <c r="G149" s="131"/>
      <c r="H149" s="132"/>
      <c r="I149" s="132"/>
      <c r="J149" s="132"/>
      <c r="K149" s="132"/>
      <c r="L149" s="132"/>
      <c r="M149" s="132"/>
      <c r="N149" s="133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spans="1:26" ht="26.25" customHeight="1" x14ac:dyDescent="0.25">
      <c r="A150" s="101" t="s">
        <v>691</v>
      </c>
      <c r="B150" s="212" t="s">
        <v>692</v>
      </c>
      <c r="C150" s="151"/>
      <c r="D150" s="151"/>
      <c r="E150" s="195"/>
      <c r="F150" s="70"/>
      <c r="G150" s="131"/>
      <c r="H150" s="132"/>
      <c r="I150" s="132"/>
      <c r="J150" s="132"/>
      <c r="K150" s="132"/>
      <c r="L150" s="132"/>
      <c r="M150" s="132"/>
      <c r="N150" s="133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spans="1:26" ht="26.25" customHeight="1" x14ac:dyDescent="0.25">
      <c r="A151" s="108" t="s">
        <v>694</v>
      </c>
      <c r="B151" s="212" t="s">
        <v>695</v>
      </c>
      <c r="C151" s="151"/>
      <c r="D151" s="151"/>
      <c r="E151" s="195"/>
      <c r="F151" s="70"/>
      <c r="G151" s="131"/>
      <c r="H151" s="132"/>
      <c r="I151" s="132"/>
      <c r="J151" s="132"/>
      <c r="K151" s="132"/>
      <c r="L151" s="132"/>
      <c r="M151" s="132"/>
      <c r="N151" s="133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spans="1:26" ht="26.25" customHeight="1" x14ac:dyDescent="0.25">
      <c r="A152" s="101" t="s">
        <v>696</v>
      </c>
      <c r="B152" s="212" t="s">
        <v>697</v>
      </c>
      <c r="C152" s="151"/>
      <c r="D152" s="151"/>
      <c r="E152" s="195"/>
      <c r="F152" s="89"/>
      <c r="G152" s="131"/>
      <c r="H152" s="132"/>
      <c r="I152" s="132"/>
      <c r="J152" s="132"/>
      <c r="K152" s="132"/>
      <c r="L152" s="132"/>
      <c r="M152" s="132"/>
      <c r="N152" s="133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spans="1:26" ht="26.25" customHeight="1" x14ac:dyDescent="0.25">
      <c r="A153" s="108" t="s">
        <v>699</v>
      </c>
      <c r="B153" s="212" t="s">
        <v>700</v>
      </c>
      <c r="C153" s="151"/>
      <c r="D153" s="151"/>
      <c r="E153" s="195"/>
      <c r="F153" s="89"/>
      <c r="G153" s="131"/>
      <c r="H153" s="132"/>
      <c r="I153" s="132"/>
      <c r="J153" s="132"/>
      <c r="K153" s="132"/>
      <c r="L153" s="132"/>
      <c r="M153" s="132"/>
      <c r="N153" s="133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spans="1:26" ht="39" customHeight="1" x14ac:dyDescent="0.25">
      <c r="A154" s="101" t="s">
        <v>704</v>
      </c>
      <c r="B154" s="212" t="s">
        <v>706</v>
      </c>
      <c r="C154" s="151"/>
      <c r="D154" s="151"/>
      <c r="E154" s="195"/>
      <c r="F154" s="70"/>
      <c r="G154" s="131"/>
      <c r="H154" s="132"/>
      <c r="I154" s="132"/>
      <c r="J154" s="132"/>
      <c r="K154" s="132"/>
      <c r="L154" s="132"/>
      <c r="M154" s="132"/>
      <c r="N154" s="133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 spans="1:26" ht="26.25" customHeight="1" x14ac:dyDescent="0.25">
      <c r="A155" s="108" t="s">
        <v>711</v>
      </c>
      <c r="B155" s="212" t="s">
        <v>712</v>
      </c>
      <c r="C155" s="151"/>
      <c r="D155" s="151"/>
      <c r="E155" s="195"/>
      <c r="F155" s="70"/>
      <c r="G155" s="131"/>
      <c r="H155" s="132"/>
      <c r="I155" s="132"/>
      <c r="J155" s="132"/>
      <c r="K155" s="132"/>
      <c r="L155" s="132"/>
      <c r="M155" s="132"/>
      <c r="N155" s="133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 spans="1:26" ht="26.25" customHeight="1" x14ac:dyDescent="0.25">
      <c r="A156" s="110" t="s">
        <v>715</v>
      </c>
      <c r="B156" s="212" t="s">
        <v>716</v>
      </c>
      <c r="C156" s="151"/>
      <c r="D156" s="151"/>
      <c r="E156" s="195"/>
      <c r="F156" s="70"/>
      <c r="G156" s="131"/>
      <c r="H156" s="132"/>
      <c r="I156" s="132"/>
      <c r="J156" s="132"/>
      <c r="K156" s="132"/>
      <c r="L156" s="132"/>
      <c r="M156" s="132"/>
      <c r="N156" s="133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spans="1:26" ht="26.25" customHeight="1" x14ac:dyDescent="0.25">
      <c r="A157" s="108" t="s">
        <v>717</v>
      </c>
      <c r="B157" s="212" t="s">
        <v>718</v>
      </c>
      <c r="C157" s="151"/>
      <c r="D157" s="151"/>
      <c r="E157" s="195"/>
      <c r="F157" s="70"/>
      <c r="G157" s="131"/>
      <c r="H157" s="132"/>
      <c r="I157" s="132"/>
      <c r="J157" s="132"/>
      <c r="K157" s="132"/>
      <c r="L157" s="132"/>
      <c r="M157" s="132"/>
      <c r="N157" s="133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spans="1:26" ht="26.25" customHeight="1" x14ac:dyDescent="0.25">
      <c r="A158" s="110" t="s">
        <v>720</v>
      </c>
      <c r="B158" s="212" t="s">
        <v>721</v>
      </c>
      <c r="C158" s="151"/>
      <c r="D158" s="151"/>
      <c r="E158" s="195"/>
      <c r="F158" s="70"/>
      <c r="G158" s="131"/>
      <c r="H158" s="132"/>
      <c r="I158" s="132"/>
      <c r="J158" s="132"/>
      <c r="K158" s="132"/>
      <c r="L158" s="132"/>
      <c r="M158" s="132"/>
      <c r="N158" s="133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spans="1:26" ht="26.25" customHeight="1" x14ac:dyDescent="0.25">
      <c r="A159" s="108" t="s">
        <v>722</v>
      </c>
      <c r="B159" s="212" t="s">
        <v>723</v>
      </c>
      <c r="C159" s="151"/>
      <c r="D159" s="151"/>
      <c r="E159" s="195"/>
      <c r="F159" s="70"/>
      <c r="G159" s="131"/>
      <c r="H159" s="132"/>
      <c r="I159" s="132"/>
      <c r="J159" s="132"/>
      <c r="K159" s="132"/>
      <c r="L159" s="132"/>
      <c r="M159" s="132"/>
      <c r="N159" s="133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spans="1:26" ht="26.25" customHeight="1" x14ac:dyDescent="0.25">
      <c r="A160" s="108" t="s">
        <v>726</v>
      </c>
      <c r="B160" s="212" t="s">
        <v>727</v>
      </c>
      <c r="C160" s="151"/>
      <c r="D160" s="151"/>
      <c r="E160" s="195"/>
      <c r="F160" s="70"/>
      <c r="G160" s="131"/>
      <c r="H160" s="132"/>
      <c r="I160" s="132"/>
      <c r="J160" s="132"/>
      <c r="K160" s="132"/>
      <c r="L160" s="132"/>
      <c r="M160" s="132"/>
      <c r="N160" s="133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spans="1:26" ht="31.5" customHeight="1" x14ac:dyDescent="0.25">
      <c r="A161" s="110" t="s">
        <v>731</v>
      </c>
      <c r="B161" s="212" t="s">
        <v>733</v>
      </c>
      <c r="C161" s="151"/>
      <c r="D161" s="151"/>
      <c r="E161" s="195"/>
      <c r="F161" s="70"/>
      <c r="G161" s="131"/>
      <c r="H161" s="132"/>
      <c r="I161" s="132"/>
      <c r="J161" s="132"/>
      <c r="K161" s="132"/>
      <c r="L161" s="132"/>
      <c r="M161" s="132"/>
      <c r="N161" s="133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 spans="1:26" ht="34.5" customHeight="1" x14ac:dyDescent="0.25">
      <c r="A162" s="108" t="s">
        <v>739</v>
      </c>
      <c r="B162" s="212" t="s">
        <v>740</v>
      </c>
      <c r="C162" s="151"/>
      <c r="D162" s="151"/>
      <c r="E162" s="195"/>
      <c r="F162" s="70"/>
      <c r="G162" s="131"/>
      <c r="H162" s="132"/>
      <c r="I162" s="132"/>
      <c r="J162" s="132"/>
      <c r="K162" s="132"/>
      <c r="L162" s="132"/>
      <c r="M162" s="132"/>
      <c r="N162" s="133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spans="1:26" ht="12.75" customHeight="1" x14ac:dyDescent="0.25">
      <c r="A163" s="111"/>
      <c r="B163" s="112"/>
      <c r="C163" s="112"/>
      <c r="D163" s="112"/>
      <c r="E163" s="113"/>
      <c r="F163" s="114"/>
      <c r="G163" s="115"/>
      <c r="H163" s="115"/>
      <c r="I163" s="115"/>
      <c r="J163" s="115"/>
      <c r="K163" s="115"/>
      <c r="L163" s="115"/>
      <c r="M163" s="115"/>
      <c r="N163" s="11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5">
      <c r="A164" s="231" t="s">
        <v>745</v>
      </c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9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232" t="s">
        <v>746</v>
      </c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9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5">
      <c r="A166" s="233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7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5">
      <c r="A167" s="225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9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5">
      <c r="A168" s="226" t="s">
        <v>751</v>
      </c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9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5">
      <c r="A169" s="227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25">
      <c r="A170" s="228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4.75" customHeight="1" x14ac:dyDescent="0.25">
      <c r="A171" s="229" t="s">
        <v>756</v>
      </c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9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2" customHeight="1" x14ac:dyDescent="0.25">
      <c r="A172" s="230" t="s">
        <v>763</v>
      </c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9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34:E162" xr:uid="{00000000-0009-0000-0000-000000000000}"/>
  <mergeCells count="330">
    <mergeCell ref="B162:E162"/>
    <mergeCell ref="B148:E148"/>
    <mergeCell ref="B149:E149"/>
    <mergeCell ref="B150:E150"/>
    <mergeCell ref="B151:E151"/>
    <mergeCell ref="B152:E152"/>
    <mergeCell ref="B153:E153"/>
    <mergeCell ref="B154:E154"/>
    <mergeCell ref="G152:N152"/>
    <mergeCell ref="G153:N153"/>
    <mergeCell ref="G154:N154"/>
    <mergeCell ref="G155:N155"/>
    <mergeCell ref="G156:N156"/>
    <mergeCell ref="G157:N157"/>
    <mergeCell ref="G158:N158"/>
    <mergeCell ref="G150:N150"/>
    <mergeCell ref="G151:N151"/>
    <mergeCell ref="B155:E155"/>
    <mergeCell ref="B156:E156"/>
    <mergeCell ref="B157:E157"/>
    <mergeCell ref="B158:E158"/>
    <mergeCell ref="B159:E159"/>
    <mergeCell ref="B160:E160"/>
    <mergeCell ref="B161:E161"/>
    <mergeCell ref="B142:E142"/>
    <mergeCell ref="B143:E143"/>
    <mergeCell ref="B144:E144"/>
    <mergeCell ref="F145:F146"/>
    <mergeCell ref="A145:C146"/>
    <mergeCell ref="B147:E147"/>
    <mergeCell ref="G147:N147"/>
    <mergeCell ref="G148:N148"/>
    <mergeCell ref="G149:N149"/>
    <mergeCell ref="B133:E133"/>
    <mergeCell ref="A134:C135"/>
    <mergeCell ref="F134:F135"/>
    <mergeCell ref="B136:E136"/>
    <mergeCell ref="B137:E137"/>
    <mergeCell ref="B138:E138"/>
    <mergeCell ref="B139:E139"/>
    <mergeCell ref="B140:E140"/>
    <mergeCell ref="B141:E141"/>
    <mergeCell ref="B122:E122"/>
    <mergeCell ref="B123:E123"/>
    <mergeCell ref="B124:E124"/>
    <mergeCell ref="A167:N167"/>
    <mergeCell ref="A168:N168"/>
    <mergeCell ref="A169:N169"/>
    <mergeCell ref="A170:N170"/>
    <mergeCell ref="A171:N171"/>
    <mergeCell ref="A172:N172"/>
    <mergeCell ref="G159:N159"/>
    <mergeCell ref="G160:N160"/>
    <mergeCell ref="G161:N161"/>
    <mergeCell ref="G162:N162"/>
    <mergeCell ref="A164:N164"/>
    <mergeCell ref="A165:N165"/>
    <mergeCell ref="A166:N166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04:E104"/>
    <mergeCell ref="B105:E105"/>
    <mergeCell ref="B106:E106"/>
    <mergeCell ref="B107:E107"/>
    <mergeCell ref="B108:E108"/>
    <mergeCell ref="A109:E109"/>
    <mergeCell ref="B110:E110"/>
    <mergeCell ref="B111:E111"/>
    <mergeCell ref="B112:E112"/>
    <mergeCell ref="B95:E95"/>
    <mergeCell ref="B96:E96"/>
    <mergeCell ref="B97:E97"/>
    <mergeCell ref="B98:E98"/>
    <mergeCell ref="A99:E99"/>
    <mergeCell ref="B100:E100"/>
    <mergeCell ref="B101:E101"/>
    <mergeCell ref="B102:E102"/>
    <mergeCell ref="A103:E103"/>
    <mergeCell ref="B86:E86"/>
    <mergeCell ref="B87:E87"/>
    <mergeCell ref="A88:C89"/>
    <mergeCell ref="F88:F89"/>
    <mergeCell ref="A90:E90"/>
    <mergeCell ref="B91:E91"/>
    <mergeCell ref="B92:E92"/>
    <mergeCell ref="B93:E93"/>
    <mergeCell ref="B94:E94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G77:N77"/>
    <mergeCell ref="G78:N78"/>
    <mergeCell ref="G79:N79"/>
    <mergeCell ref="G80:N80"/>
    <mergeCell ref="G81:N81"/>
    <mergeCell ref="G82:N82"/>
    <mergeCell ref="G83:N83"/>
    <mergeCell ref="G84:N84"/>
    <mergeCell ref="G85:N85"/>
    <mergeCell ref="G69:N69"/>
    <mergeCell ref="G70:N70"/>
    <mergeCell ref="B69:E69"/>
    <mergeCell ref="B70:E70"/>
    <mergeCell ref="B71:E71"/>
    <mergeCell ref="B72:E72"/>
    <mergeCell ref="B73:E73"/>
    <mergeCell ref="B74:E74"/>
    <mergeCell ref="F75:F76"/>
    <mergeCell ref="G71:N71"/>
    <mergeCell ref="G72:N72"/>
    <mergeCell ref="G73:N73"/>
    <mergeCell ref="G74:N74"/>
    <mergeCell ref="G75:N76"/>
    <mergeCell ref="A75:C76"/>
    <mergeCell ref="B63:E63"/>
    <mergeCell ref="B64:E64"/>
    <mergeCell ref="B65:E65"/>
    <mergeCell ref="A66:C67"/>
    <mergeCell ref="F66:F67"/>
    <mergeCell ref="B68:E68"/>
    <mergeCell ref="G63:N63"/>
    <mergeCell ref="G64:N64"/>
    <mergeCell ref="G65:N65"/>
    <mergeCell ref="G66:N67"/>
    <mergeCell ref="G68:N68"/>
    <mergeCell ref="G56:N56"/>
    <mergeCell ref="G57:N57"/>
    <mergeCell ref="G58:N58"/>
    <mergeCell ref="G59:N59"/>
    <mergeCell ref="B60:E60"/>
    <mergeCell ref="G60:N60"/>
    <mergeCell ref="B61:E61"/>
    <mergeCell ref="G61:N61"/>
    <mergeCell ref="G62:N62"/>
    <mergeCell ref="B62:E62"/>
    <mergeCell ref="A46:C47"/>
    <mergeCell ref="F46:F47"/>
    <mergeCell ref="A48:E48"/>
    <mergeCell ref="B49:E49"/>
    <mergeCell ref="B50:E50"/>
    <mergeCell ref="B51:E51"/>
    <mergeCell ref="B57:E57"/>
    <mergeCell ref="B58:E58"/>
    <mergeCell ref="B59:E59"/>
    <mergeCell ref="B52:E52"/>
    <mergeCell ref="B53:E53"/>
    <mergeCell ref="B54:E54"/>
    <mergeCell ref="B55:E55"/>
    <mergeCell ref="B56:E56"/>
    <mergeCell ref="B43:E43"/>
    <mergeCell ref="B44:E44"/>
    <mergeCell ref="G39:N39"/>
    <mergeCell ref="G40:N40"/>
    <mergeCell ref="G41:N41"/>
    <mergeCell ref="G42:N42"/>
    <mergeCell ref="G43:N43"/>
    <mergeCell ref="G44:N44"/>
    <mergeCell ref="G45:N45"/>
    <mergeCell ref="B45:E45"/>
    <mergeCell ref="G51:N51"/>
    <mergeCell ref="G52:N52"/>
    <mergeCell ref="G53:N53"/>
    <mergeCell ref="G32:N33"/>
    <mergeCell ref="G34:N34"/>
    <mergeCell ref="G27:K27"/>
    <mergeCell ref="G28:K28"/>
    <mergeCell ref="L28:N28"/>
    <mergeCell ref="A30:N30"/>
    <mergeCell ref="A31:E31"/>
    <mergeCell ref="F31:M31"/>
    <mergeCell ref="B34:E34"/>
    <mergeCell ref="B35:E35"/>
    <mergeCell ref="G35:N35"/>
    <mergeCell ref="B36:E36"/>
    <mergeCell ref="G36:N36"/>
    <mergeCell ref="B37:E37"/>
    <mergeCell ref="G37:N37"/>
    <mergeCell ref="G38:N38"/>
    <mergeCell ref="B38:E38"/>
    <mergeCell ref="B39:E39"/>
    <mergeCell ref="B40:E40"/>
    <mergeCell ref="B41:E41"/>
    <mergeCell ref="B42:E42"/>
    <mergeCell ref="A24:B24"/>
    <mergeCell ref="A25:B25"/>
    <mergeCell ref="A26:B26"/>
    <mergeCell ref="A27:B27"/>
    <mergeCell ref="A28:B28"/>
    <mergeCell ref="A32:C33"/>
    <mergeCell ref="C24:F24"/>
    <mergeCell ref="C25:F25"/>
    <mergeCell ref="C26:F26"/>
    <mergeCell ref="C27:F27"/>
    <mergeCell ref="C28:F28"/>
    <mergeCell ref="F32:F33"/>
    <mergeCell ref="N1:N2"/>
    <mergeCell ref="A6:N6"/>
    <mergeCell ref="C8:E8"/>
    <mergeCell ref="F8:G8"/>
    <mergeCell ref="H8:L8"/>
    <mergeCell ref="A8:B8"/>
    <mergeCell ref="A9:B9"/>
    <mergeCell ref="C9:E9"/>
    <mergeCell ref="F9:G9"/>
    <mergeCell ref="H9:J9"/>
    <mergeCell ref="K9:L9"/>
    <mergeCell ref="M9:N9"/>
    <mergeCell ref="B17:E17"/>
    <mergeCell ref="B18:E18"/>
    <mergeCell ref="B19:E19"/>
    <mergeCell ref="A21:F21"/>
    <mergeCell ref="A22:B22"/>
    <mergeCell ref="C22:F22"/>
    <mergeCell ref="C23:F23"/>
    <mergeCell ref="A1:B3"/>
    <mergeCell ref="C1:M3"/>
    <mergeCell ref="A10:B10"/>
    <mergeCell ref="C10:E10"/>
    <mergeCell ref="F10:G10"/>
    <mergeCell ref="H10:L10"/>
    <mergeCell ref="A12:N12"/>
    <mergeCell ref="A13:E13"/>
    <mergeCell ref="F13:M13"/>
    <mergeCell ref="B14:E14"/>
    <mergeCell ref="F14:M14"/>
    <mergeCell ref="B15:E15"/>
    <mergeCell ref="F15:M15"/>
    <mergeCell ref="B16:E16"/>
    <mergeCell ref="F16:M16"/>
    <mergeCell ref="F17:M17"/>
    <mergeCell ref="A23:B23"/>
    <mergeCell ref="G132:N132"/>
    <mergeCell ref="G133:N133"/>
    <mergeCell ref="G134:N135"/>
    <mergeCell ref="G136:N136"/>
    <mergeCell ref="F18:M18"/>
    <mergeCell ref="F19:M19"/>
    <mergeCell ref="G21:N21"/>
    <mergeCell ref="G22:K22"/>
    <mergeCell ref="L22:N22"/>
    <mergeCell ref="G23:K23"/>
    <mergeCell ref="L23:N23"/>
    <mergeCell ref="G24:K24"/>
    <mergeCell ref="L24:N24"/>
    <mergeCell ref="G25:K25"/>
    <mergeCell ref="L25:N25"/>
    <mergeCell ref="G26:K26"/>
    <mergeCell ref="L26:N26"/>
    <mergeCell ref="L27:N27"/>
    <mergeCell ref="G54:N54"/>
    <mergeCell ref="G55:N55"/>
    <mergeCell ref="G46:N47"/>
    <mergeCell ref="G48:N48"/>
    <mergeCell ref="G49:N49"/>
    <mergeCell ref="G50:N50"/>
    <mergeCell ref="G123:N123"/>
    <mergeCell ref="G124:N124"/>
    <mergeCell ref="G125:N125"/>
    <mergeCell ref="G126:N126"/>
    <mergeCell ref="G127:N127"/>
    <mergeCell ref="G128:N128"/>
    <mergeCell ref="G129:N129"/>
    <mergeCell ref="G130:N130"/>
    <mergeCell ref="G131:N131"/>
    <mergeCell ref="G114:N114"/>
    <mergeCell ref="G115:N115"/>
    <mergeCell ref="G116:N116"/>
    <mergeCell ref="G117:N117"/>
    <mergeCell ref="G118:N118"/>
    <mergeCell ref="G119:N119"/>
    <mergeCell ref="G120:N120"/>
    <mergeCell ref="G121:N121"/>
    <mergeCell ref="G122:N122"/>
    <mergeCell ref="G105:N105"/>
    <mergeCell ref="G106:N106"/>
    <mergeCell ref="G107:N107"/>
    <mergeCell ref="G108:N108"/>
    <mergeCell ref="G109:N109"/>
    <mergeCell ref="G110:N110"/>
    <mergeCell ref="G111:N111"/>
    <mergeCell ref="G112:N112"/>
    <mergeCell ref="G113:N113"/>
    <mergeCell ref="G96:N96"/>
    <mergeCell ref="G97:N97"/>
    <mergeCell ref="G98:N98"/>
    <mergeCell ref="G99:N99"/>
    <mergeCell ref="G100:N100"/>
    <mergeCell ref="G101:N101"/>
    <mergeCell ref="G102:N102"/>
    <mergeCell ref="G103:N103"/>
    <mergeCell ref="G104:N104"/>
    <mergeCell ref="G86:N86"/>
    <mergeCell ref="G87:N87"/>
    <mergeCell ref="G88:N89"/>
    <mergeCell ref="G90:N90"/>
    <mergeCell ref="G91:N91"/>
    <mergeCell ref="G92:N92"/>
    <mergeCell ref="G93:N93"/>
    <mergeCell ref="G94:N94"/>
    <mergeCell ref="G95:N95"/>
    <mergeCell ref="G144:N144"/>
    <mergeCell ref="G145:N146"/>
    <mergeCell ref="G137:N137"/>
    <mergeCell ref="G138:N138"/>
    <mergeCell ref="G139:N139"/>
    <mergeCell ref="G140:N140"/>
    <mergeCell ref="G141:N141"/>
    <mergeCell ref="G142:N142"/>
    <mergeCell ref="G143:N143"/>
  </mergeCells>
  <dataValidations count="3">
    <dataValidation type="list" allowBlank="1" showInputMessage="1" showErrorMessage="1" prompt="Error en ingreso de datos - En estas celdas solo se puede ingresar 1, 0 ó N/A._x000a_Por Favor verifique el dato ingresado, gracias." sqref="F34:F45 F49:F65 F68:F74 F77:F87 F91:F98 F100:F102 F104:F108 F110:F133 F136:F144 F147:F162" xr:uid="{00000000-0002-0000-0000-000001000000}">
      <formula1>"0,1,2,3,N/A"</formula1>
    </dataValidation>
    <dataValidation type="date" allowBlank="1" showInputMessage="1" showErrorMessage="1" prompt="Error - la fecha debe ser yyyy-mm-dd" sqref="H10" xr:uid="{00000000-0002-0000-0000-000002000000}">
      <formula1>43831</formula1>
      <formula2>47484</formula2>
    </dataValidation>
    <dataValidation type="date" allowBlank="1" showInputMessage="1" showErrorMessage="1" prompt="Error al ingresar la fecha - Fecha en formato: Año - Mes - Dias" sqref="M10" xr:uid="{00000000-0002-0000-0000-000004000000}">
      <formula1>43831</formula1>
      <formula2>47484</formula2>
    </dataValidation>
  </dataValidations>
  <printOptions horizontalCentered="1"/>
  <pageMargins left="0.55118110236220497" right="0.196850393700787" top="0.43307086614173201" bottom="0.39370078740157499" header="0" footer="0"/>
  <pageSetup orientation="portrait"/>
  <headerFooter>
    <oddFooter>&amp;CPágina &amp;P de</oddFooter>
  </headerFooter>
  <rowBreaks count="4" manualBreakCount="4">
    <brk id="49" man="1"/>
    <brk id="83" man="1"/>
    <brk id="117" man="1"/>
    <brk id="150" man="1"/>
  </rowBreaks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Sheet1!$AN$3:$AN$147</xm:f>
          </x14:formula1>
          <xm:sqref>M9</xm:sqref>
        </x14:dataValidation>
        <x14:dataValidation type="list" allowBlank="1" showErrorMessage="1" xr:uid="{00000000-0002-0000-0000-000003000000}">
          <x14:formula1>
            <xm:f>Sheet1!$Z$3:$Z$437</xm:f>
          </x14:formula1>
          <xm:sqref>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24" customWidth="1"/>
    <col min="2" max="2" width="25.77734375" customWidth="1"/>
    <col min="3" max="7" width="9.109375" customWidth="1"/>
    <col min="8" max="8" width="10.77734375" customWidth="1"/>
    <col min="9" max="26" width="9.109375" customWidth="1"/>
  </cols>
  <sheetData>
    <row r="1" spans="1:26" ht="12.75" customHeight="1" x14ac:dyDescent="0.25">
      <c r="A1" s="1" t="s">
        <v>1</v>
      </c>
      <c r="B1" s="1" t="s">
        <v>0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/>
      <c r="Z1" s="1"/>
    </row>
    <row r="2" spans="1:26" ht="12.75" customHeight="1" x14ac:dyDescent="0.25">
      <c r="A2" s="1" t="str">
        <f>'MSC Lista Verific. Inspeccion'!N10</f>
        <v/>
      </c>
      <c r="B2" s="3" t="str">
        <f ca="1">TEXT($H$2,"yyyymmdd")&amp;"-"&amp;$G$2&amp;"-"&amp;TEXT(NOW(),"yyyymmddHHMMSS")</f>
        <v>yyyy0100-0-yyyy1003110802</v>
      </c>
      <c r="C2" s="1" t="str">
        <f>'MSC Lista Verific. Inspeccion'!C8</f>
        <v/>
      </c>
      <c r="D2" s="1" t="str">
        <f>'MSC Lista Verific. Inspeccion'!C9</f>
        <v/>
      </c>
      <c r="E2" s="1" t="str">
        <f>'MSC Lista Verific. Inspeccion'!C10</f>
        <v/>
      </c>
      <c r="F2" s="1">
        <f>'MSC Lista Verific. Inspeccion'!H8</f>
        <v>0</v>
      </c>
      <c r="G2" s="2">
        <f>'MSC Lista Verific. Inspeccion'!H9</f>
        <v>0</v>
      </c>
      <c r="H2" s="2">
        <f>'MSC Lista Verific. Inspeccion'!H10</f>
        <v>0</v>
      </c>
      <c r="I2" s="1">
        <f>'MSC Lista Verific. Inspeccion'!N8</f>
        <v>0</v>
      </c>
      <c r="J2" s="1" t="str">
        <f>'MSC Lista Verific. Inspeccion'!C1</f>
        <v>INSPECCIÓN DE SEGURIDAD OPERATIVA (ISOP)</v>
      </c>
      <c r="K2" s="1">
        <f>'MSC Lista Verific. Inspeccion'!B14</f>
        <v>0</v>
      </c>
      <c r="L2" s="1">
        <f>'MSC Lista Verific. Inspeccion'!B15</f>
        <v>0</v>
      </c>
      <c r="M2" s="1">
        <f>'MSC Lista Verific. Inspeccion'!B16</f>
        <v>0</v>
      </c>
      <c r="N2" s="1">
        <f>'MSC Lista Verific. Inspeccion'!B17</f>
        <v>0</v>
      </c>
      <c r="O2" s="1">
        <f>'MSC Lista Verific. Inspeccion'!B18</f>
        <v>0</v>
      </c>
      <c r="P2" s="1">
        <f>'MSC Lista Verific. Inspeccion'!B19</f>
        <v>0</v>
      </c>
      <c r="Q2" s="1">
        <f>'MSC Lista Verific. Inspeccion'!F14</f>
        <v>0</v>
      </c>
      <c r="R2" s="1">
        <f>'MSC Lista Verific. Inspeccion'!F15</f>
        <v>0</v>
      </c>
      <c r="S2" s="1">
        <f>'MSC Lista Verific. Inspeccion'!F16</f>
        <v>0</v>
      </c>
      <c r="T2" s="1">
        <f>'MSC Lista Verific. Inspeccion'!F17</f>
        <v>0</v>
      </c>
      <c r="U2" s="1">
        <f>'MSC Lista Verific. Inspeccion'!F18</f>
        <v>0</v>
      </c>
      <c r="V2" s="1">
        <f>'MSC Lista Verific. Inspeccion'!F19</f>
        <v>0</v>
      </c>
      <c r="W2" s="1" t="e">
        <f ca="1">_xludf.CONCAT('MSC Lista Verific. Inspeccion'!A166," ",'MSC Lista Verific. Inspeccion'!A167)</f>
        <v>#NAME?</v>
      </c>
      <c r="X2" s="1" t="e">
        <f ca="1">_xludf.CONCAT('MSC Lista Verific. Inspeccion'!A169," ",'MSC Lista Verific. Inspeccion'!A170," ")</f>
        <v>#NAME?</v>
      </c>
      <c r="Y2" s="1"/>
      <c r="Z2" s="1"/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24" customWidth="1"/>
    <col min="2" max="2" width="42.77734375" customWidth="1"/>
    <col min="3" max="26" width="9.109375" customWidth="1"/>
  </cols>
  <sheetData>
    <row r="1" spans="1:26" ht="12.7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3" t="str">
        <f ca="1">ISOP!$B$2</f>
        <v>yyyy0100-0-yyyy1003110802</v>
      </c>
      <c r="B2" s="1" t="str">
        <f>'MSC Lista Verific. Inspeccion'!$A$32</f>
        <v>1.  ORDEN Y ASEO (5Ss)</v>
      </c>
      <c r="C2" s="1" t="str">
        <f>'MSC Lista Verific. Inspeccion'!A34</f>
        <v>1.1</v>
      </c>
      <c r="D2" s="1">
        <f>'MSC Lista Verific. Inspeccion'!F34</f>
        <v>0</v>
      </c>
      <c r="E2" s="1">
        <f>'MSC Lista Verific. Inspeccion'!G34</f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3" t="str">
        <f ca="1">ISOP!$B$2</f>
        <v>yyyy0100-0-yyyy1003110802</v>
      </c>
      <c r="B3" s="1" t="str">
        <f>'MSC Lista Verific. Inspeccion'!$A$32</f>
        <v>1.  ORDEN Y ASEO (5Ss)</v>
      </c>
      <c r="C3" s="1" t="str">
        <f>'MSC Lista Verific. Inspeccion'!A35</f>
        <v>1.2</v>
      </c>
      <c r="D3" s="1">
        <f>'MSC Lista Verific. Inspeccion'!F35</f>
        <v>0</v>
      </c>
      <c r="E3" s="1">
        <f>'MSC Lista Verific. Inspeccion'!G35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3" t="str">
        <f ca="1">ISOP!$B$2</f>
        <v>yyyy0100-0-yyyy1003110802</v>
      </c>
      <c r="B4" s="1" t="str">
        <f>'MSC Lista Verific. Inspeccion'!$A$32</f>
        <v>1.  ORDEN Y ASEO (5Ss)</v>
      </c>
      <c r="C4" s="1" t="str">
        <f>'MSC Lista Verific. Inspeccion'!A36</f>
        <v>1.3</v>
      </c>
      <c r="D4" s="1">
        <f>'MSC Lista Verific. Inspeccion'!F36</f>
        <v>0</v>
      </c>
      <c r="E4" s="1">
        <f>'MSC Lista Verific. Inspeccion'!G36</f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3" t="str">
        <f ca="1">ISOP!$B$2</f>
        <v>yyyy0100-0-yyyy1003110802</v>
      </c>
      <c r="B5" s="1" t="str">
        <f>'MSC Lista Verific. Inspeccion'!$A$32</f>
        <v>1.  ORDEN Y ASEO (5Ss)</v>
      </c>
      <c r="C5" s="1" t="str">
        <f>'MSC Lista Verific. Inspeccion'!A37</f>
        <v>1.4</v>
      </c>
      <c r="D5" s="1">
        <f>'MSC Lista Verific. Inspeccion'!F37</f>
        <v>0</v>
      </c>
      <c r="E5" s="1">
        <f>'MSC Lista Verific. Inspeccion'!G37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3" t="str">
        <f ca="1">ISOP!$B$2</f>
        <v>yyyy0100-0-yyyy1003110802</v>
      </c>
      <c r="B6" s="1" t="str">
        <f>'MSC Lista Verific. Inspeccion'!$A$32</f>
        <v>1.  ORDEN Y ASEO (5Ss)</v>
      </c>
      <c r="C6" s="1" t="str">
        <f>'MSC Lista Verific. Inspeccion'!A38</f>
        <v>1.5</v>
      </c>
      <c r="D6" s="1">
        <f>'MSC Lista Verific. Inspeccion'!F38</f>
        <v>0</v>
      </c>
      <c r="E6" s="1">
        <f>'MSC Lista Verific. Inspeccion'!G38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3" t="str">
        <f ca="1">ISOP!$B$2</f>
        <v>yyyy0100-0-yyyy1003110802</v>
      </c>
      <c r="B7" s="1" t="str">
        <f>'MSC Lista Verific. Inspeccion'!$A$32</f>
        <v>1.  ORDEN Y ASEO (5Ss)</v>
      </c>
      <c r="C7" s="1" t="str">
        <f>'MSC Lista Verific. Inspeccion'!A39</f>
        <v>1.6</v>
      </c>
      <c r="D7" s="1">
        <f>'MSC Lista Verific. Inspeccion'!F39</f>
        <v>0</v>
      </c>
      <c r="E7" s="1">
        <f>'MSC Lista Verific. Inspeccion'!G39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3" t="str">
        <f ca="1">ISOP!$B$2</f>
        <v>yyyy0100-0-yyyy1003110802</v>
      </c>
      <c r="B8" s="1" t="str">
        <f>'MSC Lista Verific. Inspeccion'!$A$32</f>
        <v>1.  ORDEN Y ASEO (5Ss)</v>
      </c>
      <c r="C8" s="1" t="str">
        <f>'MSC Lista Verific. Inspeccion'!A40</f>
        <v>1.7</v>
      </c>
      <c r="D8" s="1">
        <f>'MSC Lista Verific. Inspeccion'!F40</f>
        <v>0</v>
      </c>
      <c r="E8" s="1">
        <f>'MSC Lista Verific. Inspeccion'!G40</f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3" t="str">
        <f ca="1">ISOP!$B$2</f>
        <v>yyyy0100-0-yyyy1003110802</v>
      </c>
      <c r="B9" s="1" t="str">
        <f>'MSC Lista Verific. Inspeccion'!$A$32</f>
        <v>1.  ORDEN Y ASEO (5Ss)</v>
      </c>
      <c r="C9" s="1" t="str">
        <f>'MSC Lista Verific. Inspeccion'!A41</f>
        <v>1.8</v>
      </c>
      <c r="D9" s="1">
        <f>'MSC Lista Verific. Inspeccion'!F41</f>
        <v>0</v>
      </c>
      <c r="E9" s="1">
        <f>'MSC Lista Verific. Inspeccion'!G41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3" t="str">
        <f ca="1">ISOP!$B$2</f>
        <v>yyyy0100-0-yyyy1003110802</v>
      </c>
      <c r="B10" s="1" t="str">
        <f>'MSC Lista Verific. Inspeccion'!$A$32</f>
        <v>1.  ORDEN Y ASEO (5Ss)</v>
      </c>
      <c r="C10" s="1" t="str">
        <f>'MSC Lista Verific. Inspeccion'!A42</f>
        <v>1.9</v>
      </c>
      <c r="D10" s="1">
        <f>'MSC Lista Verific. Inspeccion'!F42</f>
        <v>0</v>
      </c>
      <c r="E10" s="1">
        <f>'MSC Lista Verific. Inspeccion'!G42</f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3" t="str">
        <f ca="1">ISOP!$B$2</f>
        <v>yyyy0100-0-yyyy1003110802</v>
      </c>
      <c r="B11" s="1" t="str">
        <f>'MSC Lista Verific. Inspeccion'!$A$32</f>
        <v>1.  ORDEN Y ASEO (5Ss)</v>
      </c>
      <c r="C11" s="1" t="str">
        <f>'MSC Lista Verific. Inspeccion'!A43</f>
        <v>1.10</v>
      </c>
      <c r="D11" s="1">
        <f>'MSC Lista Verific. Inspeccion'!F43</f>
        <v>0</v>
      </c>
      <c r="E11" s="1">
        <f>'MSC Lista Verific. Inspeccion'!G43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3" t="str">
        <f ca="1">ISOP!$B$2</f>
        <v>yyyy0100-0-yyyy1003110802</v>
      </c>
      <c r="B12" s="1" t="str">
        <f>'MSC Lista Verific. Inspeccion'!$A$32</f>
        <v>1.  ORDEN Y ASEO (5Ss)</v>
      </c>
      <c r="C12" s="1" t="str">
        <f>'MSC Lista Verific. Inspeccion'!A44</f>
        <v>1.11</v>
      </c>
      <c r="D12" s="1">
        <f>'MSC Lista Verific. Inspeccion'!F44</f>
        <v>0</v>
      </c>
      <c r="E12" s="1">
        <f>'MSC Lista Verific. Inspeccion'!G44</f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3" t="str">
        <f ca="1">ISOP!$B$2</f>
        <v>yyyy0100-0-yyyy1003110802</v>
      </c>
      <c r="B13" s="1" t="str">
        <f>'MSC Lista Verific. Inspeccion'!$A$32</f>
        <v>1.  ORDEN Y ASEO (5Ss)</v>
      </c>
      <c r="C13" s="1" t="str">
        <f>'MSC Lista Verific. Inspeccion'!A45</f>
        <v>1.12</v>
      </c>
      <c r="D13" s="1">
        <f>'MSC Lista Verific. Inspeccion'!F45</f>
        <v>0</v>
      </c>
      <c r="E13" s="1">
        <f>'MSC Lista Verific. Inspeccion'!G45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3" t="str">
        <f ca="1">ISOP!$B$2</f>
        <v>yyyy0100-0-yyyy1003110802</v>
      </c>
      <c r="B14" s="1" t="str">
        <f>'MSC Lista Verific. Inspeccion'!$A$46</f>
        <v>2.  PREPARACIÓN PARA EMERGENCIAS</v>
      </c>
      <c r="C14" s="1" t="str">
        <f>'MSC Lista Verific. Inspeccion'!A49</f>
        <v>2.1</v>
      </c>
      <c r="D14" s="1">
        <f>'MSC Lista Verific. Inspeccion'!F49</f>
        <v>0</v>
      </c>
      <c r="E14" s="1">
        <f>'MSC Lista Verific. Inspeccion'!G49</f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" t="str">
        <f ca="1">ISOP!$B$2</f>
        <v>yyyy0100-0-yyyy1003110802</v>
      </c>
      <c r="B15" s="1" t="str">
        <f>'MSC Lista Verific. Inspeccion'!$A$46</f>
        <v>2.  PREPARACIÓN PARA EMERGENCIAS</v>
      </c>
      <c r="C15" s="1" t="str">
        <f>'MSC Lista Verific. Inspeccion'!A50</f>
        <v>2.2</v>
      </c>
      <c r="D15" s="1">
        <f>'MSC Lista Verific. Inspeccion'!F50</f>
        <v>0</v>
      </c>
      <c r="E15" s="1">
        <f>'MSC Lista Verific. Inspeccion'!G50</f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3" t="str">
        <f ca="1">ISOP!$B$2</f>
        <v>yyyy0100-0-yyyy1003110802</v>
      </c>
      <c r="B16" s="1" t="str">
        <f>'MSC Lista Verific. Inspeccion'!$A$46</f>
        <v>2.  PREPARACIÓN PARA EMERGENCIAS</v>
      </c>
      <c r="C16" s="1" t="str">
        <f>'MSC Lista Verific. Inspeccion'!A51</f>
        <v>2.3</v>
      </c>
      <c r="D16" s="1">
        <f>'MSC Lista Verific. Inspeccion'!F51</f>
        <v>0</v>
      </c>
      <c r="E16" s="1">
        <f>'MSC Lista Verific. Inspeccion'!G51</f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3" t="str">
        <f ca="1">ISOP!$B$2</f>
        <v>yyyy0100-0-yyyy1003110802</v>
      </c>
      <c r="B17" s="1" t="str">
        <f>'MSC Lista Verific. Inspeccion'!$A$46</f>
        <v>2.  PREPARACIÓN PARA EMERGENCIAS</v>
      </c>
      <c r="C17" s="1" t="str">
        <f>'MSC Lista Verific. Inspeccion'!A52</f>
        <v>2.4</v>
      </c>
      <c r="D17" s="1">
        <f>'MSC Lista Verific. Inspeccion'!F52</f>
        <v>0</v>
      </c>
      <c r="E17" s="1">
        <f>'MSC Lista Verific. Inspeccion'!G52</f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3" t="str">
        <f ca="1">ISOP!$B$2</f>
        <v>yyyy0100-0-yyyy1003110802</v>
      </c>
      <c r="B18" s="1" t="str">
        <f>'MSC Lista Verific. Inspeccion'!$A$46</f>
        <v>2.  PREPARACIÓN PARA EMERGENCIAS</v>
      </c>
      <c r="C18" s="1" t="str">
        <f>'MSC Lista Verific. Inspeccion'!A53</f>
        <v>2.5</v>
      </c>
      <c r="D18" s="1">
        <f>'MSC Lista Verific. Inspeccion'!F53</f>
        <v>0</v>
      </c>
      <c r="E18" s="1">
        <f>'MSC Lista Verific. Inspeccion'!G53</f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3" t="str">
        <f ca="1">ISOP!$B$2</f>
        <v>yyyy0100-0-yyyy1003110802</v>
      </c>
      <c r="B19" s="1" t="str">
        <f>'MSC Lista Verific. Inspeccion'!$A$46</f>
        <v>2.  PREPARACIÓN PARA EMERGENCIAS</v>
      </c>
      <c r="C19" s="1" t="str">
        <f>'MSC Lista Verific. Inspeccion'!A54</f>
        <v>2.6</v>
      </c>
      <c r="D19" s="1">
        <f>'MSC Lista Verific. Inspeccion'!F54</f>
        <v>0</v>
      </c>
      <c r="E19" s="1">
        <f>'MSC Lista Verific. Inspeccion'!G54</f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3" t="str">
        <f ca="1">ISOP!$B$2</f>
        <v>yyyy0100-0-yyyy1003110802</v>
      </c>
      <c r="B20" s="1" t="str">
        <f>'MSC Lista Verific. Inspeccion'!$A$46</f>
        <v>2.  PREPARACIÓN PARA EMERGENCIAS</v>
      </c>
      <c r="C20" s="1" t="str">
        <f>'MSC Lista Verific. Inspeccion'!A55</f>
        <v>2.7</v>
      </c>
      <c r="D20" s="1">
        <f>'MSC Lista Verific. Inspeccion'!F55</f>
        <v>0</v>
      </c>
      <c r="E20" s="1">
        <f>'MSC Lista Verific. Inspeccion'!G55</f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3" t="str">
        <f ca="1">ISOP!$B$2</f>
        <v>yyyy0100-0-yyyy1003110802</v>
      </c>
      <c r="B21" s="1" t="str">
        <f>'MSC Lista Verific. Inspeccion'!$A$46</f>
        <v>2.  PREPARACIÓN PARA EMERGENCIAS</v>
      </c>
      <c r="C21" s="1" t="str">
        <f>'MSC Lista Verific. Inspeccion'!A56</f>
        <v>2.8</v>
      </c>
      <c r="D21" s="1">
        <f>'MSC Lista Verific. Inspeccion'!F56</f>
        <v>0</v>
      </c>
      <c r="E21" s="1">
        <f>'MSC Lista Verific. Inspeccion'!G56</f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3" t="str">
        <f ca="1">ISOP!$B$2</f>
        <v>yyyy0100-0-yyyy1003110802</v>
      </c>
      <c r="B22" s="1" t="str">
        <f>'MSC Lista Verific. Inspeccion'!$A$46</f>
        <v>2.  PREPARACIÓN PARA EMERGENCIAS</v>
      </c>
      <c r="C22" s="1" t="str">
        <f>'MSC Lista Verific. Inspeccion'!A57</f>
        <v>2.9</v>
      </c>
      <c r="D22" s="1">
        <f>'MSC Lista Verific. Inspeccion'!F57</f>
        <v>0</v>
      </c>
      <c r="E22" s="1">
        <f>'MSC Lista Verific. Inspeccion'!G57</f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3" t="str">
        <f ca="1">ISOP!$B$2</f>
        <v>yyyy0100-0-yyyy1003110802</v>
      </c>
      <c r="B23" s="1" t="str">
        <f>'MSC Lista Verific. Inspeccion'!$A$46</f>
        <v>2.  PREPARACIÓN PARA EMERGENCIAS</v>
      </c>
      <c r="C23" s="1" t="str">
        <f>'MSC Lista Verific. Inspeccion'!A58</f>
        <v>2.10</v>
      </c>
      <c r="D23" s="1">
        <f>'MSC Lista Verific. Inspeccion'!F58</f>
        <v>0</v>
      </c>
      <c r="E23" s="1">
        <f>'MSC Lista Verific. Inspeccion'!G58</f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3" t="str">
        <f ca="1">ISOP!$B$2</f>
        <v>yyyy0100-0-yyyy1003110802</v>
      </c>
      <c r="B24" s="1" t="str">
        <f>'MSC Lista Verific. Inspeccion'!$A$46</f>
        <v>2.  PREPARACIÓN PARA EMERGENCIAS</v>
      </c>
      <c r="C24" s="1" t="str">
        <f>'MSC Lista Verific. Inspeccion'!A59</f>
        <v>2.11</v>
      </c>
      <c r="D24" s="1">
        <f>'MSC Lista Verific. Inspeccion'!F59</f>
        <v>0</v>
      </c>
      <c r="E24" s="1">
        <f>'MSC Lista Verific. Inspeccion'!G59</f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3" t="str">
        <f ca="1">ISOP!$B$2</f>
        <v>yyyy0100-0-yyyy1003110802</v>
      </c>
      <c r="B25" s="1" t="str">
        <f>'MSC Lista Verific. Inspeccion'!$A$46</f>
        <v>2.  PREPARACIÓN PARA EMERGENCIAS</v>
      </c>
      <c r="C25" s="1" t="str">
        <f>'MSC Lista Verific. Inspeccion'!A60</f>
        <v>2.12</v>
      </c>
      <c r="D25" s="1">
        <f>'MSC Lista Verific. Inspeccion'!F60</f>
        <v>0</v>
      </c>
      <c r="E25" s="1">
        <f>'MSC Lista Verific. Inspeccion'!G60</f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3" t="str">
        <f ca="1">ISOP!$B$2</f>
        <v>yyyy0100-0-yyyy1003110802</v>
      </c>
      <c r="B26" s="1" t="str">
        <f>'MSC Lista Verific. Inspeccion'!$A$46</f>
        <v>2.  PREPARACIÓN PARA EMERGENCIAS</v>
      </c>
      <c r="C26" s="1" t="str">
        <f>'MSC Lista Verific. Inspeccion'!A61</f>
        <v>2.13</v>
      </c>
      <c r="D26" s="1">
        <f>'MSC Lista Verific. Inspeccion'!F61</f>
        <v>0</v>
      </c>
      <c r="E26" s="1">
        <f>'MSC Lista Verific. Inspeccion'!G61</f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3" t="str">
        <f ca="1">ISOP!$B$2</f>
        <v>yyyy0100-0-yyyy1003110802</v>
      </c>
      <c r="B27" s="1" t="str">
        <f>'MSC Lista Verific. Inspeccion'!$A$46</f>
        <v>2.  PREPARACIÓN PARA EMERGENCIAS</v>
      </c>
      <c r="C27" s="1" t="str">
        <f>'MSC Lista Verific. Inspeccion'!A62</f>
        <v>2.14</v>
      </c>
      <c r="D27" s="1">
        <f>'MSC Lista Verific. Inspeccion'!F62</f>
        <v>0</v>
      </c>
      <c r="E27" s="1">
        <f>'MSC Lista Verific. Inspeccion'!G62</f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3" t="str">
        <f ca="1">ISOP!$B$2</f>
        <v>yyyy0100-0-yyyy1003110802</v>
      </c>
      <c r="B28" s="1" t="str">
        <f>'MSC Lista Verific. Inspeccion'!$A$46</f>
        <v>2.  PREPARACIÓN PARA EMERGENCIAS</v>
      </c>
      <c r="C28" s="24" t="str">
        <f>'MSC Lista Verific. Inspeccion'!A63</f>
        <v>2.15</v>
      </c>
      <c r="D28" s="1">
        <f>'MSC Lista Verific. Inspeccion'!F63</f>
        <v>0</v>
      </c>
      <c r="E28" s="1">
        <f>'MSC Lista Verific. Inspeccion'!G63</f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3" t="str">
        <f ca="1">ISOP!$B$2</f>
        <v>yyyy0100-0-yyyy1003110802</v>
      </c>
      <c r="B29" s="1" t="str">
        <f>'MSC Lista Verific. Inspeccion'!$A$46</f>
        <v>2.  PREPARACIÓN PARA EMERGENCIAS</v>
      </c>
      <c r="C29" s="24" t="str">
        <f>'MSC Lista Verific. Inspeccion'!A64</f>
        <v>2.16</v>
      </c>
      <c r="D29" s="1">
        <f>'MSC Lista Verific. Inspeccion'!F64</f>
        <v>0</v>
      </c>
      <c r="E29" s="1">
        <f>'MSC Lista Verific. Inspeccion'!G64</f>
        <v>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3" t="str">
        <f ca="1">ISOP!$B$2</f>
        <v>yyyy0100-0-yyyy1003110802</v>
      </c>
      <c r="B30" s="1" t="str">
        <f>'MSC Lista Verific. Inspeccion'!$A$46</f>
        <v>2.  PREPARACIÓN PARA EMERGENCIAS</v>
      </c>
      <c r="C30" s="24" t="str">
        <f>'MSC Lista Verific. Inspeccion'!A65</f>
        <v>2.17</v>
      </c>
      <c r="D30" s="1">
        <f>'MSC Lista Verific. Inspeccion'!F65</f>
        <v>0</v>
      </c>
      <c r="E30" s="1">
        <f>'MSC Lista Verific. Inspeccion'!G65</f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3" t="str">
        <f ca="1">ISOP!$B$2</f>
        <v>yyyy0100-0-yyyy1003110802</v>
      </c>
      <c r="B31" s="1" t="str">
        <f>'MSC Lista Verific. Inspeccion'!$A$66</f>
        <v>3. ELEMENTOS DE PROTECCIÓN PERSONAL</v>
      </c>
      <c r="C31" s="1" t="str">
        <f>'MSC Lista Verific. Inspeccion'!A68</f>
        <v>3.1</v>
      </c>
      <c r="D31" s="1">
        <f>'MSC Lista Verific. Inspeccion'!F68</f>
        <v>0</v>
      </c>
      <c r="E31" s="1">
        <f>'MSC Lista Verific. Inspeccion'!G68</f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3" t="str">
        <f ca="1">ISOP!$B$2</f>
        <v>yyyy0100-0-yyyy1003110802</v>
      </c>
      <c r="B32" s="1" t="str">
        <f>'MSC Lista Verific. Inspeccion'!$A$66</f>
        <v>3. ELEMENTOS DE PROTECCIÓN PERSONAL</v>
      </c>
      <c r="C32" s="1" t="str">
        <f>'MSC Lista Verific. Inspeccion'!A69</f>
        <v>3.2</v>
      </c>
      <c r="D32" s="1">
        <f>'MSC Lista Verific. Inspeccion'!F69</f>
        <v>0</v>
      </c>
      <c r="E32" s="1">
        <f>'MSC Lista Verific. Inspeccion'!G69</f>
        <v>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3" t="str">
        <f ca="1">ISOP!$B$2</f>
        <v>yyyy0100-0-yyyy1003110802</v>
      </c>
      <c r="B33" s="1" t="str">
        <f>'MSC Lista Verific. Inspeccion'!$A$66</f>
        <v>3. ELEMENTOS DE PROTECCIÓN PERSONAL</v>
      </c>
      <c r="C33" s="1" t="str">
        <f>'MSC Lista Verific. Inspeccion'!A70</f>
        <v>3.3</v>
      </c>
      <c r="D33" s="1">
        <f>'MSC Lista Verific. Inspeccion'!F70</f>
        <v>0</v>
      </c>
      <c r="E33" s="1">
        <f>'MSC Lista Verific. Inspeccion'!G70</f>
        <v>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3" t="str">
        <f ca="1">ISOP!$B$2</f>
        <v>yyyy0100-0-yyyy1003110802</v>
      </c>
      <c r="B34" s="1" t="str">
        <f>'MSC Lista Verific. Inspeccion'!$A$66</f>
        <v>3. ELEMENTOS DE PROTECCIÓN PERSONAL</v>
      </c>
      <c r="C34" s="1" t="str">
        <f>'MSC Lista Verific. Inspeccion'!A71</f>
        <v>3.4</v>
      </c>
      <c r="D34" s="1">
        <f>'MSC Lista Verific. Inspeccion'!F71</f>
        <v>0</v>
      </c>
      <c r="E34" s="1">
        <f>'MSC Lista Verific. Inspeccion'!G71</f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3" t="str">
        <f ca="1">ISOP!$B$2</f>
        <v>yyyy0100-0-yyyy1003110802</v>
      </c>
      <c r="B35" s="1" t="str">
        <f>'MSC Lista Verific. Inspeccion'!$A$66</f>
        <v>3. ELEMENTOS DE PROTECCIÓN PERSONAL</v>
      </c>
      <c r="C35" s="1" t="str">
        <f>'MSC Lista Verific. Inspeccion'!A72</f>
        <v>3.5</v>
      </c>
      <c r="D35" s="1">
        <f>'MSC Lista Verific. Inspeccion'!F72</f>
        <v>0</v>
      </c>
      <c r="E35" s="1">
        <f>'MSC Lista Verific. Inspeccion'!G72</f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3" t="str">
        <f ca="1">ISOP!$B$2</f>
        <v>yyyy0100-0-yyyy1003110802</v>
      </c>
      <c r="B36" s="1" t="str">
        <f>'MSC Lista Verific. Inspeccion'!$A$66</f>
        <v>3. ELEMENTOS DE PROTECCIÓN PERSONAL</v>
      </c>
      <c r="C36" s="1" t="str">
        <f>'MSC Lista Verific. Inspeccion'!A73</f>
        <v>3.6</v>
      </c>
      <c r="D36" s="1">
        <f>'MSC Lista Verific. Inspeccion'!F73</f>
        <v>0</v>
      </c>
      <c r="E36" s="1">
        <f>'MSC Lista Verific. Inspeccion'!G73</f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3" t="str">
        <f ca="1">ISOP!$B$2</f>
        <v>yyyy0100-0-yyyy1003110802</v>
      </c>
      <c r="B37" s="1" t="str">
        <f>'MSC Lista Verific. Inspeccion'!$A$66</f>
        <v>3. ELEMENTOS DE PROTECCIÓN PERSONAL</v>
      </c>
      <c r="C37" s="1" t="str">
        <f>'MSC Lista Verific. Inspeccion'!A74</f>
        <v>3.7</v>
      </c>
      <c r="D37" s="1">
        <f>'MSC Lista Verific. Inspeccion'!F74</f>
        <v>0</v>
      </c>
      <c r="E37" s="1">
        <f>'MSC Lista Verific. Inspeccion'!G74</f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3" t="str">
        <f ca="1">ISOP!$B$2</f>
        <v>yyyy0100-0-yyyy1003110802</v>
      </c>
      <c r="B38" s="1" t="str">
        <f>'MSC Lista Verific. Inspeccion'!$A$75</f>
        <v>4.  HERRAMIENTAS DE MANO</v>
      </c>
      <c r="C38" s="1" t="str">
        <f>'MSC Lista Verific. Inspeccion'!A77</f>
        <v>4.1</v>
      </c>
      <c r="D38" s="1">
        <f>'MSC Lista Verific. Inspeccion'!F77</f>
        <v>0</v>
      </c>
      <c r="E38" s="1">
        <f>'MSC Lista Verific. Inspeccion'!G77</f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3" t="str">
        <f ca="1">ISOP!$B$2</f>
        <v>yyyy0100-0-yyyy1003110802</v>
      </c>
      <c r="B39" s="1" t="str">
        <f>'MSC Lista Verific. Inspeccion'!$A$75</f>
        <v>4.  HERRAMIENTAS DE MANO</v>
      </c>
      <c r="C39" s="1" t="str">
        <f>'MSC Lista Verific. Inspeccion'!A78</f>
        <v>4.2</v>
      </c>
      <c r="D39" s="1">
        <f>'MSC Lista Verific. Inspeccion'!F78</f>
        <v>0</v>
      </c>
      <c r="E39" s="1">
        <f>'MSC Lista Verific. Inspeccion'!G78</f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3" t="str">
        <f ca="1">ISOP!$B$2</f>
        <v>yyyy0100-0-yyyy1003110802</v>
      </c>
      <c r="B40" s="1" t="str">
        <f>'MSC Lista Verific. Inspeccion'!$A$75</f>
        <v>4.  HERRAMIENTAS DE MANO</v>
      </c>
      <c r="C40" s="1" t="str">
        <f>'MSC Lista Verific. Inspeccion'!A79</f>
        <v>4.3</v>
      </c>
      <c r="D40" s="1">
        <f>'MSC Lista Verific. Inspeccion'!F79</f>
        <v>0</v>
      </c>
      <c r="E40" s="1">
        <f>'MSC Lista Verific. Inspeccion'!G79</f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3" t="str">
        <f ca="1">ISOP!$B$2</f>
        <v>yyyy0100-0-yyyy1003110802</v>
      </c>
      <c r="B41" s="1" t="str">
        <f>'MSC Lista Verific. Inspeccion'!$A$75</f>
        <v>4.  HERRAMIENTAS DE MANO</v>
      </c>
      <c r="C41" s="1" t="str">
        <f>'MSC Lista Verific. Inspeccion'!A80</f>
        <v>4.4</v>
      </c>
      <c r="D41" s="1">
        <f>'MSC Lista Verific. Inspeccion'!F80</f>
        <v>0</v>
      </c>
      <c r="E41" s="1">
        <f>'MSC Lista Verific. Inspeccion'!G80</f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3" t="str">
        <f ca="1">ISOP!$B$2</f>
        <v>yyyy0100-0-yyyy1003110802</v>
      </c>
      <c r="B42" s="1" t="str">
        <f>'MSC Lista Verific. Inspeccion'!$A$75</f>
        <v>4.  HERRAMIENTAS DE MANO</v>
      </c>
      <c r="C42" s="1" t="str">
        <f>'MSC Lista Verific. Inspeccion'!A81</f>
        <v>4.5</v>
      </c>
      <c r="D42" s="1">
        <f>'MSC Lista Verific. Inspeccion'!F81</f>
        <v>0</v>
      </c>
      <c r="E42" s="1">
        <f>'MSC Lista Verific. Inspeccion'!G81</f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3" t="str">
        <f ca="1">ISOP!$B$2</f>
        <v>yyyy0100-0-yyyy1003110802</v>
      </c>
      <c r="B43" s="1" t="str">
        <f>'MSC Lista Verific. Inspeccion'!$A$75</f>
        <v>4.  HERRAMIENTAS DE MANO</v>
      </c>
      <c r="C43" s="1" t="str">
        <f>'MSC Lista Verific. Inspeccion'!A82</f>
        <v>4.6</v>
      </c>
      <c r="D43" s="1">
        <f>'MSC Lista Verific. Inspeccion'!F82</f>
        <v>0</v>
      </c>
      <c r="E43" s="1">
        <f>'MSC Lista Verific. Inspeccion'!G82</f>
        <v>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3" t="str">
        <f ca="1">ISOP!$B$2</f>
        <v>yyyy0100-0-yyyy1003110802</v>
      </c>
      <c r="B44" s="1" t="str">
        <f>'MSC Lista Verific. Inspeccion'!$A$75</f>
        <v>4.  HERRAMIENTAS DE MANO</v>
      </c>
      <c r="C44" s="1" t="str">
        <f>'MSC Lista Verific. Inspeccion'!A83</f>
        <v>4.7</v>
      </c>
      <c r="D44" s="1">
        <f>'MSC Lista Verific. Inspeccion'!F83</f>
        <v>0</v>
      </c>
      <c r="E44" s="1">
        <f>'MSC Lista Verific. Inspeccion'!G83</f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3" t="str">
        <f ca="1">ISOP!$B$2</f>
        <v>yyyy0100-0-yyyy1003110802</v>
      </c>
      <c r="B45" s="1" t="str">
        <f>'MSC Lista Verific. Inspeccion'!$A$75</f>
        <v>4.  HERRAMIENTAS DE MANO</v>
      </c>
      <c r="C45" s="1" t="str">
        <f>'MSC Lista Verific. Inspeccion'!A84</f>
        <v>4.8</v>
      </c>
      <c r="D45" s="1">
        <f>'MSC Lista Verific. Inspeccion'!F84</f>
        <v>0</v>
      </c>
      <c r="E45" s="1">
        <f>'MSC Lista Verific. Inspeccion'!G84</f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3" t="str">
        <f ca="1">ISOP!$B$2</f>
        <v>yyyy0100-0-yyyy1003110802</v>
      </c>
      <c r="B46" s="1" t="str">
        <f>'MSC Lista Verific. Inspeccion'!$A$75</f>
        <v>4.  HERRAMIENTAS DE MANO</v>
      </c>
      <c r="C46" s="1" t="str">
        <f>'MSC Lista Verific. Inspeccion'!A85</f>
        <v>4.9</v>
      </c>
      <c r="D46" s="1">
        <f>'MSC Lista Verific. Inspeccion'!F85</f>
        <v>0</v>
      </c>
      <c r="E46" s="1">
        <f>'MSC Lista Verific. Inspeccion'!G85</f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3" t="str">
        <f ca="1">ISOP!$B$2</f>
        <v>yyyy0100-0-yyyy1003110802</v>
      </c>
      <c r="B47" s="1" t="str">
        <f>'MSC Lista Verific. Inspeccion'!$A$75</f>
        <v>4.  HERRAMIENTAS DE MANO</v>
      </c>
      <c r="C47" s="24" t="str">
        <f>'MSC Lista Verific. Inspeccion'!A86</f>
        <v>4.10</v>
      </c>
      <c r="D47" s="1">
        <f>'MSC Lista Verific. Inspeccion'!F86</f>
        <v>0</v>
      </c>
      <c r="E47" s="1">
        <f>'MSC Lista Verific. Inspeccion'!G86</f>
        <v>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3" t="str">
        <f ca="1">ISOP!$B$2</f>
        <v>yyyy0100-0-yyyy1003110802</v>
      </c>
      <c r="B48" s="1" t="str">
        <f>'MSC Lista Verific. Inspeccion'!$A$75</f>
        <v>4.  HERRAMIENTAS DE MANO</v>
      </c>
      <c r="C48" s="1" t="str">
        <f>'MSC Lista Verific. Inspeccion'!A87</f>
        <v>4.11</v>
      </c>
      <c r="D48" s="1">
        <f>'MSC Lista Verific. Inspeccion'!F87</f>
        <v>0</v>
      </c>
      <c r="E48" s="1">
        <f>'MSC Lista Verific. Inspeccion'!G87</f>
        <v>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3" t="str">
        <f ca="1">ISOP!$B$2</f>
        <v>yyyy0100-0-yyyy1003110802</v>
      </c>
      <c r="B49" s="1" t="str">
        <f>'MSC Lista Verific. Inspeccion'!$A$88</f>
        <v>5.- INSTALACIONES DE FAENA/ OFICINAS</v>
      </c>
      <c r="C49" s="1" t="str">
        <f>'MSC Lista Verific. Inspeccion'!A91</f>
        <v>5.1</v>
      </c>
      <c r="D49" s="1">
        <f>'MSC Lista Verific. Inspeccion'!F91</f>
        <v>0</v>
      </c>
      <c r="E49" s="1">
        <f>'MSC Lista Verific. Inspeccion'!G91</f>
        <v>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3" t="str">
        <f ca="1">ISOP!$B$2</f>
        <v>yyyy0100-0-yyyy1003110802</v>
      </c>
      <c r="B50" s="1" t="str">
        <f>'MSC Lista Verific. Inspeccion'!$A$88</f>
        <v>5.- INSTALACIONES DE FAENA/ OFICINAS</v>
      </c>
      <c r="C50" s="1" t="str">
        <f>'MSC Lista Verific. Inspeccion'!A92</f>
        <v>5.2</v>
      </c>
      <c r="D50" s="1">
        <f>'MSC Lista Verific. Inspeccion'!F92</f>
        <v>0</v>
      </c>
      <c r="E50" s="1">
        <f>'MSC Lista Verific. Inspeccion'!G92</f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3" t="str">
        <f ca="1">ISOP!$B$2</f>
        <v>yyyy0100-0-yyyy1003110802</v>
      </c>
      <c r="B51" s="1" t="str">
        <f>'MSC Lista Verific. Inspeccion'!$A$88</f>
        <v>5.- INSTALACIONES DE FAENA/ OFICINAS</v>
      </c>
      <c r="C51" s="1" t="str">
        <f>'MSC Lista Verific. Inspeccion'!A93</f>
        <v>5.3</v>
      </c>
      <c r="D51" s="1">
        <f>'MSC Lista Verific. Inspeccion'!F93</f>
        <v>0</v>
      </c>
      <c r="E51" s="1">
        <f>'MSC Lista Verific. Inspeccion'!G93</f>
        <v>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3" t="str">
        <f ca="1">ISOP!$B$2</f>
        <v>yyyy0100-0-yyyy1003110802</v>
      </c>
      <c r="B52" s="1" t="str">
        <f>'MSC Lista Verific. Inspeccion'!$A$88</f>
        <v>5.- INSTALACIONES DE FAENA/ OFICINAS</v>
      </c>
      <c r="C52" s="1" t="str">
        <f>'MSC Lista Verific. Inspeccion'!A94</f>
        <v>5.4</v>
      </c>
      <c r="D52" s="1">
        <f>'MSC Lista Verific. Inspeccion'!F94</f>
        <v>0</v>
      </c>
      <c r="E52" s="1">
        <f>'MSC Lista Verific. Inspeccion'!G94</f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3" t="str">
        <f ca="1">ISOP!$B$2</f>
        <v>yyyy0100-0-yyyy1003110802</v>
      </c>
      <c r="B53" s="1" t="str">
        <f>'MSC Lista Verific. Inspeccion'!$A$88</f>
        <v>5.- INSTALACIONES DE FAENA/ OFICINAS</v>
      </c>
      <c r="C53" s="1" t="str">
        <f>'MSC Lista Verific. Inspeccion'!A95</f>
        <v>5.5</v>
      </c>
      <c r="D53" s="1">
        <f>'MSC Lista Verific. Inspeccion'!F95</f>
        <v>0</v>
      </c>
      <c r="E53" s="1">
        <f>'MSC Lista Verific. Inspeccion'!G95</f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3" t="str">
        <f ca="1">ISOP!$B$2</f>
        <v>yyyy0100-0-yyyy1003110802</v>
      </c>
      <c r="B54" s="1" t="str">
        <f>'MSC Lista Verific. Inspeccion'!$A$88</f>
        <v>5.- INSTALACIONES DE FAENA/ OFICINAS</v>
      </c>
      <c r="C54" s="1" t="str">
        <f>'MSC Lista Verific. Inspeccion'!A96</f>
        <v>5.6</v>
      </c>
      <c r="D54" s="1">
        <f>'MSC Lista Verific. Inspeccion'!F96</f>
        <v>0</v>
      </c>
      <c r="E54" s="1">
        <f>'MSC Lista Verific. Inspeccion'!G96</f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3" t="str">
        <f ca="1">ISOP!$B$2</f>
        <v>yyyy0100-0-yyyy1003110802</v>
      </c>
      <c r="B55" s="1" t="str">
        <f>'MSC Lista Verific. Inspeccion'!$A$88</f>
        <v>5.- INSTALACIONES DE FAENA/ OFICINAS</v>
      </c>
      <c r="C55" s="1" t="str">
        <f>'MSC Lista Verific. Inspeccion'!A97</f>
        <v>5.7</v>
      </c>
      <c r="D55" s="1">
        <f>'MSC Lista Verific. Inspeccion'!F97</f>
        <v>0</v>
      </c>
      <c r="E55" s="1">
        <f>'MSC Lista Verific. Inspeccion'!G97</f>
        <v>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3" t="str">
        <f ca="1">ISOP!$B$2</f>
        <v>yyyy0100-0-yyyy1003110802</v>
      </c>
      <c r="B56" s="1" t="str">
        <f>'MSC Lista Verific. Inspeccion'!$A$88</f>
        <v>5.- INSTALACIONES DE FAENA/ OFICINAS</v>
      </c>
      <c r="C56" s="1" t="str">
        <f>'MSC Lista Verific. Inspeccion'!A98</f>
        <v>5.8</v>
      </c>
      <c r="D56" s="1">
        <f>'MSC Lista Verific. Inspeccion'!F98</f>
        <v>0</v>
      </c>
      <c r="E56" s="1">
        <f>'MSC Lista Verific. Inspeccion'!G98</f>
        <v>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3" t="str">
        <f ca="1">ISOP!$B$2</f>
        <v>yyyy0100-0-yyyy1003110802</v>
      </c>
      <c r="B57" s="1" t="str">
        <f>'MSC Lista Verific. Inspeccion'!$A$88</f>
        <v>5.- INSTALACIONES DE FAENA/ OFICINAS</v>
      </c>
      <c r="C57" s="1" t="str">
        <f>'MSC Lista Verific. Inspeccion'!A100</f>
        <v>5.9</v>
      </c>
      <c r="D57" s="1">
        <f>'MSC Lista Verific. Inspeccion'!F100</f>
        <v>0</v>
      </c>
      <c r="E57" s="1">
        <f>'MSC Lista Verific. Inspeccion'!G100</f>
        <v>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3" t="str">
        <f ca="1">ISOP!$B$2</f>
        <v>yyyy0100-0-yyyy1003110802</v>
      </c>
      <c r="B58" s="1" t="str">
        <f>'MSC Lista Verific. Inspeccion'!$A$88</f>
        <v>5.- INSTALACIONES DE FAENA/ OFICINAS</v>
      </c>
      <c r="C58" s="24" t="str">
        <f>'MSC Lista Verific. Inspeccion'!A101</f>
        <v>5.10</v>
      </c>
      <c r="D58" s="1">
        <f>'MSC Lista Verific. Inspeccion'!F101</f>
        <v>0</v>
      </c>
      <c r="E58" s="1">
        <f>'MSC Lista Verific. Inspeccion'!G101</f>
        <v>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3" t="str">
        <f ca="1">ISOP!$B$2</f>
        <v>yyyy0100-0-yyyy1003110802</v>
      </c>
      <c r="B59" s="1" t="str">
        <f>'MSC Lista Verific. Inspeccion'!$A$88</f>
        <v>5.- INSTALACIONES DE FAENA/ OFICINAS</v>
      </c>
      <c r="C59" s="24" t="str">
        <f>'MSC Lista Verific. Inspeccion'!A102</f>
        <v>5.11</v>
      </c>
      <c r="D59" s="1">
        <f>'MSC Lista Verific. Inspeccion'!F102</f>
        <v>0</v>
      </c>
      <c r="E59" s="1">
        <f>'MSC Lista Verific. Inspeccion'!G102</f>
        <v>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3" t="str">
        <f ca="1">ISOP!$B$2</f>
        <v>yyyy0100-0-yyyy1003110802</v>
      </c>
      <c r="B60" s="1" t="str">
        <f>'MSC Lista Verific. Inspeccion'!$A$88</f>
        <v>5.- INSTALACIONES DE FAENA/ OFICINAS</v>
      </c>
      <c r="C60" s="1" t="str">
        <f>'MSC Lista Verific. Inspeccion'!A104</f>
        <v>5.12</v>
      </c>
      <c r="D60" s="1">
        <f>'MSC Lista Verific. Inspeccion'!F104</f>
        <v>0</v>
      </c>
      <c r="E60" s="1">
        <f>'MSC Lista Verific. Inspeccion'!G104</f>
        <v>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3" t="str">
        <f ca="1">ISOP!$B$2</f>
        <v>yyyy0100-0-yyyy1003110802</v>
      </c>
      <c r="B61" s="1" t="str">
        <f>'MSC Lista Verific. Inspeccion'!$A$88</f>
        <v>5.- INSTALACIONES DE FAENA/ OFICINAS</v>
      </c>
      <c r="C61" s="1" t="str">
        <f>'MSC Lista Verific. Inspeccion'!A105</f>
        <v>5.13</v>
      </c>
      <c r="D61" s="1">
        <f>'MSC Lista Verific. Inspeccion'!F105</f>
        <v>0</v>
      </c>
      <c r="E61" s="1">
        <f>'MSC Lista Verific. Inspeccion'!G105</f>
        <v>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3" t="str">
        <f ca="1">ISOP!$B$2</f>
        <v>yyyy0100-0-yyyy1003110802</v>
      </c>
      <c r="B62" s="1" t="str">
        <f>'MSC Lista Verific. Inspeccion'!$A$88</f>
        <v>5.- INSTALACIONES DE FAENA/ OFICINAS</v>
      </c>
      <c r="C62" s="1" t="str">
        <f>'MSC Lista Verific. Inspeccion'!A106</f>
        <v>5.14</v>
      </c>
      <c r="D62" s="1">
        <f>'MSC Lista Verific. Inspeccion'!F106</f>
        <v>0</v>
      </c>
      <c r="E62" s="1">
        <f>'MSC Lista Verific. Inspeccion'!G106</f>
        <v>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3" t="str">
        <f ca="1">ISOP!$B$2</f>
        <v>yyyy0100-0-yyyy1003110802</v>
      </c>
      <c r="B63" s="1" t="str">
        <f>'MSC Lista Verific. Inspeccion'!$A$88</f>
        <v>5.- INSTALACIONES DE FAENA/ OFICINAS</v>
      </c>
      <c r="C63" s="1" t="str">
        <f>'MSC Lista Verific. Inspeccion'!A107</f>
        <v>5.15</v>
      </c>
      <c r="D63" s="1">
        <f>'MSC Lista Verific. Inspeccion'!F107</f>
        <v>0</v>
      </c>
      <c r="E63" s="1">
        <f>'MSC Lista Verific. Inspeccion'!G107</f>
        <v>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3" t="str">
        <f ca="1">ISOP!$B$2</f>
        <v>yyyy0100-0-yyyy1003110802</v>
      </c>
      <c r="B64" s="1" t="str">
        <f>'MSC Lista Verific. Inspeccion'!$A$88</f>
        <v>5.- INSTALACIONES DE FAENA/ OFICINAS</v>
      </c>
      <c r="C64" s="1" t="str">
        <f>'MSC Lista Verific. Inspeccion'!A108</f>
        <v>5.16</v>
      </c>
      <c r="D64" s="1">
        <f>'MSC Lista Verific. Inspeccion'!F108</f>
        <v>0</v>
      </c>
      <c r="E64" s="1">
        <f>'MSC Lista Verific. Inspeccion'!G108</f>
        <v>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3" t="str">
        <f ca="1">ISOP!$B$2</f>
        <v>yyyy0100-0-yyyy1003110802</v>
      </c>
      <c r="B65" s="1" t="str">
        <f>'MSC Lista Verific. Inspeccion'!$A$88</f>
        <v>5.- INSTALACIONES DE FAENA/ OFICINAS</v>
      </c>
      <c r="C65" s="1" t="str">
        <f>'MSC Lista Verific. Inspeccion'!A110</f>
        <v>5.17</v>
      </c>
      <c r="D65" s="1">
        <f>'MSC Lista Verific. Inspeccion'!F110</f>
        <v>0</v>
      </c>
      <c r="E65" s="1">
        <f>'MSC Lista Verific. Inspeccion'!G110</f>
        <v>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3" t="str">
        <f ca="1">ISOP!$B$2</f>
        <v>yyyy0100-0-yyyy1003110802</v>
      </c>
      <c r="B66" s="1" t="str">
        <f>'MSC Lista Verific. Inspeccion'!$A$88</f>
        <v>5.- INSTALACIONES DE FAENA/ OFICINAS</v>
      </c>
      <c r="C66" s="24" t="str">
        <f>'MSC Lista Verific. Inspeccion'!A111</f>
        <v>5.18</v>
      </c>
      <c r="D66" s="1">
        <f>'MSC Lista Verific. Inspeccion'!F111</f>
        <v>0</v>
      </c>
      <c r="E66" s="1">
        <f>'MSC Lista Verific. Inspeccion'!G111</f>
        <v>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3" t="str">
        <f ca="1">ISOP!$B$2</f>
        <v>yyyy0100-0-yyyy1003110802</v>
      </c>
      <c r="B67" s="1" t="str">
        <f>'MSC Lista Verific. Inspeccion'!$A$88</f>
        <v>5.- INSTALACIONES DE FAENA/ OFICINAS</v>
      </c>
      <c r="C67" s="1" t="str">
        <f>'MSC Lista Verific. Inspeccion'!A112</f>
        <v>5.19</v>
      </c>
      <c r="D67" s="1">
        <f>'MSC Lista Verific. Inspeccion'!F112</f>
        <v>0</v>
      </c>
      <c r="E67" s="1">
        <f>'MSC Lista Verific. Inspeccion'!G112</f>
        <v>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3" t="str">
        <f ca="1">ISOP!$B$2</f>
        <v>yyyy0100-0-yyyy1003110802</v>
      </c>
      <c r="B68" s="1" t="str">
        <f>'MSC Lista Verific. Inspeccion'!$A$88</f>
        <v>5.- INSTALACIONES DE FAENA/ OFICINAS</v>
      </c>
      <c r="C68" s="24" t="str">
        <f>'MSC Lista Verific. Inspeccion'!A113</f>
        <v>5.20</v>
      </c>
      <c r="D68" s="1">
        <f>'MSC Lista Verific. Inspeccion'!F113</f>
        <v>0</v>
      </c>
      <c r="E68" s="1">
        <f>'MSC Lista Verific. Inspeccion'!G113</f>
        <v>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3" t="str">
        <f ca="1">ISOP!$B$2</f>
        <v>yyyy0100-0-yyyy1003110802</v>
      </c>
      <c r="B69" s="1" t="str">
        <f>'MSC Lista Verific. Inspeccion'!$A$88</f>
        <v>5.- INSTALACIONES DE FAENA/ OFICINAS</v>
      </c>
      <c r="C69" s="1" t="str">
        <f>'MSC Lista Verific. Inspeccion'!A114</f>
        <v>5.21</v>
      </c>
      <c r="D69" s="1">
        <f>'MSC Lista Verific. Inspeccion'!F114</f>
        <v>0</v>
      </c>
      <c r="E69" s="1">
        <f>'MSC Lista Verific. Inspeccion'!G114</f>
        <v>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3" t="str">
        <f ca="1">ISOP!$B$2</f>
        <v>yyyy0100-0-yyyy1003110802</v>
      </c>
      <c r="B70" s="1" t="str">
        <f>'MSC Lista Verific. Inspeccion'!$A$88</f>
        <v>5.- INSTALACIONES DE FAENA/ OFICINAS</v>
      </c>
      <c r="C70" s="24" t="str">
        <f>'MSC Lista Verific. Inspeccion'!A115</f>
        <v>5.22</v>
      </c>
      <c r="D70" s="1">
        <f>'MSC Lista Verific. Inspeccion'!F115</f>
        <v>0</v>
      </c>
      <c r="E70" s="1">
        <f>'MSC Lista Verific. Inspeccion'!G115</f>
        <v>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3" t="str">
        <f ca="1">ISOP!$B$2</f>
        <v>yyyy0100-0-yyyy1003110802</v>
      </c>
      <c r="B71" s="1" t="str">
        <f>'MSC Lista Verific. Inspeccion'!$A$88</f>
        <v>5.- INSTALACIONES DE FAENA/ OFICINAS</v>
      </c>
      <c r="C71" s="1" t="str">
        <f>'MSC Lista Verific. Inspeccion'!A116</f>
        <v>5.23</v>
      </c>
      <c r="D71" s="1">
        <f>'MSC Lista Verific. Inspeccion'!F116</f>
        <v>0</v>
      </c>
      <c r="E71" s="1">
        <f>'MSC Lista Verific. Inspeccion'!G116</f>
        <v>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3" t="str">
        <f ca="1">ISOP!$B$2</f>
        <v>yyyy0100-0-yyyy1003110802</v>
      </c>
      <c r="B72" s="1" t="str">
        <f>'MSC Lista Verific. Inspeccion'!$A$88</f>
        <v>5.- INSTALACIONES DE FAENA/ OFICINAS</v>
      </c>
      <c r="C72" s="24" t="str">
        <f>'MSC Lista Verific. Inspeccion'!A117</f>
        <v>5.24</v>
      </c>
      <c r="D72" s="1">
        <f>'MSC Lista Verific. Inspeccion'!F117</f>
        <v>0</v>
      </c>
      <c r="E72" s="1">
        <f>'MSC Lista Verific. Inspeccion'!G117</f>
        <v>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3" t="str">
        <f ca="1">ISOP!$B$2</f>
        <v>yyyy0100-0-yyyy1003110802</v>
      </c>
      <c r="B73" s="1" t="str">
        <f>'MSC Lista Verific. Inspeccion'!$A$88</f>
        <v>5.- INSTALACIONES DE FAENA/ OFICINAS</v>
      </c>
      <c r="C73" s="1" t="str">
        <f>'MSC Lista Verific. Inspeccion'!A118</f>
        <v>5.25</v>
      </c>
      <c r="D73" s="1">
        <f>'MSC Lista Verific. Inspeccion'!F118</f>
        <v>0</v>
      </c>
      <c r="E73" s="1">
        <f>'MSC Lista Verific. Inspeccion'!G118</f>
        <v>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3" t="str">
        <f ca="1">ISOP!$B$2</f>
        <v>yyyy0100-0-yyyy1003110802</v>
      </c>
      <c r="B74" s="1" t="str">
        <f>'MSC Lista Verific. Inspeccion'!$A$88</f>
        <v>5.- INSTALACIONES DE FAENA/ OFICINAS</v>
      </c>
      <c r="C74" s="24" t="str">
        <f>'MSC Lista Verific. Inspeccion'!A119</f>
        <v>5.26</v>
      </c>
      <c r="D74" s="1">
        <f>'MSC Lista Verific. Inspeccion'!F119</f>
        <v>0</v>
      </c>
      <c r="E74" s="1">
        <f>'MSC Lista Verific. Inspeccion'!G119</f>
        <v>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3" t="str">
        <f ca="1">ISOP!$B$2</f>
        <v>yyyy0100-0-yyyy1003110802</v>
      </c>
      <c r="B75" s="1" t="str">
        <f>'MSC Lista Verific. Inspeccion'!$A$88</f>
        <v>5.- INSTALACIONES DE FAENA/ OFICINAS</v>
      </c>
      <c r="C75" s="1" t="str">
        <f>'MSC Lista Verific. Inspeccion'!A120</f>
        <v>5.27</v>
      </c>
      <c r="D75" s="1">
        <f>'MSC Lista Verific. Inspeccion'!F120</f>
        <v>0</v>
      </c>
      <c r="E75" s="1">
        <f>'MSC Lista Verific. Inspeccion'!G120</f>
        <v>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3" t="str">
        <f ca="1">ISOP!$B$2</f>
        <v>yyyy0100-0-yyyy1003110802</v>
      </c>
      <c r="B76" s="1" t="str">
        <f>'MSC Lista Verific. Inspeccion'!$A$88</f>
        <v>5.- INSTALACIONES DE FAENA/ OFICINAS</v>
      </c>
      <c r="C76" s="24" t="str">
        <f>'MSC Lista Verific. Inspeccion'!A121</f>
        <v>5.28</v>
      </c>
      <c r="D76" s="1">
        <f>'MSC Lista Verific. Inspeccion'!F121</f>
        <v>0</v>
      </c>
      <c r="E76" s="1">
        <f>'MSC Lista Verific. Inspeccion'!G121</f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3" t="str">
        <f ca="1">ISOP!$B$2</f>
        <v>yyyy0100-0-yyyy1003110802</v>
      </c>
      <c r="B77" s="1" t="str">
        <f>'MSC Lista Verific. Inspeccion'!$A$88</f>
        <v>5.- INSTALACIONES DE FAENA/ OFICINAS</v>
      </c>
      <c r="C77" s="1" t="str">
        <f>'MSC Lista Verific. Inspeccion'!A122</f>
        <v>5.29</v>
      </c>
      <c r="D77" s="1">
        <f>'MSC Lista Verific. Inspeccion'!F122</f>
        <v>0</v>
      </c>
      <c r="E77" s="1">
        <f>'MSC Lista Verific. Inspeccion'!G122</f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3" t="str">
        <f ca="1">ISOP!$B$2</f>
        <v>yyyy0100-0-yyyy1003110802</v>
      </c>
      <c r="B78" s="1" t="str">
        <f>'MSC Lista Verific. Inspeccion'!$A$88</f>
        <v>5.- INSTALACIONES DE FAENA/ OFICINAS</v>
      </c>
      <c r="C78" s="24" t="str">
        <f>'MSC Lista Verific. Inspeccion'!A123</f>
        <v>5.30</v>
      </c>
      <c r="D78" s="1">
        <f>'MSC Lista Verific. Inspeccion'!F123</f>
        <v>0</v>
      </c>
      <c r="E78" s="1">
        <f>'MSC Lista Verific. Inspeccion'!G123</f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3" t="str">
        <f ca="1">ISOP!$B$2</f>
        <v>yyyy0100-0-yyyy1003110802</v>
      </c>
      <c r="B79" s="1" t="str">
        <f>'MSC Lista Verific. Inspeccion'!$A$88</f>
        <v>5.- INSTALACIONES DE FAENA/ OFICINAS</v>
      </c>
      <c r="C79" s="1" t="str">
        <f>'MSC Lista Verific. Inspeccion'!A124</f>
        <v>5.31</v>
      </c>
      <c r="D79" s="1">
        <f>'MSC Lista Verific. Inspeccion'!F124</f>
        <v>0</v>
      </c>
      <c r="E79" s="1">
        <f>'MSC Lista Verific. Inspeccion'!G124</f>
        <v>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3" t="str">
        <f ca="1">ISOP!$B$2</f>
        <v>yyyy0100-0-yyyy1003110802</v>
      </c>
      <c r="B80" s="1" t="str">
        <f>'MSC Lista Verific. Inspeccion'!$A$88</f>
        <v>5.- INSTALACIONES DE FAENA/ OFICINAS</v>
      </c>
      <c r="C80" s="24" t="str">
        <f>'MSC Lista Verific. Inspeccion'!A125</f>
        <v>5.32</v>
      </c>
      <c r="D80" s="1">
        <f>'MSC Lista Verific. Inspeccion'!F125</f>
        <v>0</v>
      </c>
      <c r="E80" s="1">
        <f>'MSC Lista Verific. Inspeccion'!G125</f>
        <v>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3" t="str">
        <f ca="1">ISOP!$B$2</f>
        <v>yyyy0100-0-yyyy1003110802</v>
      </c>
      <c r="B81" s="1" t="str">
        <f>'MSC Lista Verific. Inspeccion'!$A$88</f>
        <v>5.- INSTALACIONES DE FAENA/ OFICINAS</v>
      </c>
      <c r="C81" s="1" t="str">
        <f>'MSC Lista Verific. Inspeccion'!A126</f>
        <v>5.33</v>
      </c>
      <c r="D81" s="1">
        <f>'MSC Lista Verific. Inspeccion'!F126</f>
        <v>0</v>
      </c>
      <c r="E81" s="1">
        <f>'MSC Lista Verific. Inspeccion'!G126</f>
        <v>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3" t="str">
        <f ca="1">ISOP!$B$2</f>
        <v>yyyy0100-0-yyyy1003110802</v>
      </c>
      <c r="B82" s="1" t="str">
        <f>'MSC Lista Verific. Inspeccion'!$A$88</f>
        <v>5.- INSTALACIONES DE FAENA/ OFICINAS</v>
      </c>
      <c r="C82" s="24" t="str">
        <f>'MSC Lista Verific. Inspeccion'!A127</f>
        <v>5.34</v>
      </c>
      <c r="D82" s="1">
        <f>'MSC Lista Verific. Inspeccion'!F127</f>
        <v>0</v>
      </c>
      <c r="E82" s="1">
        <f>'MSC Lista Verific. Inspeccion'!G127</f>
        <v>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3" t="str">
        <f ca="1">ISOP!$B$2</f>
        <v>yyyy0100-0-yyyy1003110802</v>
      </c>
      <c r="B83" s="1" t="str">
        <f>'MSC Lista Verific. Inspeccion'!$A$88</f>
        <v>5.- INSTALACIONES DE FAENA/ OFICINAS</v>
      </c>
      <c r="C83" s="1" t="str">
        <f>'MSC Lista Verific. Inspeccion'!A128</f>
        <v>5.35</v>
      </c>
      <c r="D83" s="1">
        <f>'MSC Lista Verific. Inspeccion'!F128</f>
        <v>0</v>
      </c>
      <c r="E83" s="1">
        <f>'MSC Lista Verific. Inspeccion'!G128</f>
        <v>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3" t="str">
        <f ca="1">ISOP!$B$2</f>
        <v>yyyy0100-0-yyyy1003110802</v>
      </c>
      <c r="B84" s="1" t="str">
        <f>'MSC Lista Verific. Inspeccion'!$A$88</f>
        <v>5.- INSTALACIONES DE FAENA/ OFICINAS</v>
      </c>
      <c r="C84" s="1" t="str">
        <f>'MSC Lista Verific. Inspeccion'!A129</f>
        <v>5.36</v>
      </c>
      <c r="D84" s="1">
        <f>'MSC Lista Verific. Inspeccion'!F129</f>
        <v>0</v>
      </c>
      <c r="E84" s="1">
        <f>'MSC Lista Verific. Inspeccion'!G129</f>
        <v>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3" t="str">
        <f ca="1">ISOP!$B$2</f>
        <v>yyyy0100-0-yyyy1003110802</v>
      </c>
      <c r="B85" s="1" t="str">
        <f>'MSC Lista Verific. Inspeccion'!$A$88</f>
        <v>5.- INSTALACIONES DE FAENA/ OFICINAS</v>
      </c>
      <c r="C85" s="1" t="str">
        <f>'MSC Lista Verific. Inspeccion'!A130</f>
        <v>5.37</v>
      </c>
      <c r="D85" s="1">
        <f>'MSC Lista Verific. Inspeccion'!F130</f>
        <v>0</v>
      </c>
      <c r="E85" s="1">
        <f>'MSC Lista Verific. Inspeccion'!G130</f>
        <v>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3" t="str">
        <f ca="1">ISOP!$B$2</f>
        <v>yyyy0100-0-yyyy1003110802</v>
      </c>
      <c r="B86" s="1" t="str">
        <f>'MSC Lista Verific. Inspeccion'!$A$88</f>
        <v>5.- INSTALACIONES DE FAENA/ OFICINAS</v>
      </c>
      <c r="C86" s="24" t="str">
        <f>'MSC Lista Verific. Inspeccion'!A131</f>
        <v>5.38</v>
      </c>
      <c r="D86" s="1">
        <f>'MSC Lista Verific. Inspeccion'!F131</f>
        <v>0</v>
      </c>
      <c r="E86" s="1">
        <f>'MSC Lista Verific. Inspeccion'!G131</f>
        <v>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3" t="str">
        <f ca="1">ISOP!$B$2</f>
        <v>yyyy0100-0-yyyy1003110802</v>
      </c>
      <c r="B87" s="1" t="str">
        <f>'MSC Lista Verific. Inspeccion'!$A$88</f>
        <v>5.- INSTALACIONES DE FAENA/ OFICINAS</v>
      </c>
      <c r="C87" s="1" t="str">
        <f>'MSC Lista Verific. Inspeccion'!A132</f>
        <v>5.39</v>
      </c>
      <c r="D87" s="1">
        <f>'MSC Lista Verific. Inspeccion'!F132</f>
        <v>0</v>
      </c>
      <c r="E87" s="1">
        <f>'MSC Lista Verific. Inspeccion'!G132</f>
        <v>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3" t="str">
        <f ca="1">ISOP!$B$2</f>
        <v>yyyy0100-0-yyyy1003110802</v>
      </c>
      <c r="B88" s="1" t="str">
        <f>'MSC Lista Verific. Inspeccion'!$A$88</f>
        <v>5.- INSTALACIONES DE FAENA/ OFICINAS</v>
      </c>
      <c r="C88" s="24" t="str">
        <f>'MSC Lista Verific. Inspeccion'!A133</f>
        <v>5.40</v>
      </c>
      <c r="D88" s="1">
        <f>'MSC Lista Verific. Inspeccion'!F133</f>
        <v>0</v>
      </c>
      <c r="E88" s="1">
        <f>'MSC Lista Verific. Inspeccion'!G133</f>
        <v>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3" t="str">
        <f ca="1">ISOP!$B$2</f>
        <v>yyyy0100-0-yyyy1003110802</v>
      </c>
      <c r="B89" s="24" t="str">
        <f>'MSC Lista Verific. Inspeccion'!$A$134</f>
        <v>6.- SEÑALIZACIÓN</v>
      </c>
      <c r="C89" s="1" t="str">
        <f>'MSC Lista Verific. Inspeccion'!A136</f>
        <v>6.1</v>
      </c>
      <c r="D89" s="1">
        <f>'MSC Lista Verific. Inspeccion'!F136</f>
        <v>0</v>
      </c>
      <c r="E89" s="1">
        <f>'MSC Lista Verific. Inspeccion'!G136</f>
        <v>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3" t="str">
        <f ca="1">ISOP!$B$2</f>
        <v>yyyy0100-0-yyyy1003110802</v>
      </c>
      <c r="B90" s="24" t="str">
        <f>'MSC Lista Verific. Inspeccion'!$A$134</f>
        <v>6.- SEÑALIZACIÓN</v>
      </c>
      <c r="C90" s="1" t="str">
        <f>'MSC Lista Verific. Inspeccion'!A137</f>
        <v>6.2</v>
      </c>
      <c r="D90" s="1">
        <f>'MSC Lista Verific. Inspeccion'!F137</f>
        <v>0</v>
      </c>
      <c r="E90" s="1">
        <f>'MSC Lista Verific. Inspeccion'!G137</f>
        <v>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3" t="str">
        <f ca="1">ISOP!$B$2</f>
        <v>yyyy0100-0-yyyy1003110802</v>
      </c>
      <c r="B91" s="24" t="str">
        <f>'MSC Lista Verific. Inspeccion'!$A$134</f>
        <v>6.- SEÑALIZACIÓN</v>
      </c>
      <c r="C91" s="1" t="str">
        <f>'MSC Lista Verific. Inspeccion'!A138</f>
        <v>6.3</v>
      </c>
      <c r="D91" s="1">
        <f>'MSC Lista Verific. Inspeccion'!F138</f>
        <v>0</v>
      </c>
      <c r="E91" s="1">
        <f>'MSC Lista Verific. Inspeccion'!G138</f>
        <v>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3" t="str">
        <f ca="1">ISOP!$B$2</f>
        <v>yyyy0100-0-yyyy1003110802</v>
      </c>
      <c r="B92" s="24" t="str">
        <f>'MSC Lista Verific. Inspeccion'!$A$134</f>
        <v>6.- SEÑALIZACIÓN</v>
      </c>
      <c r="C92" s="1" t="str">
        <f>'MSC Lista Verific. Inspeccion'!A139</f>
        <v>6.4</v>
      </c>
      <c r="D92" s="1">
        <f>'MSC Lista Verific. Inspeccion'!F139</f>
        <v>0</v>
      </c>
      <c r="E92" s="1">
        <f>'MSC Lista Verific. Inspeccion'!G139</f>
        <v>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3" t="str">
        <f ca="1">ISOP!$B$2</f>
        <v>yyyy0100-0-yyyy1003110802</v>
      </c>
      <c r="B93" s="24" t="str">
        <f>'MSC Lista Verific. Inspeccion'!$A$134</f>
        <v>6.- SEÑALIZACIÓN</v>
      </c>
      <c r="C93" s="1" t="str">
        <f>'MSC Lista Verific. Inspeccion'!A140</f>
        <v>6.5</v>
      </c>
      <c r="D93" s="1">
        <f>'MSC Lista Verific. Inspeccion'!F140</f>
        <v>0</v>
      </c>
      <c r="E93" s="1">
        <f>'MSC Lista Verific. Inspeccion'!G140</f>
        <v>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3" t="str">
        <f ca="1">ISOP!$B$2</f>
        <v>yyyy0100-0-yyyy1003110802</v>
      </c>
      <c r="B94" s="24" t="str">
        <f>'MSC Lista Verific. Inspeccion'!$A$134</f>
        <v>6.- SEÑALIZACIÓN</v>
      </c>
      <c r="C94" s="1" t="str">
        <f>'MSC Lista Verific. Inspeccion'!A141</f>
        <v>6.6</v>
      </c>
      <c r="D94" s="1">
        <f>'MSC Lista Verific. Inspeccion'!F141</f>
        <v>0</v>
      </c>
      <c r="E94" s="1">
        <f>'MSC Lista Verific. Inspeccion'!G141</f>
        <v>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3" t="str">
        <f ca="1">ISOP!$B$2</f>
        <v>yyyy0100-0-yyyy1003110802</v>
      </c>
      <c r="B95" s="24" t="str">
        <f>'MSC Lista Verific. Inspeccion'!$A$134</f>
        <v>6.- SEÑALIZACIÓN</v>
      </c>
      <c r="C95" s="1" t="str">
        <f>'MSC Lista Verific. Inspeccion'!A142</f>
        <v>6.7</v>
      </c>
      <c r="D95" s="1">
        <f>'MSC Lista Verific. Inspeccion'!F142</f>
        <v>0</v>
      </c>
      <c r="E95" s="1">
        <f>'MSC Lista Verific. Inspeccion'!G142</f>
        <v>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3" t="str">
        <f ca="1">ISOP!$B$2</f>
        <v>yyyy0100-0-yyyy1003110802</v>
      </c>
      <c r="B96" s="24" t="str">
        <f>'MSC Lista Verific. Inspeccion'!$A$134</f>
        <v>6.- SEÑALIZACIÓN</v>
      </c>
      <c r="C96" s="1" t="str">
        <f>'MSC Lista Verific. Inspeccion'!A143</f>
        <v>6.8</v>
      </c>
      <c r="D96" s="1">
        <f>'MSC Lista Verific. Inspeccion'!F143</f>
        <v>0</v>
      </c>
      <c r="E96" s="1">
        <f>'MSC Lista Verific. Inspeccion'!G143</f>
        <v>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3" t="str">
        <f ca="1">ISOP!$B$2</f>
        <v>yyyy0100-0-yyyy1003110802</v>
      </c>
      <c r="B97" s="24" t="str">
        <f>'MSC Lista Verific. Inspeccion'!$A$134</f>
        <v>6.- SEÑALIZACIÓN</v>
      </c>
      <c r="C97" s="1" t="str">
        <f>'MSC Lista Verific. Inspeccion'!A144</f>
        <v>6.9</v>
      </c>
      <c r="D97" s="1">
        <f>'MSC Lista Verific. Inspeccion'!F144</f>
        <v>0</v>
      </c>
      <c r="E97" s="1">
        <f>'MSC Lista Verific. Inspeccion'!G144</f>
        <v>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3" t="str">
        <f ca="1">ISOP!$B$2</f>
        <v>yyyy0100-0-yyyy1003110802</v>
      </c>
      <c r="B98" s="1" t="str">
        <f>'MSC Lista Verific. Inspeccion'!$A$145</f>
        <v>7.- VEHÍCULOS/ ESTACIONAMIENTOS</v>
      </c>
      <c r="C98" s="1" t="str">
        <f>'MSC Lista Verific. Inspeccion'!A147</f>
        <v>7.1</v>
      </c>
      <c r="D98" s="1">
        <f>'MSC Lista Verific. Inspeccion'!F147</f>
        <v>0</v>
      </c>
      <c r="E98" s="1">
        <f>'MSC Lista Verific. Inspeccion'!G147</f>
        <v>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3" t="str">
        <f ca="1">ISOP!$B$2</f>
        <v>yyyy0100-0-yyyy1003110802</v>
      </c>
      <c r="B99" s="1" t="str">
        <f>'MSC Lista Verific. Inspeccion'!$A$145</f>
        <v>7.- VEHÍCULOS/ ESTACIONAMIENTOS</v>
      </c>
      <c r="C99" s="1" t="str">
        <f>'MSC Lista Verific. Inspeccion'!A148</f>
        <v>7.2</v>
      </c>
      <c r="D99" s="1">
        <f>'MSC Lista Verific. Inspeccion'!F148</f>
        <v>0</v>
      </c>
      <c r="E99" s="1">
        <f>'MSC Lista Verific. Inspeccion'!G148</f>
        <v>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3" t="str">
        <f ca="1">ISOP!$B$2</f>
        <v>yyyy0100-0-yyyy1003110802</v>
      </c>
      <c r="B100" s="1" t="str">
        <f>'MSC Lista Verific. Inspeccion'!$A$145</f>
        <v>7.- VEHÍCULOS/ ESTACIONAMIENTOS</v>
      </c>
      <c r="C100" s="1" t="str">
        <f>'MSC Lista Verific. Inspeccion'!A149</f>
        <v>7.3</v>
      </c>
      <c r="D100" s="1">
        <f>'MSC Lista Verific. Inspeccion'!F149</f>
        <v>0</v>
      </c>
      <c r="E100" s="1">
        <f>'MSC Lista Verific. Inspeccion'!G149</f>
        <v>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3" t="str">
        <f ca="1">ISOP!$B$2</f>
        <v>yyyy0100-0-yyyy1003110802</v>
      </c>
      <c r="B101" s="1" t="str">
        <f>'MSC Lista Verific. Inspeccion'!$A$145</f>
        <v>7.- VEHÍCULOS/ ESTACIONAMIENTOS</v>
      </c>
      <c r="C101" s="1" t="str">
        <f>'MSC Lista Verific. Inspeccion'!A150</f>
        <v>7.4</v>
      </c>
      <c r="D101" s="1">
        <f>'MSC Lista Verific. Inspeccion'!F150</f>
        <v>0</v>
      </c>
      <c r="E101" s="1">
        <f>'MSC Lista Verific. Inspeccion'!G150</f>
        <v>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3" t="str">
        <f ca="1">ISOP!$B$2</f>
        <v>yyyy0100-0-yyyy1003110802</v>
      </c>
      <c r="B102" s="1" t="str">
        <f>'MSC Lista Verific. Inspeccion'!$A$145</f>
        <v>7.- VEHÍCULOS/ ESTACIONAMIENTOS</v>
      </c>
      <c r="C102" s="1" t="str">
        <f>'MSC Lista Verific. Inspeccion'!A151</f>
        <v>7.5</v>
      </c>
      <c r="D102" s="1">
        <f>'MSC Lista Verific. Inspeccion'!F151</f>
        <v>0</v>
      </c>
      <c r="E102" s="1">
        <f>'MSC Lista Verific. Inspeccion'!G151</f>
        <v>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3" t="str">
        <f ca="1">ISOP!$B$2</f>
        <v>yyyy0100-0-yyyy1003110802</v>
      </c>
      <c r="B103" s="1" t="str">
        <f>'MSC Lista Verific. Inspeccion'!$A$145</f>
        <v>7.- VEHÍCULOS/ ESTACIONAMIENTOS</v>
      </c>
      <c r="C103" s="1" t="str">
        <f>'MSC Lista Verific. Inspeccion'!A152</f>
        <v>7.6</v>
      </c>
      <c r="D103" s="1">
        <f>'MSC Lista Verific. Inspeccion'!F152</f>
        <v>0</v>
      </c>
      <c r="E103" s="1">
        <f>'MSC Lista Verific. Inspeccion'!G152</f>
        <v>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3" t="str">
        <f ca="1">ISOP!$B$2</f>
        <v>yyyy0100-0-yyyy1003110802</v>
      </c>
      <c r="B104" s="1" t="str">
        <f>'MSC Lista Verific. Inspeccion'!$A$145</f>
        <v>7.- VEHÍCULOS/ ESTACIONAMIENTOS</v>
      </c>
      <c r="C104" s="1" t="str">
        <f>'MSC Lista Verific. Inspeccion'!A153</f>
        <v>7.7</v>
      </c>
      <c r="D104" s="1">
        <f>'MSC Lista Verific. Inspeccion'!F153</f>
        <v>0</v>
      </c>
      <c r="E104" s="1">
        <f>'MSC Lista Verific. Inspeccion'!G153</f>
        <v>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3" t="str">
        <f ca="1">ISOP!$B$2</f>
        <v>yyyy0100-0-yyyy1003110802</v>
      </c>
      <c r="B105" s="1" t="str">
        <f>'MSC Lista Verific. Inspeccion'!$A$145</f>
        <v>7.- VEHÍCULOS/ ESTACIONAMIENTOS</v>
      </c>
      <c r="C105" s="1" t="str">
        <f>'MSC Lista Verific. Inspeccion'!A154</f>
        <v>7.8</v>
      </c>
      <c r="D105" s="1">
        <f>'MSC Lista Verific. Inspeccion'!F154</f>
        <v>0</v>
      </c>
      <c r="E105" s="1">
        <f>'MSC Lista Verific. Inspeccion'!G154</f>
        <v>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3" t="str">
        <f ca="1">ISOP!$B$2</f>
        <v>yyyy0100-0-yyyy1003110802</v>
      </c>
      <c r="B106" s="1" t="str">
        <f>'MSC Lista Verific. Inspeccion'!$A$145</f>
        <v>7.- VEHÍCULOS/ ESTACIONAMIENTOS</v>
      </c>
      <c r="C106" s="1" t="str">
        <f>'MSC Lista Verific. Inspeccion'!A155</f>
        <v>7.9</v>
      </c>
      <c r="D106" s="1">
        <f>'MSC Lista Verific. Inspeccion'!F155</f>
        <v>0</v>
      </c>
      <c r="E106" s="1">
        <f>'MSC Lista Verific. Inspeccion'!G155</f>
        <v>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3" t="str">
        <f ca="1">ISOP!$B$2</f>
        <v>yyyy0100-0-yyyy1003110802</v>
      </c>
      <c r="B107" s="1" t="str">
        <f>'MSC Lista Verific. Inspeccion'!$A$145</f>
        <v>7.- VEHÍCULOS/ ESTACIONAMIENTOS</v>
      </c>
      <c r="C107" s="24" t="str">
        <f>'MSC Lista Verific. Inspeccion'!A156</f>
        <v>7.10</v>
      </c>
      <c r="D107" s="1">
        <f>'MSC Lista Verific. Inspeccion'!F156</f>
        <v>0</v>
      </c>
      <c r="E107" s="1">
        <f>'MSC Lista Verific. Inspeccion'!G156</f>
        <v>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3" t="str">
        <f ca="1">ISOP!$B$2</f>
        <v>yyyy0100-0-yyyy1003110802</v>
      </c>
      <c r="B108" s="1" t="str">
        <f>'MSC Lista Verific. Inspeccion'!$A$145</f>
        <v>7.- VEHÍCULOS/ ESTACIONAMIENTOS</v>
      </c>
      <c r="C108" s="1" t="str">
        <f>'MSC Lista Verific. Inspeccion'!A157</f>
        <v>7.11</v>
      </c>
      <c r="D108" s="1">
        <f>'MSC Lista Verific. Inspeccion'!F157</f>
        <v>0</v>
      </c>
      <c r="E108" s="1">
        <f>'MSC Lista Verific. Inspeccion'!G157</f>
        <v>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3" t="str">
        <f ca="1">ISOP!$B$2</f>
        <v>yyyy0100-0-yyyy1003110802</v>
      </c>
      <c r="B109" s="1" t="str">
        <f>'MSC Lista Verific. Inspeccion'!$A$145</f>
        <v>7.- VEHÍCULOS/ ESTACIONAMIENTOS</v>
      </c>
      <c r="C109" s="24" t="str">
        <f>'MSC Lista Verific. Inspeccion'!A158</f>
        <v>7.12</v>
      </c>
      <c r="D109" s="1">
        <f>'MSC Lista Verific. Inspeccion'!F158</f>
        <v>0</v>
      </c>
      <c r="E109" s="1">
        <f>'MSC Lista Verific. Inspeccion'!G158</f>
        <v>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3" t="str">
        <f ca="1">ISOP!$B$2</f>
        <v>yyyy0100-0-yyyy1003110802</v>
      </c>
      <c r="B110" s="1" t="str">
        <f>'MSC Lista Verific. Inspeccion'!$A$145</f>
        <v>7.- VEHÍCULOS/ ESTACIONAMIENTOS</v>
      </c>
      <c r="C110" s="1" t="str">
        <f>'MSC Lista Verific. Inspeccion'!A159</f>
        <v>7.13</v>
      </c>
      <c r="D110" s="1">
        <f>'MSC Lista Verific. Inspeccion'!F159</f>
        <v>0</v>
      </c>
      <c r="E110" s="1">
        <f>'MSC Lista Verific. Inspeccion'!G159</f>
        <v>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3" t="str">
        <f ca="1">ISOP!$B$2</f>
        <v>yyyy0100-0-yyyy1003110802</v>
      </c>
      <c r="B111" s="1" t="str">
        <f>'MSC Lista Verific. Inspeccion'!$A$145</f>
        <v>7.- VEHÍCULOS/ ESTACIONAMIENTOS</v>
      </c>
      <c r="C111" s="1" t="str">
        <f>'MSC Lista Verific. Inspeccion'!A160</f>
        <v>7.14</v>
      </c>
      <c r="D111" s="1">
        <f>'MSC Lista Verific. Inspeccion'!F160</f>
        <v>0</v>
      </c>
      <c r="E111" s="1">
        <f>'MSC Lista Verific. Inspeccion'!G160</f>
        <v>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3" t="str">
        <f ca="1">ISOP!$B$2</f>
        <v>yyyy0100-0-yyyy1003110802</v>
      </c>
      <c r="B112" s="1" t="str">
        <f>'MSC Lista Verific. Inspeccion'!$A$145</f>
        <v>7.- VEHÍCULOS/ ESTACIONAMIENTOS</v>
      </c>
      <c r="C112" s="24" t="str">
        <f>'MSC Lista Verific. Inspeccion'!A161</f>
        <v>7.15</v>
      </c>
      <c r="D112" s="1">
        <f>'MSC Lista Verific. Inspeccion'!F161</f>
        <v>0</v>
      </c>
      <c r="E112" s="1">
        <f>'MSC Lista Verific. Inspeccion'!G161</f>
        <v>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3" t="str">
        <f ca="1">ISOP!$B$2</f>
        <v>yyyy0100-0-yyyy1003110802</v>
      </c>
      <c r="B113" s="1" t="str">
        <f>'MSC Lista Verific. Inspeccion'!$A$145</f>
        <v>7.- VEHÍCULOS/ ESTACIONAMIENTOS</v>
      </c>
      <c r="C113" s="1" t="str">
        <f>'MSC Lista Verific. Inspeccion'!A162</f>
        <v>7.16</v>
      </c>
      <c r="D113" s="1">
        <f>'MSC Lista Verific. Inspeccion'!F162</f>
        <v>0</v>
      </c>
      <c r="E113" s="1">
        <f>'MSC Lista Verific. Inspeccion'!G162</f>
        <v>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H437"/>
  <sheetViews>
    <sheetView workbookViewId="0"/>
  </sheetViews>
  <sheetFormatPr baseColWidth="10" defaultColWidth="12.6640625" defaultRowHeight="15" customHeight="1" x14ac:dyDescent="0.25"/>
  <cols>
    <col min="1" max="1" width="8.88671875" customWidth="1"/>
    <col min="2" max="2" width="60.77734375" customWidth="1"/>
    <col min="3" max="3" width="13.21875" customWidth="1"/>
    <col min="4" max="5" width="13.33203125" customWidth="1"/>
    <col min="6" max="6" width="8.88671875" customWidth="1"/>
    <col min="7" max="7" width="62.21875" customWidth="1"/>
    <col min="8" max="8" width="10.77734375" customWidth="1"/>
    <col min="9" max="9" width="8" customWidth="1"/>
    <col min="10" max="10" width="12.77734375" customWidth="1"/>
    <col min="11" max="13" width="6.21875" customWidth="1"/>
    <col min="14" max="14" width="8.88671875" customWidth="1"/>
    <col min="15" max="15" width="91.33203125" customWidth="1"/>
    <col min="16" max="16" width="12" customWidth="1"/>
    <col min="17" max="17" width="10.33203125" customWidth="1"/>
    <col min="18" max="18" width="8.6640625" customWidth="1"/>
    <col min="19" max="20" width="15.88671875" customWidth="1"/>
    <col min="21" max="21" width="10.88671875" customWidth="1"/>
    <col min="22" max="22" width="11.21875" customWidth="1"/>
    <col min="23" max="23" width="14.77734375" customWidth="1"/>
    <col min="24" max="24" width="8.88671875" customWidth="1"/>
    <col min="25" max="25" width="57.109375" customWidth="1"/>
    <col min="26" max="26" width="89.109375" customWidth="1"/>
    <col min="27" max="27" width="53" customWidth="1"/>
    <col min="28" max="28" width="42.6640625" customWidth="1"/>
    <col min="29" max="29" width="99.88671875" customWidth="1"/>
    <col min="30" max="30" width="18" customWidth="1"/>
    <col min="31" max="36" width="9.21875" customWidth="1"/>
    <col min="37" max="38" width="2.21875" customWidth="1"/>
    <col min="39" max="39" width="8.88671875" customWidth="1"/>
    <col min="40" max="40" width="29.21875" customWidth="1"/>
    <col min="41" max="41" width="2.109375" customWidth="1"/>
    <col min="42" max="43" width="8" customWidth="1"/>
    <col min="44" max="44" width="3.33203125" customWidth="1"/>
    <col min="45" max="45" width="8.88671875" customWidth="1"/>
    <col min="46" max="46" width="32.21875" customWidth="1"/>
    <col min="47" max="49" width="6.21875" customWidth="1"/>
    <col min="50" max="50" width="8.88671875" customWidth="1"/>
    <col min="51" max="51" width="9.21875" customWidth="1"/>
    <col min="52" max="56" width="3.77734375" customWidth="1"/>
    <col min="57" max="57" width="15.77734375" customWidth="1"/>
    <col min="58" max="60" width="8.88671875" customWidth="1"/>
    <col min="61" max="61" width="17.33203125" customWidth="1"/>
    <col min="62" max="62" width="8.88671875" customWidth="1"/>
    <col min="63" max="63" width="63.21875" customWidth="1"/>
    <col min="64" max="64" width="8.88671875" customWidth="1"/>
    <col min="65" max="65" width="11.88671875" customWidth="1"/>
    <col min="66" max="66" width="8.88671875" customWidth="1"/>
    <col min="67" max="67" width="21.88671875" customWidth="1"/>
    <col min="68" max="69" width="8.88671875" customWidth="1"/>
    <col min="70" max="70" width="57" customWidth="1"/>
    <col min="71" max="71" width="5.33203125" customWidth="1"/>
    <col min="72" max="72" width="42" customWidth="1"/>
    <col min="73" max="73" width="6" customWidth="1"/>
    <col min="74" max="74" width="58.109375" customWidth="1"/>
    <col min="75" max="75" width="2.77734375" customWidth="1"/>
    <col min="76" max="76" width="54.21875" customWidth="1"/>
    <col min="77" max="77" width="2.77734375" customWidth="1"/>
    <col min="78" max="78" width="48.109375" customWidth="1"/>
    <col min="79" max="79" width="2.6640625" customWidth="1"/>
    <col min="80" max="80" width="41.6640625" customWidth="1"/>
    <col min="81" max="81" width="2.6640625" customWidth="1"/>
    <col min="82" max="82" width="24.6640625" customWidth="1"/>
    <col min="83" max="83" width="2" customWidth="1"/>
    <col min="84" max="84" width="61.33203125" customWidth="1"/>
    <col min="85" max="85" width="1.88671875" customWidth="1"/>
    <col min="86" max="86" width="58.21875" customWidth="1"/>
    <col min="87" max="87" width="3.109375" customWidth="1"/>
    <col min="88" max="88" width="36.33203125" customWidth="1"/>
    <col min="89" max="89" width="2.21875" customWidth="1"/>
    <col min="90" max="90" width="40.6640625" customWidth="1"/>
    <col min="91" max="91" width="2.88671875" customWidth="1"/>
    <col min="92" max="92" width="31.33203125" customWidth="1"/>
    <col min="93" max="93" width="3.109375" customWidth="1"/>
    <col min="94" max="94" width="43.88671875" customWidth="1"/>
    <col min="95" max="95" width="3" customWidth="1"/>
    <col min="96" max="96" width="41.6640625" customWidth="1"/>
    <col min="97" max="97" width="3.109375" customWidth="1"/>
    <col min="98" max="98" width="41.6640625" customWidth="1"/>
    <col min="99" max="99" width="4.21875" customWidth="1"/>
    <col min="100" max="100" width="83.33203125" customWidth="1"/>
    <col min="101" max="101" width="4" customWidth="1"/>
    <col min="102" max="102" width="35.109375" customWidth="1"/>
    <col min="103" max="103" width="4" customWidth="1"/>
    <col min="104" max="104" width="41.109375" customWidth="1"/>
    <col min="105" max="105" width="4" customWidth="1"/>
    <col min="106" max="106" width="35.109375" customWidth="1"/>
    <col min="107" max="107" width="2.77734375" customWidth="1"/>
    <col min="108" max="108" width="40" customWidth="1"/>
    <col min="109" max="109" width="3.6640625" customWidth="1"/>
    <col min="110" max="110" width="55.21875" customWidth="1"/>
    <col min="111" max="111" width="4.77734375" customWidth="1"/>
    <col min="112" max="112" width="66.77734375" customWidth="1"/>
    <col min="113" max="113" width="4" customWidth="1"/>
    <col min="114" max="114" width="50.109375" customWidth="1"/>
    <col min="115" max="115" width="6.33203125" customWidth="1"/>
    <col min="116" max="116" width="43" customWidth="1"/>
    <col min="117" max="117" width="3.88671875" customWidth="1"/>
    <col min="118" max="118" width="71.33203125" customWidth="1"/>
    <col min="119" max="119" width="3.21875" customWidth="1"/>
    <col min="120" max="120" width="43.33203125" customWidth="1"/>
    <col min="121" max="121" width="2.21875" customWidth="1"/>
    <col min="122" max="122" width="58.109375" customWidth="1"/>
    <col min="123" max="123" width="2.109375" customWidth="1"/>
    <col min="124" max="124" width="63.77734375" customWidth="1"/>
    <col min="125" max="125" width="2.77734375" customWidth="1"/>
    <col min="126" max="126" width="59.109375" customWidth="1"/>
    <col min="127" max="127" width="4.77734375" customWidth="1"/>
    <col min="128" max="128" width="49.6640625" customWidth="1"/>
    <col min="129" max="129" width="3.77734375" customWidth="1"/>
    <col min="130" max="130" width="39.77734375" customWidth="1"/>
    <col min="131" max="131" width="1.6640625" customWidth="1"/>
    <col min="132" max="132" width="41.109375" customWidth="1"/>
    <col min="133" max="133" width="2.6640625" customWidth="1"/>
    <col min="134" max="134" width="65.33203125" customWidth="1"/>
    <col min="135" max="135" width="12" customWidth="1"/>
    <col min="136" max="136" width="62.88671875" customWidth="1"/>
    <col min="137" max="137" width="4" customWidth="1"/>
    <col min="138" max="138" width="57.109375" customWidth="1"/>
    <col min="139" max="139" width="3.33203125" customWidth="1"/>
    <col min="140" max="140" width="64.6640625" customWidth="1"/>
    <col min="141" max="141" width="3.88671875" customWidth="1"/>
    <col min="142" max="142" width="62" customWidth="1"/>
    <col min="143" max="143" width="6.21875" customWidth="1"/>
    <col min="144" max="144" width="45.77734375" customWidth="1"/>
    <col min="145" max="145" width="3.88671875" customWidth="1"/>
    <col min="146" max="146" width="24.33203125" customWidth="1"/>
    <col min="147" max="147" width="3.88671875" customWidth="1"/>
    <col min="148" max="148" width="25.109375" customWidth="1"/>
    <col min="149" max="149" width="3.33203125" customWidth="1"/>
    <col min="150" max="150" width="51.88671875" customWidth="1"/>
    <col min="151" max="151" width="2.6640625" customWidth="1"/>
    <col min="152" max="152" width="45.6640625" customWidth="1"/>
    <col min="153" max="153" width="2.33203125" customWidth="1"/>
    <col min="154" max="154" width="47.21875" customWidth="1"/>
    <col min="155" max="155" width="4.88671875" customWidth="1"/>
    <col min="156" max="156" width="49.88671875" customWidth="1"/>
    <col min="157" max="157" width="3.77734375" customWidth="1"/>
    <col min="158" max="158" width="49.88671875" customWidth="1"/>
    <col min="159" max="159" width="3.6640625" customWidth="1"/>
    <col min="160" max="160" width="51" customWidth="1"/>
    <col min="161" max="161" width="2.109375" customWidth="1"/>
    <col min="162" max="162" width="15" customWidth="1"/>
    <col min="163" max="163" width="1.77734375" customWidth="1"/>
    <col min="164" max="164" width="65.88671875" customWidth="1"/>
    <col min="165" max="165" width="8.109375" customWidth="1"/>
    <col min="166" max="166" width="66.77734375" customWidth="1"/>
    <col min="167" max="167" width="8.109375" customWidth="1"/>
    <col min="168" max="168" width="66.77734375" customWidth="1"/>
    <col min="169" max="169" width="8.109375" customWidth="1"/>
    <col min="170" max="170" width="50.88671875" customWidth="1"/>
    <col min="171" max="171" width="2.109375" customWidth="1"/>
    <col min="172" max="172" width="45.21875" customWidth="1"/>
    <col min="173" max="173" width="2.88671875" customWidth="1"/>
    <col min="174" max="174" width="50.6640625" customWidth="1"/>
    <col min="175" max="175" width="2.6640625" customWidth="1"/>
    <col min="176" max="176" width="40" customWidth="1"/>
    <col min="177" max="177" width="1.77734375" customWidth="1"/>
    <col min="178" max="178" width="46.6640625" customWidth="1"/>
    <col min="179" max="179" width="2.33203125" customWidth="1"/>
    <col min="180" max="180" width="37.33203125" customWidth="1"/>
    <col min="181" max="181" width="2.88671875" customWidth="1"/>
    <col min="182" max="182" width="49" customWidth="1"/>
    <col min="183" max="183" width="1.88671875" customWidth="1"/>
    <col min="184" max="184" width="62.33203125" customWidth="1"/>
    <col min="185" max="185" width="2.109375" customWidth="1"/>
    <col min="186" max="186" width="41.77734375" customWidth="1"/>
    <col min="187" max="187" width="2.6640625" customWidth="1"/>
    <col min="188" max="188" width="40.109375" customWidth="1"/>
    <col min="189" max="189" width="2.33203125" customWidth="1"/>
    <col min="190" max="190" width="33.6640625" customWidth="1"/>
  </cols>
  <sheetData>
    <row r="1" spans="1:190" ht="14.4" x14ac:dyDescent="0.3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 t="s">
        <v>49</v>
      </c>
      <c r="M1" s="31" t="s">
        <v>50</v>
      </c>
      <c r="N1" s="31" t="s">
        <v>51</v>
      </c>
      <c r="O1" s="31"/>
      <c r="P1" s="31"/>
      <c r="Q1" s="31"/>
      <c r="R1" s="31"/>
      <c r="S1" s="31"/>
      <c r="T1" s="31"/>
      <c r="U1" s="31"/>
      <c r="V1" s="31"/>
      <c r="W1" s="31"/>
      <c r="X1" s="31" t="s">
        <v>53</v>
      </c>
      <c r="Y1" s="31"/>
      <c r="Z1" s="31"/>
      <c r="AA1" s="32"/>
      <c r="AB1" s="32"/>
      <c r="AC1" s="32" t="s">
        <v>54</v>
      </c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3"/>
      <c r="BW1" s="33"/>
      <c r="BX1" s="34"/>
      <c r="BY1" s="33"/>
      <c r="BZ1" s="34"/>
      <c r="CA1" s="33"/>
      <c r="CB1" s="34"/>
      <c r="CC1" s="33"/>
      <c r="CD1" s="34"/>
      <c r="CE1" s="33"/>
      <c r="CF1" s="33"/>
      <c r="CG1" s="33"/>
      <c r="CH1" s="34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4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>
        <v>6</v>
      </c>
      <c r="DK1" s="33"/>
      <c r="DL1" s="33"/>
      <c r="DM1" s="33"/>
      <c r="DN1" s="33"/>
      <c r="DO1" s="33"/>
      <c r="DP1" s="33"/>
      <c r="DQ1" s="33"/>
      <c r="DR1" s="33"/>
      <c r="DS1" s="31"/>
      <c r="DT1" s="31"/>
      <c r="DU1" s="31"/>
      <c r="DV1" s="37"/>
      <c r="DW1" s="37"/>
      <c r="DX1" s="37"/>
      <c r="DY1" s="37"/>
      <c r="DZ1" s="37"/>
      <c r="EA1" s="37"/>
      <c r="EB1" s="31"/>
      <c r="EC1" s="31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9"/>
      <c r="EO1" s="38"/>
      <c r="EP1" s="38"/>
      <c r="EQ1" s="38"/>
      <c r="ER1" s="38"/>
      <c r="ES1" s="38"/>
      <c r="ET1" s="38"/>
      <c r="EU1" s="31"/>
      <c r="EV1" s="31"/>
      <c r="EW1" s="31"/>
      <c r="EX1" s="40"/>
      <c r="EY1" s="40"/>
      <c r="EZ1" s="40"/>
      <c r="FA1" s="31"/>
      <c r="FB1" s="32"/>
      <c r="FC1" s="40"/>
      <c r="FD1" s="40"/>
      <c r="FE1" s="40"/>
      <c r="FF1" s="41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31"/>
      <c r="GB1" s="31"/>
      <c r="GC1" s="31"/>
      <c r="GD1" s="31"/>
      <c r="GE1" s="31"/>
      <c r="GF1" s="31"/>
      <c r="GG1" s="31"/>
      <c r="GH1" s="31"/>
    </row>
    <row r="2" spans="1:190" ht="14.4" x14ac:dyDescent="0.3">
      <c r="A2" s="42" t="s">
        <v>62</v>
      </c>
      <c r="B2" s="43" t="s">
        <v>64</v>
      </c>
      <c r="C2" s="44"/>
      <c r="D2" s="44"/>
      <c r="E2" s="31"/>
      <c r="F2" s="45" t="s">
        <v>62</v>
      </c>
      <c r="G2" s="46" t="s">
        <v>5</v>
      </c>
      <c r="H2" s="46" t="s">
        <v>67</v>
      </c>
      <c r="I2" s="47" t="s">
        <v>68</v>
      </c>
      <c r="J2" s="31"/>
      <c r="K2" s="31"/>
      <c r="L2" s="31"/>
      <c r="M2" s="31"/>
      <c r="N2" s="31" t="s">
        <v>62</v>
      </c>
      <c r="O2" s="48" t="s">
        <v>7</v>
      </c>
      <c r="P2" s="31" t="s">
        <v>67</v>
      </c>
      <c r="Q2" s="31" t="s">
        <v>68</v>
      </c>
      <c r="R2" s="31" t="s">
        <v>70</v>
      </c>
      <c r="S2" s="31"/>
      <c r="T2" s="31" t="s">
        <v>71</v>
      </c>
      <c r="U2" s="49" t="s">
        <v>73</v>
      </c>
      <c r="V2" s="49" t="s">
        <v>74</v>
      </c>
      <c r="W2" s="49" t="s">
        <v>75</v>
      </c>
      <c r="X2" s="42" t="s">
        <v>62</v>
      </c>
      <c r="Y2" s="42" t="s">
        <v>78</v>
      </c>
      <c r="Z2" s="43" t="s">
        <v>79</v>
      </c>
      <c r="AA2" s="32" t="s">
        <v>49</v>
      </c>
      <c r="AB2" s="32" t="s">
        <v>50</v>
      </c>
      <c r="AC2" s="32" t="s">
        <v>81</v>
      </c>
      <c r="AD2" s="31" t="s">
        <v>84</v>
      </c>
      <c r="AE2" s="31" t="s">
        <v>85</v>
      </c>
      <c r="AF2" s="31" t="s">
        <v>86</v>
      </c>
      <c r="AG2" s="31"/>
      <c r="AH2" s="31"/>
      <c r="AI2" s="31"/>
      <c r="AJ2" s="31"/>
      <c r="AK2" s="31"/>
      <c r="AL2" s="31"/>
      <c r="AM2" s="42" t="s">
        <v>62</v>
      </c>
      <c r="AN2" s="43" t="s">
        <v>88</v>
      </c>
      <c r="AO2" s="44"/>
      <c r="AP2" s="31"/>
      <c r="AQ2" s="31"/>
      <c r="AR2" s="31"/>
      <c r="AS2" s="42" t="s">
        <v>62</v>
      </c>
      <c r="AT2" s="43" t="s">
        <v>91</v>
      </c>
      <c r="AU2" s="44"/>
      <c r="AV2" s="31"/>
      <c r="AW2" s="31"/>
      <c r="AX2" s="42" t="s">
        <v>62</v>
      </c>
      <c r="AY2" s="50" t="s">
        <v>94</v>
      </c>
      <c r="AZ2" s="44"/>
      <c r="BA2" s="31"/>
      <c r="BB2" s="31"/>
      <c r="BC2" s="31"/>
      <c r="BD2" s="31"/>
      <c r="BE2" s="48" t="s">
        <v>95</v>
      </c>
      <c r="BF2" s="31"/>
      <c r="BG2" s="31" t="s">
        <v>97</v>
      </c>
      <c r="BH2" s="31" t="s">
        <v>98</v>
      </c>
      <c r="BI2" s="31"/>
      <c r="BJ2" s="31" t="s">
        <v>97</v>
      </c>
      <c r="BK2" s="31" t="s">
        <v>99</v>
      </c>
      <c r="BL2" s="31"/>
      <c r="BM2" s="51" t="s">
        <v>62</v>
      </c>
      <c r="BN2" s="52"/>
      <c r="BO2" s="53" t="s">
        <v>64</v>
      </c>
      <c r="BP2" s="31"/>
      <c r="BQ2" s="31"/>
      <c r="BR2" s="54" t="s">
        <v>102</v>
      </c>
      <c r="BS2" s="55"/>
      <c r="BT2" s="56" t="s">
        <v>104</v>
      </c>
      <c r="BU2" s="57"/>
      <c r="BV2" s="42" t="s">
        <v>105</v>
      </c>
      <c r="BW2" s="31"/>
      <c r="BX2" s="58" t="s">
        <v>106</v>
      </c>
      <c r="BY2" s="31"/>
      <c r="BZ2" s="58" t="s">
        <v>108</v>
      </c>
      <c r="CA2" s="31"/>
      <c r="CB2" s="58" t="s">
        <v>109</v>
      </c>
      <c r="CC2" s="31"/>
      <c r="CD2" s="58" t="s">
        <v>111</v>
      </c>
      <c r="CE2" s="31"/>
      <c r="CF2" s="42" t="s">
        <v>112</v>
      </c>
      <c r="CG2" s="31"/>
      <c r="CH2" s="58" t="s">
        <v>114</v>
      </c>
      <c r="CI2" s="31"/>
      <c r="CJ2" s="42" t="s">
        <v>115</v>
      </c>
      <c r="CK2" s="31"/>
      <c r="CL2" s="42" t="s">
        <v>116</v>
      </c>
      <c r="CM2" s="31"/>
      <c r="CN2" s="42" t="s">
        <v>117</v>
      </c>
      <c r="CO2" s="31"/>
      <c r="CP2" s="42" t="s">
        <v>118</v>
      </c>
      <c r="CQ2" s="31"/>
      <c r="CR2" s="42" t="s">
        <v>119</v>
      </c>
      <c r="CS2" s="31"/>
      <c r="CT2" s="42" t="s">
        <v>120</v>
      </c>
      <c r="CU2" s="31"/>
      <c r="CV2" s="42" t="s">
        <v>121</v>
      </c>
      <c r="CW2" s="31"/>
      <c r="CX2" s="58" t="s">
        <v>122</v>
      </c>
      <c r="CY2" s="31"/>
      <c r="CZ2" s="42" t="s">
        <v>123</v>
      </c>
      <c r="DA2" s="31"/>
      <c r="DB2" s="42" t="s">
        <v>125</v>
      </c>
      <c r="DC2" s="31"/>
      <c r="DD2" s="42" t="s">
        <v>126</v>
      </c>
      <c r="DE2" s="31"/>
      <c r="DF2" s="42" t="s">
        <v>128</v>
      </c>
      <c r="DG2" s="31"/>
      <c r="DH2" s="42" t="s">
        <v>129</v>
      </c>
      <c r="DI2" s="31"/>
      <c r="DJ2" s="42" t="s">
        <v>130</v>
      </c>
      <c r="DK2" s="31"/>
      <c r="DL2" s="42" t="s">
        <v>131</v>
      </c>
      <c r="DM2" s="31"/>
      <c r="DN2" s="42" t="s">
        <v>132</v>
      </c>
      <c r="DO2" s="31"/>
      <c r="DP2" s="42" t="s">
        <v>133</v>
      </c>
      <c r="DQ2" s="31"/>
      <c r="DR2" s="42" t="s">
        <v>134</v>
      </c>
      <c r="DS2" s="57"/>
      <c r="DT2" s="62" t="s">
        <v>135</v>
      </c>
      <c r="DU2" s="63"/>
      <c r="DV2" s="42" t="s">
        <v>137</v>
      </c>
      <c r="DW2" s="31"/>
      <c r="DX2" s="42" t="s">
        <v>138</v>
      </c>
      <c r="DY2" s="31"/>
      <c r="DZ2" s="42" t="s">
        <v>139</v>
      </c>
      <c r="EA2" s="57"/>
      <c r="EB2" s="62" t="s">
        <v>141</v>
      </c>
      <c r="EC2" s="57"/>
      <c r="ED2" s="62" t="s">
        <v>142</v>
      </c>
      <c r="EE2" s="63"/>
      <c r="EF2" s="62" t="s">
        <v>143</v>
      </c>
      <c r="EG2" s="63"/>
      <c r="EH2" s="62" t="s">
        <v>144</v>
      </c>
      <c r="EI2" s="63"/>
      <c r="EJ2" s="62" t="s">
        <v>145</v>
      </c>
      <c r="EK2" s="63"/>
      <c r="EL2" s="62" t="s">
        <v>147</v>
      </c>
      <c r="EM2" s="63"/>
      <c r="EN2" s="67" t="s">
        <v>149</v>
      </c>
      <c r="EO2" s="63"/>
      <c r="EP2" s="62" t="s">
        <v>150</v>
      </c>
      <c r="EQ2" s="63"/>
      <c r="ER2" s="62" t="s">
        <v>151</v>
      </c>
      <c r="ES2" s="63"/>
      <c r="ET2" s="62" t="s">
        <v>152</v>
      </c>
      <c r="EU2" s="57"/>
      <c r="EV2" s="69" t="s">
        <v>153</v>
      </c>
      <c r="EW2" s="55"/>
      <c r="EX2" s="42" t="s">
        <v>156</v>
      </c>
      <c r="EY2" s="31"/>
      <c r="EZ2" s="42" t="s">
        <v>157</v>
      </c>
      <c r="FA2" s="31"/>
      <c r="FB2" s="42" t="s">
        <v>158</v>
      </c>
      <c r="FC2" s="31"/>
      <c r="FD2" s="42" t="s">
        <v>159</v>
      </c>
      <c r="FE2" s="31"/>
      <c r="FF2" s="42" t="s">
        <v>162</v>
      </c>
      <c r="FG2" s="31"/>
      <c r="FH2" s="42" t="s">
        <v>163</v>
      </c>
      <c r="FI2" s="31"/>
      <c r="FJ2" s="42" t="s">
        <v>164</v>
      </c>
      <c r="FK2" s="31"/>
      <c r="FL2" s="42" t="s">
        <v>167</v>
      </c>
      <c r="FM2" s="31"/>
      <c r="FN2" s="42" t="s">
        <v>168</v>
      </c>
      <c r="FO2" s="31"/>
      <c r="FP2" s="42" t="s">
        <v>169</v>
      </c>
      <c r="FQ2" s="31"/>
      <c r="FR2" s="42" t="s">
        <v>171</v>
      </c>
      <c r="FS2" s="31"/>
      <c r="FT2" s="42" t="s">
        <v>173</v>
      </c>
      <c r="FU2" s="31"/>
      <c r="FV2" s="42" t="s">
        <v>174</v>
      </c>
      <c r="FW2" s="31"/>
      <c r="FX2" s="42" t="s">
        <v>175</v>
      </c>
      <c r="FY2" s="31"/>
      <c r="FZ2" s="42" t="s">
        <v>176</v>
      </c>
      <c r="GA2" s="31"/>
      <c r="GB2" s="42" t="s">
        <v>178</v>
      </c>
      <c r="GC2" s="31"/>
      <c r="GD2" s="42" t="s">
        <v>180</v>
      </c>
      <c r="GE2" s="31"/>
      <c r="GF2" s="42" t="s">
        <v>181</v>
      </c>
      <c r="GG2" s="31"/>
      <c r="GH2" s="42" t="s">
        <v>182</v>
      </c>
    </row>
    <row r="3" spans="1:190" ht="14.4" x14ac:dyDescent="0.3">
      <c r="A3" s="71" t="s">
        <v>185</v>
      </c>
      <c r="B3" s="72" t="s">
        <v>186</v>
      </c>
      <c r="C3" s="44"/>
      <c r="D3" s="31"/>
      <c r="E3" s="73" t="s">
        <v>187</v>
      </c>
      <c r="F3" s="74" t="s">
        <v>187</v>
      </c>
      <c r="G3" s="75" t="s">
        <v>190</v>
      </c>
      <c r="H3" s="75" t="s">
        <v>187</v>
      </c>
      <c r="I3" s="75" t="s">
        <v>187</v>
      </c>
      <c r="J3" s="31"/>
      <c r="K3" s="31"/>
      <c r="L3" s="31">
        <v>1</v>
      </c>
      <c r="M3" s="31">
        <v>1</v>
      </c>
      <c r="N3" s="76" t="s">
        <v>187</v>
      </c>
      <c r="O3" s="48" t="s">
        <v>193</v>
      </c>
      <c r="P3" s="31">
        <v>1</v>
      </c>
      <c r="Q3" s="31">
        <v>1</v>
      </c>
      <c r="R3" s="31" t="s">
        <v>187</v>
      </c>
      <c r="S3" s="31"/>
      <c r="T3" s="31">
        <v>1</v>
      </c>
      <c r="U3" s="77" t="s">
        <v>194</v>
      </c>
      <c r="V3" s="77" t="s">
        <v>195</v>
      </c>
      <c r="W3" s="77" t="s">
        <v>196</v>
      </c>
      <c r="X3" s="71" t="s">
        <v>197</v>
      </c>
      <c r="Y3" s="71" t="s">
        <v>198</v>
      </c>
      <c r="Z3" s="72" t="s">
        <v>200</v>
      </c>
      <c r="AA3" s="32" t="s">
        <v>202</v>
      </c>
      <c r="AB3" s="32" t="s">
        <v>203</v>
      </c>
      <c r="AC3" s="32" t="s">
        <v>204</v>
      </c>
      <c r="AD3" s="31" t="s">
        <v>205</v>
      </c>
      <c r="AE3" s="31" t="s">
        <v>206</v>
      </c>
      <c r="AF3" s="31" t="s">
        <v>207</v>
      </c>
      <c r="AG3" s="31"/>
      <c r="AH3" s="31"/>
      <c r="AI3" s="31"/>
      <c r="AJ3" s="31"/>
      <c r="AK3" s="31"/>
      <c r="AL3" s="31"/>
      <c r="AM3" s="71" t="s">
        <v>208</v>
      </c>
      <c r="AN3" s="72" t="s">
        <v>38</v>
      </c>
      <c r="AO3" s="31"/>
      <c r="AP3" s="31"/>
      <c r="AQ3" s="31"/>
      <c r="AR3" s="31"/>
      <c r="AS3" s="71" t="s">
        <v>185</v>
      </c>
      <c r="AT3" s="72" t="s">
        <v>211</v>
      </c>
      <c r="AU3" s="31"/>
      <c r="AV3" s="31"/>
      <c r="AW3" s="31"/>
      <c r="AX3" s="71" t="s">
        <v>185</v>
      </c>
      <c r="AY3" s="78" t="s">
        <v>212</v>
      </c>
      <c r="AZ3" s="31"/>
      <c r="BA3" s="31"/>
      <c r="BB3" s="31"/>
      <c r="BC3" s="31"/>
      <c r="BD3" s="31"/>
      <c r="BE3" s="48">
        <v>20240621</v>
      </c>
      <c r="BF3" s="31"/>
      <c r="BG3" s="31" t="s">
        <v>215</v>
      </c>
      <c r="BH3" s="31" t="s">
        <v>216</v>
      </c>
      <c r="BI3" s="31"/>
      <c r="BJ3" s="73" t="s">
        <v>187</v>
      </c>
      <c r="BK3" s="31" t="s">
        <v>217</v>
      </c>
      <c r="BL3" s="31"/>
      <c r="BM3" s="79" t="s">
        <v>185</v>
      </c>
      <c r="BN3" s="81"/>
      <c r="BO3" s="82" t="s">
        <v>218</v>
      </c>
      <c r="BP3" s="31"/>
      <c r="BQ3" s="31"/>
      <c r="BR3" s="83" t="s">
        <v>186</v>
      </c>
      <c r="BS3" s="31"/>
      <c r="BT3" s="84" t="s">
        <v>105</v>
      </c>
      <c r="BU3" s="31"/>
      <c r="BV3" s="75" t="s">
        <v>106</v>
      </c>
      <c r="BW3" s="31"/>
      <c r="BX3" s="85" t="s">
        <v>220</v>
      </c>
      <c r="BY3" s="31"/>
      <c r="BZ3" s="85" t="s">
        <v>221</v>
      </c>
      <c r="CA3" s="31"/>
      <c r="CB3" s="85" t="s">
        <v>222</v>
      </c>
      <c r="CC3" s="31"/>
      <c r="CD3" s="85" t="s">
        <v>223</v>
      </c>
      <c r="CE3" s="31"/>
      <c r="CF3" s="75" t="s">
        <v>114</v>
      </c>
      <c r="CG3" s="31"/>
      <c r="CH3" s="85" t="s">
        <v>224</v>
      </c>
      <c r="CI3" s="31"/>
      <c r="CJ3" s="75" t="s">
        <v>225</v>
      </c>
      <c r="CK3" s="31"/>
      <c r="CL3" s="75" t="s">
        <v>226</v>
      </c>
      <c r="CM3" s="31"/>
      <c r="CN3" s="75" t="s">
        <v>227</v>
      </c>
      <c r="CO3" s="31"/>
      <c r="CP3" s="75" t="s">
        <v>228</v>
      </c>
      <c r="CQ3" s="31"/>
      <c r="CR3" s="75" t="s">
        <v>120</v>
      </c>
      <c r="CS3" s="31"/>
      <c r="CT3" s="75" t="s">
        <v>229</v>
      </c>
      <c r="CU3" s="31"/>
      <c r="CV3" s="75" t="s">
        <v>122</v>
      </c>
      <c r="CW3" s="31"/>
      <c r="CX3" s="85" t="s">
        <v>231</v>
      </c>
      <c r="CY3" s="31"/>
      <c r="CZ3" s="75" t="s">
        <v>232</v>
      </c>
      <c r="DA3" s="31"/>
      <c r="DB3" s="75" t="s">
        <v>233</v>
      </c>
      <c r="DC3" s="31"/>
      <c r="DD3" s="75" t="s">
        <v>234</v>
      </c>
      <c r="DE3" s="31"/>
      <c r="DF3" s="75" t="s">
        <v>129</v>
      </c>
      <c r="DG3" s="31"/>
      <c r="DH3" s="75" t="s">
        <v>235</v>
      </c>
      <c r="DI3" s="31"/>
      <c r="DJ3" s="75" t="s">
        <v>131</v>
      </c>
      <c r="DK3" s="31"/>
      <c r="DL3" s="75" t="s">
        <v>238</v>
      </c>
      <c r="DM3" s="31"/>
      <c r="DN3" s="75" t="s">
        <v>133</v>
      </c>
      <c r="DO3" s="31"/>
      <c r="DP3" s="75" t="s">
        <v>239</v>
      </c>
      <c r="DQ3" s="31"/>
      <c r="DR3" s="75" t="s">
        <v>242</v>
      </c>
      <c r="DS3" s="31"/>
      <c r="DT3" s="75" t="s">
        <v>137</v>
      </c>
      <c r="DU3" s="31"/>
      <c r="DV3" s="75" t="s">
        <v>138</v>
      </c>
      <c r="DW3" s="31"/>
      <c r="DX3" s="75" t="s">
        <v>243</v>
      </c>
      <c r="DY3" s="31"/>
      <c r="DZ3" s="75" t="s">
        <v>246</v>
      </c>
      <c r="EA3" s="31"/>
      <c r="EB3" s="75" t="s">
        <v>142</v>
      </c>
      <c r="EC3" s="31"/>
      <c r="ED3" s="75" t="s">
        <v>143</v>
      </c>
      <c r="EE3" s="31"/>
      <c r="EF3" s="75" t="s">
        <v>248</v>
      </c>
      <c r="EG3" s="31"/>
      <c r="EH3" s="75" t="s">
        <v>250</v>
      </c>
      <c r="EI3" s="31"/>
      <c r="EJ3" s="75" t="s">
        <v>251</v>
      </c>
      <c r="EK3" s="31"/>
      <c r="EL3" s="75" t="s">
        <v>149</v>
      </c>
      <c r="EM3" s="31"/>
      <c r="EN3" s="87" t="s">
        <v>254</v>
      </c>
      <c r="EO3" s="31"/>
      <c r="EP3" s="75" t="s">
        <v>255</v>
      </c>
      <c r="EQ3" s="31"/>
      <c r="ER3" s="75" t="s">
        <v>258</v>
      </c>
      <c r="ES3" s="31"/>
      <c r="ET3" s="75" t="s">
        <v>259</v>
      </c>
      <c r="EU3" s="31"/>
      <c r="EV3" s="75" t="s">
        <v>156</v>
      </c>
      <c r="EW3" s="31"/>
      <c r="EX3" s="75" t="s">
        <v>157</v>
      </c>
      <c r="EY3" s="31"/>
      <c r="EZ3" s="75" t="s">
        <v>260</v>
      </c>
      <c r="FA3" s="31"/>
      <c r="FB3" s="75" t="s">
        <v>263</v>
      </c>
      <c r="FC3" s="31"/>
      <c r="FD3" s="75" t="s">
        <v>162</v>
      </c>
      <c r="FE3" s="31"/>
      <c r="FF3" s="75" t="s">
        <v>264</v>
      </c>
      <c r="FG3" s="31"/>
      <c r="FH3" s="75" t="s">
        <v>265</v>
      </c>
      <c r="FI3" s="31"/>
      <c r="FJ3" s="75" t="s">
        <v>268</v>
      </c>
      <c r="FK3" s="31"/>
      <c r="FL3" s="75" t="s">
        <v>269</v>
      </c>
      <c r="FM3" s="31"/>
      <c r="FN3" s="75" t="s">
        <v>270</v>
      </c>
      <c r="FO3" s="31"/>
      <c r="FP3" s="75" t="s">
        <v>171</v>
      </c>
      <c r="FQ3" s="31"/>
      <c r="FR3" s="75" t="s">
        <v>273</v>
      </c>
      <c r="FS3" s="31"/>
      <c r="FT3" s="75" t="s">
        <v>274</v>
      </c>
      <c r="FU3" s="31"/>
      <c r="FV3" s="75"/>
      <c r="FW3" s="31"/>
      <c r="FX3" s="75" t="s">
        <v>277</v>
      </c>
      <c r="FY3" s="31"/>
      <c r="FZ3" s="75" t="s">
        <v>178</v>
      </c>
      <c r="GA3" s="31"/>
      <c r="GB3" s="75" t="s">
        <v>278</v>
      </c>
      <c r="GC3" s="31"/>
      <c r="GD3" s="75" t="s">
        <v>280</v>
      </c>
      <c r="GE3" s="31"/>
      <c r="GF3" s="75" t="s">
        <v>282</v>
      </c>
      <c r="GG3" s="31"/>
      <c r="GH3" s="75" t="s">
        <v>283</v>
      </c>
    </row>
    <row r="4" spans="1:190" ht="14.4" x14ac:dyDescent="0.3">
      <c r="A4" s="71" t="s">
        <v>187</v>
      </c>
      <c r="B4" s="75" t="s">
        <v>286</v>
      </c>
      <c r="C4" s="31"/>
      <c r="D4" s="31"/>
      <c r="E4" s="73" t="s">
        <v>187</v>
      </c>
      <c r="F4" s="74" t="s">
        <v>287</v>
      </c>
      <c r="G4" s="75" t="s">
        <v>290</v>
      </c>
      <c r="H4" s="75" t="s">
        <v>187</v>
      </c>
      <c r="I4" s="75" t="s">
        <v>287</v>
      </c>
      <c r="J4" s="31"/>
      <c r="K4" s="31"/>
      <c r="L4" s="31">
        <v>1</v>
      </c>
      <c r="M4" s="31">
        <v>1</v>
      </c>
      <c r="N4" s="76" t="s">
        <v>287</v>
      </c>
      <c r="O4" s="48" t="s">
        <v>291</v>
      </c>
      <c r="P4" s="31">
        <v>1</v>
      </c>
      <c r="Q4" s="31">
        <v>1</v>
      </c>
      <c r="R4" s="31" t="s">
        <v>287</v>
      </c>
      <c r="S4" s="31"/>
      <c r="T4" s="31">
        <v>2</v>
      </c>
      <c r="U4" s="88" t="s">
        <v>194</v>
      </c>
      <c r="V4" s="88" t="s">
        <v>294</v>
      </c>
      <c r="W4" s="88" t="s">
        <v>295</v>
      </c>
      <c r="X4" s="71" t="s">
        <v>296</v>
      </c>
      <c r="Y4" s="71" t="s">
        <v>297</v>
      </c>
      <c r="Z4" s="72" t="s">
        <v>269</v>
      </c>
      <c r="AA4" s="32" t="s">
        <v>202</v>
      </c>
      <c r="AB4" s="32" t="s">
        <v>300</v>
      </c>
      <c r="AC4" s="32" t="s">
        <v>301</v>
      </c>
      <c r="AD4" s="31" t="s">
        <v>302</v>
      </c>
      <c r="AE4" s="31" t="s">
        <v>303</v>
      </c>
      <c r="AF4" s="31" t="s">
        <v>304</v>
      </c>
      <c r="AG4" s="31"/>
      <c r="AH4" s="31"/>
      <c r="AI4" s="31"/>
      <c r="AJ4" s="31"/>
      <c r="AK4" s="31"/>
      <c r="AL4" s="31"/>
      <c r="AM4" s="71" t="s">
        <v>307</v>
      </c>
      <c r="AN4" s="75" t="s">
        <v>308</v>
      </c>
      <c r="AO4" s="31"/>
      <c r="AP4" s="31"/>
      <c r="AQ4" s="31"/>
      <c r="AR4" s="31"/>
      <c r="AS4" s="71" t="s">
        <v>187</v>
      </c>
      <c r="AT4" s="72" t="s">
        <v>309</v>
      </c>
      <c r="AU4" s="31"/>
      <c r="AV4" s="31"/>
      <c r="AW4" s="31"/>
      <c r="AX4" s="71" t="s">
        <v>187</v>
      </c>
      <c r="AY4" s="78" t="s">
        <v>312</v>
      </c>
      <c r="AZ4" s="31"/>
      <c r="BA4" s="31"/>
      <c r="BB4" s="31"/>
      <c r="BC4" s="31"/>
      <c r="BD4" s="31"/>
      <c r="BE4" s="48"/>
      <c r="BF4" s="31"/>
      <c r="BG4" s="31">
        <v>101</v>
      </c>
      <c r="BH4" s="31" t="s">
        <v>313</v>
      </c>
      <c r="BI4" s="31"/>
      <c r="BJ4" s="73" t="s">
        <v>287</v>
      </c>
      <c r="BK4" s="31" t="s">
        <v>314</v>
      </c>
      <c r="BL4" s="31"/>
      <c r="BM4" s="81" t="s">
        <v>187</v>
      </c>
      <c r="BN4" s="81"/>
      <c r="BO4" s="90" t="s">
        <v>104</v>
      </c>
      <c r="BP4" s="31"/>
      <c r="BQ4" s="31"/>
      <c r="BR4" s="31"/>
      <c r="BS4" s="31"/>
      <c r="BT4" s="85" t="s">
        <v>112</v>
      </c>
      <c r="BU4" s="31"/>
      <c r="BV4" s="75" t="s">
        <v>108</v>
      </c>
      <c r="BW4" s="31"/>
      <c r="BX4" s="91" t="s">
        <v>316</v>
      </c>
      <c r="BY4" s="31"/>
      <c r="BZ4" s="31"/>
      <c r="CA4" s="31"/>
      <c r="CB4" s="31"/>
      <c r="CC4" s="31"/>
      <c r="CD4" s="31"/>
      <c r="CE4" s="31"/>
      <c r="CF4" s="75" t="s">
        <v>115</v>
      </c>
      <c r="CG4" s="31"/>
      <c r="CH4" s="91" t="s">
        <v>317</v>
      </c>
      <c r="CI4" s="31"/>
      <c r="CJ4" s="31"/>
      <c r="CK4" s="31"/>
      <c r="CL4" s="31"/>
      <c r="CM4" s="31"/>
      <c r="CN4" s="75" t="s">
        <v>318</v>
      </c>
      <c r="CO4" s="31"/>
      <c r="CP4" s="75" t="s">
        <v>319</v>
      </c>
      <c r="CQ4" s="31"/>
      <c r="CR4" s="31"/>
      <c r="CS4" s="31"/>
      <c r="CT4" s="31"/>
      <c r="CU4" s="31"/>
      <c r="CV4" s="75" t="s">
        <v>123</v>
      </c>
      <c r="CW4" s="31"/>
      <c r="CX4" s="91" t="s">
        <v>320</v>
      </c>
      <c r="CY4" s="31"/>
      <c r="CZ4" s="75" t="s">
        <v>321</v>
      </c>
      <c r="DA4" s="31"/>
      <c r="DB4" s="75" t="s">
        <v>322</v>
      </c>
      <c r="DC4" s="31"/>
      <c r="DD4" s="75" t="s">
        <v>323</v>
      </c>
      <c r="DE4" s="31"/>
      <c r="DF4" s="31"/>
      <c r="DG4" s="31"/>
      <c r="DH4" s="75" t="s">
        <v>324</v>
      </c>
      <c r="DI4" s="31"/>
      <c r="DJ4" s="31"/>
      <c r="DK4" s="31"/>
      <c r="DL4" s="75" t="s">
        <v>325</v>
      </c>
      <c r="DM4" s="31"/>
      <c r="DN4" s="75" t="s">
        <v>134</v>
      </c>
      <c r="DO4" s="31"/>
      <c r="DP4" s="75" t="s">
        <v>328</v>
      </c>
      <c r="DQ4" s="31"/>
      <c r="DR4" s="75" t="s">
        <v>329</v>
      </c>
      <c r="DS4" s="31"/>
      <c r="DT4" s="31"/>
      <c r="DU4" s="31"/>
      <c r="DV4" s="75" t="s">
        <v>139</v>
      </c>
      <c r="DW4" s="31"/>
      <c r="DX4" s="31"/>
      <c r="DY4" s="31"/>
      <c r="DZ4" s="75" t="s">
        <v>332</v>
      </c>
      <c r="EA4" s="31"/>
      <c r="EB4" s="75" t="s">
        <v>147</v>
      </c>
      <c r="EC4" s="31"/>
      <c r="ED4" s="75" t="s">
        <v>144</v>
      </c>
      <c r="EE4" s="31"/>
      <c r="EF4" s="75" t="s">
        <v>335</v>
      </c>
      <c r="EG4" s="31"/>
      <c r="EH4" s="31"/>
      <c r="EI4" s="31"/>
      <c r="EJ4" s="31"/>
      <c r="EK4" s="31"/>
      <c r="EL4" s="75" t="s">
        <v>150</v>
      </c>
      <c r="EM4" s="31"/>
      <c r="EN4" s="31"/>
      <c r="EO4" s="31"/>
      <c r="EP4" s="75" t="s">
        <v>336</v>
      </c>
      <c r="EQ4" s="31"/>
      <c r="ER4" s="75" t="s">
        <v>337</v>
      </c>
      <c r="ES4" s="31"/>
      <c r="ET4" s="31"/>
      <c r="EU4" s="31"/>
      <c r="EV4" s="75" t="s">
        <v>159</v>
      </c>
      <c r="EW4" s="31"/>
      <c r="EX4" s="93" t="s">
        <v>158</v>
      </c>
      <c r="EY4" s="31"/>
      <c r="EZ4" s="75" t="s">
        <v>340</v>
      </c>
      <c r="FA4" s="31"/>
      <c r="FB4" s="75"/>
      <c r="FC4" s="31"/>
      <c r="FD4" s="75" t="s">
        <v>163</v>
      </c>
      <c r="FE4" s="31"/>
      <c r="FF4" s="75" t="s">
        <v>343</v>
      </c>
      <c r="FG4" s="31"/>
      <c r="FH4" s="75" t="s">
        <v>344</v>
      </c>
      <c r="FI4" s="31"/>
      <c r="FJ4" s="75" t="s">
        <v>347</v>
      </c>
      <c r="FK4" s="31"/>
      <c r="FL4" s="75" t="s">
        <v>348</v>
      </c>
      <c r="FM4" s="31"/>
      <c r="FN4" s="75" t="s">
        <v>349</v>
      </c>
      <c r="FO4" s="31"/>
      <c r="FP4" s="75" t="s">
        <v>173</v>
      </c>
      <c r="FQ4" s="31"/>
      <c r="FR4" s="75" t="s">
        <v>352</v>
      </c>
      <c r="FS4" s="31"/>
      <c r="FT4" s="75" t="s">
        <v>353</v>
      </c>
      <c r="FU4" s="31"/>
      <c r="FV4" s="31"/>
      <c r="FW4" s="31"/>
      <c r="FX4" s="31"/>
      <c r="FY4" s="31"/>
      <c r="FZ4" s="75" t="s">
        <v>180</v>
      </c>
      <c r="GA4" s="31"/>
      <c r="GB4" s="75" t="s">
        <v>354</v>
      </c>
      <c r="GC4" s="31"/>
      <c r="GD4" s="75" t="s">
        <v>356</v>
      </c>
      <c r="GE4" s="31"/>
      <c r="GF4" s="75" t="s">
        <v>357</v>
      </c>
      <c r="GG4" s="31"/>
      <c r="GH4" s="75" t="s">
        <v>358</v>
      </c>
    </row>
    <row r="5" spans="1:190" ht="14.4" x14ac:dyDescent="0.3">
      <c r="A5" s="71" t="s">
        <v>287</v>
      </c>
      <c r="B5" s="75" t="s">
        <v>359</v>
      </c>
      <c r="C5" s="31"/>
      <c r="D5" s="31"/>
      <c r="E5" s="73" t="s">
        <v>187</v>
      </c>
      <c r="F5" s="74" t="s">
        <v>360</v>
      </c>
      <c r="G5" s="75" t="s">
        <v>361</v>
      </c>
      <c r="H5" s="75" t="s">
        <v>187</v>
      </c>
      <c r="I5" s="75" t="s">
        <v>360</v>
      </c>
      <c r="J5" s="31"/>
      <c r="K5" s="31"/>
      <c r="L5" s="31">
        <v>1</v>
      </c>
      <c r="M5" s="31">
        <v>1</v>
      </c>
      <c r="N5" s="76" t="s">
        <v>360</v>
      </c>
      <c r="O5" s="48" t="s">
        <v>362</v>
      </c>
      <c r="P5" s="31">
        <v>1</v>
      </c>
      <c r="Q5" s="31">
        <v>1</v>
      </c>
      <c r="R5" s="31" t="s">
        <v>360</v>
      </c>
      <c r="S5" s="31"/>
      <c r="T5" s="31">
        <v>3</v>
      </c>
      <c r="U5" s="94" t="s">
        <v>187</v>
      </c>
      <c r="V5" s="94" t="s">
        <v>187</v>
      </c>
      <c r="W5" s="94" t="s">
        <v>363</v>
      </c>
      <c r="X5" s="71" t="s">
        <v>364</v>
      </c>
      <c r="Y5" s="71" t="s">
        <v>366</v>
      </c>
      <c r="Z5" s="72" t="s">
        <v>368</v>
      </c>
      <c r="AA5" s="32" t="s">
        <v>286</v>
      </c>
      <c r="AB5" s="32" t="s">
        <v>190</v>
      </c>
      <c r="AC5" s="32" t="s">
        <v>303</v>
      </c>
      <c r="AD5" s="31"/>
      <c r="AE5" s="31"/>
      <c r="AF5" s="31" t="s">
        <v>190</v>
      </c>
      <c r="AG5" s="31"/>
      <c r="AH5" s="31"/>
      <c r="AI5" s="31"/>
      <c r="AJ5" s="31"/>
      <c r="AK5" s="31"/>
      <c r="AL5" s="31"/>
      <c r="AM5" s="71" t="s">
        <v>371</v>
      </c>
      <c r="AN5" s="72" t="s">
        <v>372</v>
      </c>
      <c r="AO5" s="31"/>
      <c r="AP5" s="31"/>
      <c r="AQ5" s="31"/>
      <c r="AR5" s="31"/>
      <c r="AS5" s="71" t="s">
        <v>287</v>
      </c>
      <c r="AT5" s="75" t="s">
        <v>374</v>
      </c>
      <c r="AU5" s="31"/>
      <c r="AV5" s="31"/>
      <c r="AW5" s="31"/>
      <c r="AX5" s="71" t="s">
        <v>287</v>
      </c>
      <c r="AY5" s="78" t="s">
        <v>376</v>
      </c>
      <c r="AZ5" s="31"/>
      <c r="BA5" s="31"/>
      <c r="BB5" s="31"/>
      <c r="BC5" s="31"/>
      <c r="BD5" s="31"/>
      <c r="BE5" s="31"/>
      <c r="BF5" s="31"/>
      <c r="BG5" s="31">
        <v>102</v>
      </c>
      <c r="BH5" s="31" t="s">
        <v>379</v>
      </c>
      <c r="BI5" s="31"/>
      <c r="BJ5" s="73" t="s">
        <v>360</v>
      </c>
      <c r="BK5" s="31" t="s">
        <v>380</v>
      </c>
      <c r="BL5" s="31"/>
      <c r="BM5" s="79" t="s">
        <v>287</v>
      </c>
      <c r="BN5" s="97"/>
      <c r="BO5" s="98" t="s">
        <v>135</v>
      </c>
      <c r="BP5" s="31"/>
      <c r="BQ5" s="31"/>
      <c r="BR5" s="31"/>
      <c r="BS5" s="31"/>
      <c r="BT5" s="91" t="s">
        <v>119</v>
      </c>
      <c r="BU5" s="31"/>
      <c r="BV5" s="75" t="s">
        <v>109</v>
      </c>
      <c r="BW5" s="31"/>
      <c r="BX5" s="31"/>
      <c r="BY5" s="31"/>
      <c r="BZ5" s="31"/>
      <c r="CA5" s="31"/>
      <c r="CB5" s="31"/>
      <c r="CC5" s="31"/>
      <c r="CD5" s="31"/>
      <c r="CE5" s="31"/>
      <c r="CF5" s="75" t="s">
        <v>116</v>
      </c>
      <c r="CG5" s="31"/>
      <c r="CH5" s="85" t="s">
        <v>385</v>
      </c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75" t="s">
        <v>125</v>
      </c>
      <c r="CW5" s="31"/>
      <c r="CX5" s="85" t="s">
        <v>388</v>
      </c>
      <c r="CY5" s="31"/>
      <c r="CZ5" s="75" t="s">
        <v>391</v>
      </c>
      <c r="DA5" s="31"/>
      <c r="DB5" s="75" t="s">
        <v>392</v>
      </c>
      <c r="DC5" s="31"/>
      <c r="DD5" s="75" t="s">
        <v>393</v>
      </c>
      <c r="DE5" s="31"/>
      <c r="DF5" s="31"/>
      <c r="DG5" s="31"/>
      <c r="DH5" s="75" t="s">
        <v>396</v>
      </c>
      <c r="DI5" s="31"/>
      <c r="DJ5" s="31"/>
      <c r="DK5" s="31"/>
      <c r="DL5" s="75" t="s">
        <v>397</v>
      </c>
      <c r="DM5" s="31"/>
      <c r="DN5" s="31"/>
      <c r="DO5" s="31"/>
      <c r="DP5" s="31"/>
      <c r="DQ5" s="31"/>
      <c r="DR5" s="75" t="s">
        <v>399</v>
      </c>
      <c r="DS5" s="31"/>
      <c r="DT5" s="31"/>
      <c r="DU5" s="31"/>
      <c r="DV5" s="31"/>
      <c r="DW5" s="31"/>
      <c r="DX5" s="31"/>
      <c r="DY5" s="31"/>
      <c r="DZ5" s="75" t="s">
        <v>401</v>
      </c>
      <c r="EA5" s="31"/>
      <c r="EB5" s="31"/>
      <c r="EC5" s="31"/>
      <c r="ED5" s="75" t="s">
        <v>145</v>
      </c>
      <c r="EE5" s="31"/>
      <c r="EF5" s="75" t="s">
        <v>404</v>
      </c>
      <c r="EG5" s="31"/>
      <c r="EH5" s="31"/>
      <c r="EI5" s="31"/>
      <c r="EJ5" s="31"/>
      <c r="EK5" s="31"/>
      <c r="EL5" s="75" t="s">
        <v>151</v>
      </c>
      <c r="EM5" s="31"/>
      <c r="EN5" s="31"/>
      <c r="EO5" s="31"/>
      <c r="EP5" s="31"/>
      <c r="EQ5" s="31"/>
      <c r="ER5" s="75" t="s">
        <v>406</v>
      </c>
      <c r="ES5" s="31"/>
      <c r="ET5" s="31"/>
      <c r="EU5" s="31"/>
      <c r="EV5" s="75" t="s">
        <v>169</v>
      </c>
      <c r="EW5" s="31"/>
      <c r="EX5" s="31"/>
      <c r="EY5" s="31"/>
      <c r="EZ5" s="75" t="s">
        <v>407</v>
      </c>
      <c r="FA5" s="31"/>
      <c r="FB5" s="75"/>
      <c r="FC5" s="31"/>
      <c r="FD5" s="75" t="s">
        <v>164</v>
      </c>
      <c r="FE5" s="31"/>
      <c r="FF5" s="75" t="s">
        <v>408</v>
      </c>
      <c r="FG5" s="31"/>
      <c r="FH5" s="75" t="s">
        <v>409</v>
      </c>
      <c r="FI5" s="31"/>
      <c r="FJ5" s="75" t="s">
        <v>410</v>
      </c>
      <c r="FK5" s="31"/>
      <c r="FL5" s="75" t="s">
        <v>411</v>
      </c>
      <c r="FM5" s="31"/>
      <c r="FN5" s="75" t="s">
        <v>412</v>
      </c>
      <c r="FO5" s="31"/>
      <c r="FP5" s="75" t="s">
        <v>174</v>
      </c>
      <c r="FQ5" s="31"/>
      <c r="FR5" s="75" t="s">
        <v>413</v>
      </c>
      <c r="FS5" s="31"/>
      <c r="FT5" s="75" t="s">
        <v>414</v>
      </c>
      <c r="FU5" s="31"/>
      <c r="FV5" s="31"/>
      <c r="FW5" s="31"/>
      <c r="FX5" s="31"/>
      <c r="FY5" s="31"/>
      <c r="FZ5" s="75" t="s">
        <v>181</v>
      </c>
      <c r="GA5" s="31"/>
      <c r="GB5" s="75" t="s">
        <v>415</v>
      </c>
      <c r="GC5" s="31"/>
      <c r="GD5" s="75" t="s">
        <v>416</v>
      </c>
      <c r="GE5" s="31"/>
      <c r="GF5" s="75" t="s">
        <v>417</v>
      </c>
      <c r="GG5" s="31"/>
      <c r="GH5" s="31"/>
    </row>
    <row r="6" spans="1:190" ht="14.4" x14ac:dyDescent="0.3">
      <c r="A6" s="71" t="s">
        <v>360</v>
      </c>
      <c r="B6" s="75" t="s">
        <v>418</v>
      </c>
      <c r="C6" s="31"/>
      <c r="D6" s="31"/>
      <c r="E6" s="73" t="s">
        <v>187</v>
      </c>
      <c r="F6" s="74" t="s">
        <v>194</v>
      </c>
      <c r="G6" s="75" t="s">
        <v>419</v>
      </c>
      <c r="H6" s="75" t="s">
        <v>187</v>
      </c>
      <c r="I6" s="75" t="s">
        <v>194</v>
      </c>
      <c r="J6" s="31"/>
      <c r="K6" s="31"/>
      <c r="L6" s="31">
        <v>1</v>
      </c>
      <c r="M6" s="31">
        <v>1</v>
      </c>
      <c r="N6" s="73" t="s">
        <v>194</v>
      </c>
      <c r="O6" s="31" t="s">
        <v>420</v>
      </c>
      <c r="P6" s="31">
        <v>1</v>
      </c>
      <c r="Q6" s="31">
        <v>1</v>
      </c>
      <c r="R6" s="31" t="s">
        <v>194</v>
      </c>
      <c r="S6" s="31"/>
      <c r="T6" s="31">
        <v>4</v>
      </c>
      <c r="U6" s="88" t="s">
        <v>194</v>
      </c>
      <c r="V6" s="88" t="s">
        <v>294</v>
      </c>
      <c r="W6" s="88" t="s">
        <v>422</v>
      </c>
      <c r="X6" s="71" t="s">
        <v>423</v>
      </c>
      <c r="Y6" s="71" t="s">
        <v>424</v>
      </c>
      <c r="Z6" s="72" t="s">
        <v>270</v>
      </c>
      <c r="AA6" s="32" t="s">
        <v>202</v>
      </c>
      <c r="AB6" s="32" t="s">
        <v>300</v>
      </c>
      <c r="AC6" s="32" t="s">
        <v>425</v>
      </c>
      <c r="AD6" s="31" t="s">
        <v>303</v>
      </c>
      <c r="AE6" s="31"/>
      <c r="AF6" s="31" t="s">
        <v>426</v>
      </c>
      <c r="AG6" s="31"/>
      <c r="AH6" s="31"/>
      <c r="AI6" s="31"/>
      <c r="AJ6" s="31"/>
      <c r="AK6" s="31"/>
      <c r="AL6" s="31"/>
      <c r="AM6" s="71" t="s">
        <v>427</v>
      </c>
      <c r="AN6" s="72" t="s">
        <v>428</v>
      </c>
      <c r="AO6" s="31"/>
      <c r="AP6" s="31"/>
      <c r="AQ6" s="31"/>
      <c r="AR6" s="31"/>
      <c r="AS6" s="71" t="s">
        <v>360</v>
      </c>
      <c r="AT6" s="72" t="s">
        <v>431</v>
      </c>
      <c r="AU6" s="31"/>
      <c r="AV6" s="31"/>
      <c r="AW6" s="31"/>
      <c r="AX6" s="71" t="s">
        <v>360</v>
      </c>
      <c r="AY6" s="78" t="s">
        <v>432</v>
      </c>
      <c r="AZ6" s="31"/>
      <c r="BA6" s="31"/>
      <c r="BB6" s="31"/>
      <c r="BC6" s="31"/>
      <c r="BD6" s="31"/>
      <c r="BE6" s="31"/>
      <c r="BF6" s="31"/>
      <c r="BG6" s="31">
        <v>103</v>
      </c>
      <c r="BH6" s="31" t="s">
        <v>433</v>
      </c>
      <c r="BI6" s="31"/>
      <c r="BJ6" s="73" t="s">
        <v>194</v>
      </c>
      <c r="BK6" s="31" t="s">
        <v>436</v>
      </c>
      <c r="BL6" s="31"/>
      <c r="BM6" s="81" t="s">
        <v>360</v>
      </c>
      <c r="BN6" s="97"/>
      <c r="BO6" s="100" t="s">
        <v>141</v>
      </c>
      <c r="BP6" s="31"/>
      <c r="BQ6" s="31"/>
      <c r="BR6" s="31"/>
      <c r="BS6" s="31"/>
      <c r="BT6" s="85" t="s">
        <v>121</v>
      </c>
      <c r="BU6" s="31"/>
      <c r="BV6" s="75" t="s">
        <v>111</v>
      </c>
      <c r="BW6" s="31"/>
      <c r="BX6" s="31"/>
      <c r="BY6" s="31"/>
      <c r="BZ6" s="31"/>
      <c r="CA6" s="31"/>
      <c r="CB6" s="31"/>
      <c r="CC6" s="31"/>
      <c r="CD6" s="31"/>
      <c r="CE6" s="31"/>
      <c r="CF6" s="75" t="s">
        <v>117</v>
      </c>
      <c r="CG6" s="31"/>
      <c r="CH6" s="91" t="s">
        <v>439</v>
      </c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75" t="s">
        <v>126</v>
      </c>
      <c r="CW6" s="31"/>
      <c r="CX6" s="91" t="s">
        <v>442</v>
      </c>
      <c r="CY6" s="31"/>
      <c r="CZ6" s="75" t="s">
        <v>443</v>
      </c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75" t="s">
        <v>446</v>
      </c>
      <c r="DM6" s="31"/>
      <c r="DN6" s="31"/>
      <c r="DO6" s="31"/>
      <c r="DP6" s="31"/>
      <c r="DQ6" s="31"/>
      <c r="DR6" s="75" t="s">
        <v>447</v>
      </c>
      <c r="DS6" s="31"/>
      <c r="DT6" s="31"/>
      <c r="DU6" s="31"/>
      <c r="DV6" s="31"/>
      <c r="DW6" s="31"/>
      <c r="DX6" s="31"/>
      <c r="DY6" s="31"/>
      <c r="DZ6" s="75" t="s">
        <v>450</v>
      </c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75" t="s">
        <v>152</v>
      </c>
      <c r="EM6" s="31"/>
      <c r="EN6" s="31"/>
      <c r="EO6" s="31"/>
      <c r="EP6" s="31"/>
      <c r="EQ6" s="31"/>
      <c r="ER6" s="31"/>
      <c r="ES6" s="31"/>
      <c r="ET6" s="31"/>
      <c r="EU6" s="31"/>
      <c r="EV6" s="75" t="s">
        <v>176</v>
      </c>
      <c r="EW6" s="31"/>
      <c r="EX6" s="31"/>
      <c r="EY6" s="31"/>
      <c r="EZ6" s="75" t="s">
        <v>453</v>
      </c>
      <c r="FA6" s="31"/>
      <c r="FB6" s="75"/>
      <c r="FC6" s="31"/>
      <c r="FD6" s="75" t="s">
        <v>167</v>
      </c>
      <c r="FE6" s="31"/>
      <c r="FF6" s="75" t="s">
        <v>456</v>
      </c>
      <c r="FG6" s="31"/>
      <c r="FH6" s="75" t="s">
        <v>457</v>
      </c>
      <c r="FI6" s="31"/>
      <c r="FJ6" s="75" t="s">
        <v>458</v>
      </c>
      <c r="FK6" s="31"/>
      <c r="FL6" s="75" t="s">
        <v>459</v>
      </c>
      <c r="FM6" s="31"/>
      <c r="FN6" s="75" t="s">
        <v>461</v>
      </c>
      <c r="FO6" s="31"/>
      <c r="FP6" s="75" t="s">
        <v>175</v>
      </c>
      <c r="FQ6" s="31"/>
      <c r="FR6" s="75" t="s">
        <v>462</v>
      </c>
      <c r="FS6" s="31"/>
      <c r="FT6" s="75" t="s">
        <v>463</v>
      </c>
      <c r="FU6" s="31"/>
      <c r="FV6" s="31"/>
      <c r="FW6" s="31"/>
      <c r="FX6" s="31"/>
      <c r="FY6" s="31"/>
      <c r="FZ6" s="75" t="s">
        <v>182</v>
      </c>
      <c r="GA6" s="31"/>
      <c r="GB6" s="75" t="s">
        <v>464</v>
      </c>
      <c r="GC6" s="31"/>
      <c r="GD6" s="75" t="s">
        <v>465</v>
      </c>
      <c r="GE6" s="31"/>
      <c r="GF6" s="75" t="s">
        <v>466</v>
      </c>
      <c r="GG6" s="31"/>
      <c r="GH6" s="31"/>
    </row>
    <row r="7" spans="1:190" ht="14.4" x14ac:dyDescent="0.3">
      <c r="A7" s="71" t="s">
        <v>194</v>
      </c>
      <c r="B7" s="75" t="s">
        <v>202</v>
      </c>
      <c r="C7" s="31"/>
      <c r="D7" s="31"/>
      <c r="E7" s="73" t="s">
        <v>187</v>
      </c>
      <c r="F7" s="74" t="s">
        <v>469</v>
      </c>
      <c r="G7" s="75" t="s">
        <v>470</v>
      </c>
      <c r="H7" s="75" t="s">
        <v>187</v>
      </c>
      <c r="I7" s="75" t="s">
        <v>469</v>
      </c>
      <c r="J7" s="31"/>
      <c r="K7" s="31"/>
      <c r="L7" s="31">
        <v>1</v>
      </c>
      <c r="M7" s="31">
        <v>2</v>
      </c>
      <c r="N7" s="76" t="s">
        <v>469</v>
      </c>
      <c r="O7" s="48" t="s">
        <v>473</v>
      </c>
      <c r="P7" s="31">
        <v>1</v>
      </c>
      <c r="Q7" s="31">
        <v>2</v>
      </c>
      <c r="R7" s="31" t="s">
        <v>187</v>
      </c>
      <c r="S7" s="31"/>
      <c r="T7" s="31">
        <v>5</v>
      </c>
      <c r="U7" s="94" t="s">
        <v>187</v>
      </c>
      <c r="V7" s="94" t="s">
        <v>469</v>
      </c>
      <c r="W7" s="94" t="s">
        <v>474</v>
      </c>
      <c r="X7" s="71" t="s">
        <v>475</v>
      </c>
      <c r="Y7" s="71" t="s">
        <v>478</v>
      </c>
      <c r="Z7" s="72" t="s">
        <v>479</v>
      </c>
      <c r="AA7" s="32" t="s">
        <v>286</v>
      </c>
      <c r="AB7" s="32" t="s">
        <v>470</v>
      </c>
      <c r="AC7" s="32" t="s">
        <v>480</v>
      </c>
      <c r="AD7" s="31" t="s">
        <v>481</v>
      </c>
      <c r="AE7" s="31" t="s">
        <v>303</v>
      </c>
      <c r="AF7" s="31" t="s">
        <v>483</v>
      </c>
      <c r="AG7" s="31"/>
      <c r="AH7" s="31"/>
      <c r="AI7" s="31"/>
      <c r="AJ7" s="31"/>
      <c r="AK7" s="31"/>
      <c r="AL7" s="31"/>
      <c r="AM7" s="71" t="s">
        <v>484</v>
      </c>
      <c r="AN7" s="72" t="s">
        <v>485</v>
      </c>
      <c r="AO7" s="31"/>
      <c r="AP7" s="31"/>
      <c r="AQ7" s="31"/>
      <c r="AR7" s="31"/>
      <c r="AS7" s="71" t="s">
        <v>194</v>
      </c>
      <c r="AT7" s="72" t="s">
        <v>486</v>
      </c>
      <c r="AU7" s="31"/>
      <c r="AV7" s="31"/>
      <c r="AW7" s="31"/>
      <c r="AX7" s="71" t="s">
        <v>194</v>
      </c>
      <c r="AY7" s="78" t="s">
        <v>487</v>
      </c>
      <c r="AZ7" s="31"/>
      <c r="BA7" s="31"/>
      <c r="BB7" s="31"/>
      <c r="BC7" s="31"/>
      <c r="BD7" s="31"/>
      <c r="BE7" s="31"/>
      <c r="BF7" s="31"/>
      <c r="BG7" s="31">
        <v>104</v>
      </c>
      <c r="BH7" s="31" t="s">
        <v>488</v>
      </c>
      <c r="BI7" s="31"/>
      <c r="BJ7" s="73" t="s">
        <v>469</v>
      </c>
      <c r="BK7" s="31" t="s">
        <v>489</v>
      </c>
      <c r="BL7" s="31"/>
      <c r="BM7" s="103" t="s">
        <v>194</v>
      </c>
      <c r="BN7" s="97"/>
      <c r="BO7" s="98" t="s">
        <v>153</v>
      </c>
      <c r="BP7" s="31"/>
      <c r="BQ7" s="31"/>
      <c r="BR7" s="31"/>
      <c r="BS7" s="31"/>
      <c r="BT7" s="91" t="s">
        <v>128</v>
      </c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75" t="s">
        <v>118</v>
      </c>
      <c r="CG7" s="31"/>
      <c r="CH7" s="85" t="s">
        <v>496</v>
      </c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85" t="s">
        <v>497</v>
      </c>
      <c r="CY7" s="31"/>
      <c r="CZ7" s="75" t="s">
        <v>500</v>
      </c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75" t="s">
        <v>501</v>
      </c>
      <c r="DS7" s="31"/>
      <c r="DT7" s="31"/>
      <c r="DU7" s="31"/>
      <c r="DV7" s="31"/>
      <c r="DW7" s="31"/>
      <c r="DX7" s="31"/>
      <c r="DY7" s="31"/>
      <c r="DZ7" s="75" t="s">
        <v>502</v>
      </c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75" t="s">
        <v>505</v>
      </c>
      <c r="FA7" s="31"/>
      <c r="FB7" s="75"/>
      <c r="FC7" s="31"/>
      <c r="FD7" s="75" t="s">
        <v>168</v>
      </c>
      <c r="FE7" s="31"/>
      <c r="FF7" s="75" t="s">
        <v>507</v>
      </c>
      <c r="FG7" s="31"/>
      <c r="FH7" s="75" t="s">
        <v>508</v>
      </c>
      <c r="FI7" s="31"/>
      <c r="FJ7" s="75" t="s">
        <v>509</v>
      </c>
      <c r="FK7" s="31"/>
      <c r="FL7" s="75" t="s">
        <v>510</v>
      </c>
      <c r="FM7" s="31"/>
      <c r="FN7" s="75" t="s">
        <v>511</v>
      </c>
      <c r="FO7" s="31"/>
      <c r="FP7" s="31"/>
      <c r="FQ7" s="31"/>
      <c r="FR7" s="75" t="s">
        <v>512</v>
      </c>
      <c r="FS7" s="31"/>
      <c r="FT7" s="75" t="s">
        <v>515</v>
      </c>
      <c r="FU7" s="31"/>
      <c r="FV7" s="31"/>
      <c r="FW7" s="31"/>
      <c r="FX7" s="31"/>
      <c r="FY7" s="31"/>
      <c r="FZ7" s="31"/>
      <c r="GA7" s="31"/>
      <c r="GB7" s="31"/>
      <c r="GC7" s="31"/>
      <c r="GD7" s="75" t="s">
        <v>516</v>
      </c>
      <c r="GE7" s="31"/>
      <c r="GF7" s="75" t="s">
        <v>518</v>
      </c>
      <c r="GG7" s="31"/>
      <c r="GH7" s="31"/>
    </row>
    <row r="8" spans="1:190" ht="14.4" x14ac:dyDescent="0.3">
      <c r="A8" s="31"/>
      <c r="B8" s="31"/>
      <c r="C8" s="31"/>
      <c r="D8" s="31"/>
      <c r="E8" s="73" t="s">
        <v>187</v>
      </c>
      <c r="F8" s="74" t="s">
        <v>520</v>
      </c>
      <c r="G8" s="75" t="s">
        <v>521</v>
      </c>
      <c r="H8" s="75" t="s">
        <v>187</v>
      </c>
      <c r="I8" s="75" t="s">
        <v>520</v>
      </c>
      <c r="J8" s="31"/>
      <c r="K8" s="31"/>
      <c r="L8" s="31">
        <v>1</v>
      </c>
      <c r="M8" s="31">
        <v>2</v>
      </c>
      <c r="N8" s="76" t="s">
        <v>520</v>
      </c>
      <c r="O8" s="48" t="s">
        <v>524</v>
      </c>
      <c r="P8" s="31">
        <v>1</v>
      </c>
      <c r="Q8" s="31">
        <v>2</v>
      </c>
      <c r="R8" s="31" t="s">
        <v>287</v>
      </c>
      <c r="S8" s="31"/>
      <c r="T8" s="31">
        <v>6</v>
      </c>
      <c r="U8" s="88" t="s">
        <v>194</v>
      </c>
      <c r="V8" s="88" t="s">
        <v>195</v>
      </c>
      <c r="W8" s="88" t="s">
        <v>196</v>
      </c>
      <c r="X8" s="71" t="s">
        <v>525</v>
      </c>
      <c r="Y8" s="71" t="s">
        <v>526</v>
      </c>
      <c r="Z8" s="72" t="s">
        <v>527</v>
      </c>
      <c r="AA8" s="32" t="s">
        <v>202</v>
      </c>
      <c r="AB8" s="32" t="s">
        <v>203</v>
      </c>
      <c r="AC8" s="32" t="s">
        <v>204</v>
      </c>
      <c r="AD8" s="31" t="s">
        <v>205</v>
      </c>
      <c r="AE8" s="31" t="s">
        <v>206</v>
      </c>
      <c r="AF8" s="31" t="s">
        <v>207</v>
      </c>
      <c r="AG8" s="31"/>
      <c r="AH8" s="31"/>
      <c r="AI8" s="31"/>
      <c r="AJ8" s="31"/>
      <c r="AK8" s="31"/>
      <c r="AL8" s="31"/>
      <c r="AM8" s="71" t="s">
        <v>530</v>
      </c>
      <c r="AN8" s="72" t="s">
        <v>531</v>
      </c>
      <c r="AO8" s="31"/>
      <c r="AP8" s="31"/>
      <c r="AQ8" s="31"/>
      <c r="AR8" s="31"/>
      <c r="AS8" s="71" t="s">
        <v>469</v>
      </c>
      <c r="AT8" s="72" t="s">
        <v>534</v>
      </c>
      <c r="AU8" s="31"/>
      <c r="AV8" s="31"/>
      <c r="AW8" s="31"/>
      <c r="AX8" s="104" t="s">
        <v>469</v>
      </c>
      <c r="AY8" s="105" t="s">
        <v>535</v>
      </c>
      <c r="AZ8" s="31"/>
      <c r="BA8" s="31"/>
      <c r="BB8" s="31"/>
      <c r="BC8" s="31"/>
      <c r="BD8" s="31"/>
      <c r="BE8" s="31"/>
      <c r="BF8" s="31"/>
      <c r="BG8" s="31">
        <v>105</v>
      </c>
      <c r="BH8" s="31" t="s">
        <v>538</v>
      </c>
      <c r="BI8" s="31"/>
      <c r="BJ8" s="73" t="s">
        <v>520</v>
      </c>
      <c r="BK8" s="31" t="s">
        <v>539</v>
      </c>
      <c r="BL8" s="31"/>
      <c r="BM8" s="31"/>
      <c r="BN8" s="31"/>
      <c r="BO8" s="31"/>
      <c r="BP8" s="31"/>
      <c r="BQ8" s="31"/>
      <c r="BR8" s="31"/>
      <c r="BS8" s="31"/>
      <c r="BT8" s="85" t="s">
        <v>130</v>
      </c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91" t="s">
        <v>542</v>
      </c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75" t="s">
        <v>545</v>
      </c>
      <c r="DS8" s="31"/>
      <c r="DT8" s="31"/>
      <c r="DU8" s="31"/>
      <c r="DV8" s="31"/>
      <c r="DW8" s="31"/>
      <c r="DX8" s="31"/>
      <c r="DY8" s="31"/>
      <c r="DZ8" s="75" t="s">
        <v>546</v>
      </c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75" t="s">
        <v>549</v>
      </c>
      <c r="FA8" s="31"/>
      <c r="FB8" s="75"/>
      <c r="FC8" s="31"/>
      <c r="FD8" s="31"/>
      <c r="FE8" s="31"/>
      <c r="FF8" s="31"/>
      <c r="FG8" s="31"/>
      <c r="FH8" s="75" t="s">
        <v>550</v>
      </c>
      <c r="FI8" s="31"/>
      <c r="FJ8" s="75" t="s">
        <v>551</v>
      </c>
      <c r="FK8" s="31"/>
      <c r="FL8" s="31"/>
      <c r="FM8" s="31"/>
      <c r="FN8" s="75" t="s">
        <v>554</v>
      </c>
      <c r="FO8" s="31"/>
      <c r="FP8" s="31"/>
      <c r="FQ8" s="31"/>
      <c r="FR8" s="75" t="s">
        <v>555</v>
      </c>
      <c r="FS8" s="31"/>
      <c r="FT8" s="75" t="s">
        <v>556</v>
      </c>
      <c r="FU8" s="31"/>
      <c r="FV8" s="31"/>
      <c r="FW8" s="31"/>
      <c r="FX8" s="31"/>
      <c r="FY8" s="31"/>
      <c r="FZ8" s="31"/>
      <c r="GA8" s="31"/>
      <c r="GB8" s="31"/>
      <c r="GC8" s="31"/>
      <c r="GD8" s="75" t="s">
        <v>557</v>
      </c>
      <c r="GE8" s="31"/>
      <c r="GF8" s="75" t="s">
        <v>560</v>
      </c>
      <c r="GG8" s="31"/>
      <c r="GH8" s="31"/>
    </row>
    <row r="9" spans="1:190" ht="14.4" x14ac:dyDescent="0.3">
      <c r="A9" s="31"/>
      <c r="B9" s="31"/>
      <c r="C9" s="31"/>
      <c r="D9" s="31"/>
      <c r="E9" s="73" t="s">
        <v>187</v>
      </c>
      <c r="F9" s="74" t="s">
        <v>561</v>
      </c>
      <c r="G9" s="75" t="s">
        <v>562</v>
      </c>
      <c r="H9" s="75" t="s">
        <v>187</v>
      </c>
      <c r="I9" s="75" t="s">
        <v>561</v>
      </c>
      <c r="J9" s="31"/>
      <c r="K9" s="31"/>
      <c r="L9" s="31">
        <v>1</v>
      </c>
      <c r="M9" s="31">
        <v>2</v>
      </c>
      <c r="N9" s="76" t="s">
        <v>561</v>
      </c>
      <c r="O9" s="48" t="s">
        <v>565</v>
      </c>
      <c r="P9" s="31">
        <v>1</v>
      </c>
      <c r="Q9" s="31">
        <v>2</v>
      </c>
      <c r="R9" s="31" t="s">
        <v>360</v>
      </c>
      <c r="S9" s="31"/>
      <c r="T9" s="31">
        <v>7</v>
      </c>
      <c r="U9" s="106" t="s">
        <v>187</v>
      </c>
      <c r="V9" s="94" t="s">
        <v>187</v>
      </c>
      <c r="W9" s="94" t="s">
        <v>363</v>
      </c>
      <c r="X9" s="71" t="s">
        <v>566</v>
      </c>
      <c r="Y9" s="71" t="s">
        <v>567</v>
      </c>
      <c r="Z9" s="72" t="s">
        <v>570</v>
      </c>
      <c r="AA9" s="32" t="s">
        <v>286</v>
      </c>
      <c r="AB9" s="32" t="s">
        <v>190</v>
      </c>
      <c r="AC9" s="32" t="s">
        <v>303</v>
      </c>
      <c r="AD9" s="31"/>
      <c r="AE9" s="31"/>
      <c r="AF9" s="31" t="s">
        <v>571</v>
      </c>
      <c r="AG9" s="31"/>
      <c r="AH9" s="31"/>
      <c r="AI9" s="31"/>
      <c r="AJ9" s="31"/>
      <c r="AK9" s="31"/>
      <c r="AL9" s="31"/>
      <c r="AM9" s="71" t="s">
        <v>572</v>
      </c>
      <c r="AN9" s="72" t="s">
        <v>573</v>
      </c>
      <c r="AO9" s="31"/>
      <c r="AP9" s="31"/>
      <c r="AQ9" s="31"/>
      <c r="AR9" s="31"/>
      <c r="AS9" s="71" t="s">
        <v>520</v>
      </c>
      <c r="AT9" s="72" t="s">
        <v>576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>
        <v>106</v>
      </c>
      <c r="BH9" s="31" t="s">
        <v>577</v>
      </c>
      <c r="BI9" s="31"/>
      <c r="BJ9" s="73" t="s">
        <v>561</v>
      </c>
      <c r="BK9" s="31" t="s">
        <v>580</v>
      </c>
      <c r="BL9" s="31"/>
      <c r="BM9" s="31"/>
      <c r="BN9" s="31"/>
      <c r="BO9" s="31"/>
      <c r="BP9" s="31"/>
      <c r="BQ9" s="31"/>
      <c r="BR9" s="31"/>
      <c r="BS9" s="31"/>
      <c r="BT9" s="91" t="s">
        <v>132</v>
      </c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75" t="s">
        <v>583</v>
      </c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75" t="s">
        <v>586</v>
      </c>
      <c r="FA9" s="31"/>
      <c r="FB9" s="75"/>
      <c r="FC9" s="31"/>
      <c r="FD9" s="31"/>
      <c r="FE9" s="31"/>
      <c r="FF9" s="31"/>
      <c r="FG9" s="31"/>
      <c r="FH9" s="31"/>
      <c r="FI9" s="31"/>
      <c r="FJ9" s="75" t="s">
        <v>589</v>
      </c>
      <c r="FK9" s="31"/>
      <c r="FL9" s="31"/>
      <c r="FM9" s="31"/>
      <c r="FN9" s="31"/>
      <c r="FO9" s="31"/>
      <c r="FP9" s="31"/>
      <c r="FQ9" s="31"/>
      <c r="FR9" s="75" t="s">
        <v>590</v>
      </c>
      <c r="FS9" s="31"/>
      <c r="FT9" s="75" t="s">
        <v>593</v>
      </c>
      <c r="FU9" s="31"/>
      <c r="FV9" s="31"/>
      <c r="FW9" s="31"/>
      <c r="FX9" s="31"/>
      <c r="FY9" s="31"/>
      <c r="FZ9" s="31"/>
      <c r="GA9" s="31"/>
      <c r="GB9" s="31"/>
      <c r="GC9" s="31"/>
      <c r="GD9" s="75" t="s">
        <v>594</v>
      </c>
      <c r="GE9" s="31"/>
      <c r="GF9" s="31"/>
      <c r="GG9" s="31"/>
      <c r="GH9" s="31"/>
    </row>
    <row r="10" spans="1:190" ht="14.4" x14ac:dyDescent="0.3">
      <c r="A10" s="31"/>
      <c r="B10" s="31"/>
      <c r="C10" s="31"/>
      <c r="D10" s="31"/>
      <c r="E10" s="73" t="s">
        <v>287</v>
      </c>
      <c r="F10" s="74" t="s">
        <v>595</v>
      </c>
      <c r="G10" s="75" t="s">
        <v>598</v>
      </c>
      <c r="H10" s="75" t="s">
        <v>287</v>
      </c>
      <c r="I10" s="75" t="s">
        <v>187</v>
      </c>
      <c r="J10" s="31"/>
      <c r="K10" s="31"/>
      <c r="L10" s="31">
        <v>1</v>
      </c>
      <c r="M10" s="31">
        <v>2</v>
      </c>
      <c r="N10" s="73" t="s">
        <v>595</v>
      </c>
      <c r="O10" s="48" t="s">
        <v>599</v>
      </c>
      <c r="P10" s="31">
        <v>1</v>
      </c>
      <c r="Q10" s="31">
        <v>2</v>
      </c>
      <c r="R10" s="31" t="s">
        <v>194</v>
      </c>
      <c r="S10" s="31"/>
      <c r="T10" s="31">
        <v>8</v>
      </c>
      <c r="U10" s="88" t="s">
        <v>360</v>
      </c>
      <c r="V10" s="88" t="s">
        <v>600</v>
      </c>
      <c r="W10" s="88" t="s">
        <v>601</v>
      </c>
      <c r="X10" s="71" t="s">
        <v>602</v>
      </c>
      <c r="Y10" s="71" t="s">
        <v>603</v>
      </c>
      <c r="Z10" s="72" t="s">
        <v>604</v>
      </c>
      <c r="AA10" s="32" t="s">
        <v>418</v>
      </c>
      <c r="AB10" s="32" t="s">
        <v>605</v>
      </c>
      <c r="AC10" s="32" t="s">
        <v>606</v>
      </c>
      <c r="AD10" s="31" t="s">
        <v>608</v>
      </c>
      <c r="AE10" s="31" t="s">
        <v>303</v>
      </c>
      <c r="AF10" s="31" t="s">
        <v>610</v>
      </c>
      <c r="AG10" s="31"/>
      <c r="AH10" s="31"/>
      <c r="AI10" s="31"/>
      <c r="AJ10" s="31"/>
      <c r="AK10" s="31"/>
      <c r="AL10" s="31"/>
      <c r="AM10" s="71" t="s">
        <v>611</v>
      </c>
      <c r="AN10" s="72" t="s">
        <v>612</v>
      </c>
      <c r="AO10" s="31"/>
      <c r="AP10" s="31"/>
      <c r="AQ10" s="31"/>
      <c r="AR10" s="31"/>
      <c r="AS10" s="71" t="s">
        <v>561</v>
      </c>
      <c r="AT10" s="72" t="s">
        <v>615</v>
      </c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>
        <v>107</v>
      </c>
      <c r="BH10" s="31" t="s">
        <v>616</v>
      </c>
      <c r="BI10" s="31"/>
      <c r="BJ10" s="73" t="s">
        <v>595</v>
      </c>
      <c r="BK10" s="31" t="s">
        <v>617</v>
      </c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75" t="s">
        <v>622</v>
      </c>
      <c r="FA10" s="31"/>
      <c r="FB10" s="75"/>
      <c r="FC10" s="31"/>
      <c r="FD10" s="31"/>
      <c r="FE10" s="31"/>
      <c r="FF10" s="31"/>
      <c r="FG10" s="31"/>
      <c r="FH10" s="31"/>
      <c r="FI10" s="31"/>
      <c r="FJ10" s="75" t="s">
        <v>623</v>
      </c>
      <c r="FK10" s="31"/>
      <c r="FL10" s="31"/>
      <c r="FM10" s="31"/>
      <c r="FN10" s="31"/>
      <c r="FO10" s="31"/>
      <c r="FP10" s="31"/>
      <c r="FQ10" s="31"/>
      <c r="FR10" s="75" t="s">
        <v>624</v>
      </c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75" t="s">
        <v>626</v>
      </c>
      <c r="GE10" s="31"/>
      <c r="GF10" s="31"/>
      <c r="GG10" s="31"/>
      <c r="GH10" s="31"/>
    </row>
    <row r="11" spans="1:190" ht="14.4" x14ac:dyDescent="0.3">
      <c r="A11" s="31"/>
      <c r="B11" s="31"/>
      <c r="C11" s="31"/>
      <c r="D11" s="31"/>
      <c r="E11" s="73" t="s">
        <v>360</v>
      </c>
      <c r="F11" s="74" t="s">
        <v>600</v>
      </c>
      <c r="G11" s="75" t="s">
        <v>605</v>
      </c>
      <c r="H11" s="75" t="s">
        <v>360</v>
      </c>
      <c r="I11" s="75" t="s">
        <v>187</v>
      </c>
      <c r="J11" s="31"/>
      <c r="K11" s="31"/>
      <c r="L11" s="31">
        <v>1</v>
      </c>
      <c r="M11" s="31">
        <v>2</v>
      </c>
      <c r="N11" s="76" t="s">
        <v>600</v>
      </c>
      <c r="O11" s="48" t="s">
        <v>627</v>
      </c>
      <c r="P11" s="31">
        <v>1</v>
      </c>
      <c r="Q11" s="31">
        <v>2</v>
      </c>
      <c r="R11" s="31" t="s">
        <v>469</v>
      </c>
      <c r="S11" s="31"/>
      <c r="T11" s="31">
        <v>9</v>
      </c>
      <c r="U11" s="94" t="s">
        <v>187</v>
      </c>
      <c r="V11" s="94" t="s">
        <v>561</v>
      </c>
      <c r="W11" s="94" t="s">
        <v>628</v>
      </c>
      <c r="X11" s="71" t="s">
        <v>629</v>
      </c>
      <c r="Y11" s="71" t="s">
        <v>630</v>
      </c>
      <c r="Z11" s="72" t="s">
        <v>631</v>
      </c>
      <c r="AA11" s="32" t="s">
        <v>286</v>
      </c>
      <c r="AB11" s="32" t="s">
        <v>562</v>
      </c>
      <c r="AC11" s="32" t="s">
        <v>632</v>
      </c>
      <c r="AD11" s="31" t="s">
        <v>633</v>
      </c>
      <c r="AE11" s="31" t="s">
        <v>634</v>
      </c>
      <c r="AF11" s="31" t="s">
        <v>635</v>
      </c>
      <c r="AG11" s="31"/>
      <c r="AH11" s="31"/>
      <c r="AI11" s="31"/>
      <c r="AJ11" s="31"/>
      <c r="AK11" s="31"/>
      <c r="AL11" s="31"/>
      <c r="AM11" s="71" t="s">
        <v>636</v>
      </c>
      <c r="AN11" s="72" t="s">
        <v>637</v>
      </c>
      <c r="AO11" s="31"/>
      <c r="AP11" s="31"/>
      <c r="AQ11" s="31"/>
      <c r="AR11" s="31"/>
      <c r="AS11" s="71" t="s">
        <v>595</v>
      </c>
      <c r="AT11" s="72" t="s">
        <v>638</v>
      </c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>
        <v>108</v>
      </c>
      <c r="BH11" s="31" t="s">
        <v>639</v>
      </c>
      <c r="BI11" s="31"/>
      <c r="BJ11" s="73" t="s">
        <v>600</v>
      </c>
      <c r="BK11" s="31" t="s">
        <v>640</v>
      </c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75" t="s">
        <v>643</v>
      </c>
      <c r="FA11" s="31"/>
      <c r="FB11" s="75"/>
      <c r="FC11" s="31"/>
      <c r="FD11" s="31"/>
      <c r="FE11" s="31"/>
      <c r="FF11" s="31"/>
      <c r="FG11" s="31"/>
      <c r="FH11" s="31"/>
      <c r="FI11" s="31"/>
      <c r="FJ11" s="75" t="s">
        <v>644</v>
      </c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</row>
    <row r="12" spans="1:190" ht="14.4" x14ac:dyDescent="0.3">
      <c r="A12" s="31"/>
      <c r="B12" s="31"/>
      <c r="C12" s="31"/>
      <c r="D12" s="31"/>
      <c r="E12" s="73" t="s">
        <v>360</v>
      </c>
      <c r="F12" s="74" t="s">
        <v>647</v>
      </c>
      <c r="G12" s="75" t="s">
        <v>648</v>
      </c>
      <c r="H12" s="75" t="s">
        <v>360</v>
      </c>
      <c r="I12" s="75" t="s">
        <v>287</v>
      </c>
      <c r="J12" s="31"/>
      <c r="K12" s="31"/>
      <c r="L12" s="31">
        <v>1</v>
      </c>
      <c r="M12" s="31">
        <v>3</v>
      </c>
      <c r="N12" s="76" t="s">
        <v>647</v>
      </c>
      <c r="O12" s="48" t="s">
        <v>651</v>
      </c>
      <c r="P12" s="31">
        <v>1</v>
      </c>
      <c r="Q12" s="31">
        <v>3</v>
      </c>
      <c r="R12" s="31" t="s">
        <v>187</v>
      </c>
      <c r="S12" s="31"/>
      <c r="T12" s="31">
        <v>10</v>
      </c>
      <c r="U12" s="88" t="s">
        <v>187</v>
      </c>
      <c r="V12" s="88" t="s">
        <v>360</v>
      </c>
      <c r="W12" s="88" t="s">
        <v>363</v>
      </c>
      <c r="X12" s="71" t="s">
        <v>652</v>
      </c>
      <c r="Y12" s="71" t="s">
        <v>653</v>
      </c>
      <c r="Z12" s="72" t="s">
        <v>656</v>
      </c>
      <c r="AA12" s="32" t="s">
        <v>286</v>
      </c>
      <c r="AB12" s="32" t="s">
        <v>361</v>
      </c>
      <c r="AC12" s="32" t="s">
        <v>303</v>
      </c>
      <c r="AD12" s="31"/>
      <c r="AE12" s="31"/>
      <c r="AF12" s="31" t="s">
        <v>361</v>
      </c>
      <c r="AG12" s="31"/>
      <c r="AH12" s="31"/>
      <c r="AI12" s="31"/>
      <c r="AJ12" s="31"/>
      <c r="AK12" s="31"/>
      <c r="AL12" s="31"/>
      <c r="AM12" s="71" t="s">
        <v>657</v>
      </c>
      <c r="AN12" s="72" t="s">
        <v>660</v>
      </c>
      <c r="AO12" s="31"/>
      <c r="AP12" s="31"/>
      <c r="AQ12" s="31"/>
      <c r="AR12" s="31"/>
      <c r="AS12" s="71" t="s">
        <v>600</v>
      </c>
      <c r="AT12" s="72" t="s">
        <v>661</v>
      </c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>
        <v>109</v>
      </c>
      <c r="BH12" s="31" t="s">
        <v>664</v>
      </c>
      <c r="BI12" s="31"/>
      <c r="BJ12" s="73" t="s">
        <v>647</v>
      </c>
      <c r="BK12" s="31" t="s">
        <v>665</v>
      </c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75" t="s">
        <v>672</v>
      </c>
      <c r="FA12" s="31"/>
      <c r="FB12" s="75"/>
      <c r="FC12" s="31"/>
      <c r="FD12" s="31"/>
      <c r="FE12" s="31"/>
      <c r="FF12" s="31"/>
      <c r="FG12" s="31"/>
      <c r="FH12" s="31"/>
      <c r="FI12" s="31"/>
      <c r="FJ12" s="75" t="s">
        <v>674</v>
      </c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</row>
    <row r="13" spans="1:190" ht="14.4" x14ac:dyDescent="0.3">
      <c r="A13" s="31"/>
      <c r="B13" s="31"/>
      <c r="C13" s="31"/>
      <c r="D13" s="31"/>
      <c r="E13" s="73" t="s">
        <v>194</v>
      </c>
      <c r="F13" s="74" t="s">
        <v>195</v>
      </c>
      <c r="G13" s="75" t="s">
        <v>203</v>
      </c>
      <c r="H13" s="75" t="s">
        <v>194</v>
      </c>
      <c r="I13" s="75" t="s">
        <v>187</v>
      </c>
      <c r="J13" s="31"/>
      <c r="K13" s="31"/>
      <c r="L13" s="31">
        <v>1</v>
      </c>
      <c r="M13" s="31">
        <v>4</v>
      </c>
      <c r="N13" s="76" t="s">
        <v>195</v>
      </c>
      <c r="O13" s="48" t="s">
        <v>675</v>
      </c>
      <c r="P13" s="31">
        <v>1</v>
      </c>
      <c r="Q13" s="31">
        <v>4</v>
      </c>
      <c r="R13" s="31" t="s">
        <v>187</v>
      </c>
      <c r="S13" s="31"/>
      <c r="T13" s="31">
        <v>11</v>
      </c>
      <c r="U13" s="94" t="s">
        <v>187</v>
      </c>
      <c r="V13" s="94" t="s">
        <v>187</v>
      </c>
      <c r="W13" s="94" t="s">
        <v>287</v>
      </c>
      <c r="X13" s="71" t="s">
        <v>676</v>
      </c>
      <c r="Y13" s="71" t="s">
        <v>677</v>
      </c>
      <c r="Z13" s="72" t="s">
        <v>678</v>
      </c>
      <c r="AA13" s="32" t="s">
        <v>286</v>
      </c>
      <c r="AB13" s="32" t="s">
        <v>190</v>
      </c>
      <c r="AC13" s="32" t="s">
        <v>291</v>
      </c>
      <c r="AD13" s="31" t="s">
        <v>303</v>
      </c>
      <c r="AE13" s="31"/>
      <c r="AF13" s="31" t="s">
        <v>679</v>
      </c>
      <c r="AG13" s="31"/>
      <c r="AH13" s="31"/>
      <c r="AI13" s="31"/>
      <c r="AJ13" s="31"/>
      <c r="AK13" s="31"/>
      <c r="AL13" s="31"/>
      <c r="AM13" s="71" t="s">
        <v>681</v>
      </c>
      <c r="AN13" s="72" t="s">
        <v>683</v>
      </c>
      <c r="AO13" s="31"/>
      <c r="AP13" s="31"/>
      <c r="AQ13" s="31"/>
      <c r="AR13" s="31"/>
      <c r="AS13" s="71" t="s">
        <v>647</v>
      </c>
      <c r="AT13" s="72" t="s">
        <v>684</v>
      </c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>
        <v>110</v>
      </c>
      <c r="BH13" s="31" t="s">
        <v>687</v>
      </c>
      <c r="BI13" s="31"/>
      <c r="BJ13" s="73" t="s">
        <v>195</v>
      </c>
      <c r="BK13" s="31" t="s">
        <v>688</v>
      </c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75" t="s">
        <v>693</v>
      </c>
      <c r="FA13" s="31"/>
      <c r="FB13" s="75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</row>
    <row r="14" spans="1:190" ht="14.4" x14ac:dyDescent="0.3">
      <c r="A14" s="31"/>
      <c r="B14" s="31"/>
      <c r="C14" s="31"/>
      <c r="D14" s="31"/>
      <c r="E14" s="73" t="s">
        <v>194</v>
      </c>
      <c r="F14" s="74" t="s">
        <v>294</v>
      </c>
      <c r="G14" s="75" t="s">
        <v>300</v>
      </c>
      <c r="H14" s="75" t="s">
        <v>194</v>
      </c>
      <c r="I14" s="75" t="s">
        <v>287</v>
      </c>
      <c r="J14" s="31"/>
      <c r="K14" s="31"/>
      <c r="L14" s="31">
        <v>1</v>
      </c>
      <c r="M14" s="31">
        <v>4</v>
      </c>
      <c r="N14" s="73" t="s">
        <v>294</v>
      </c>
      <c r="O14" s="48" t="s">
        <v>698</v>
      </c>
      <c r="P14" s="31">
        <v>1</v>
      </c>
      <c r="Q14" s="31">
        <v>4</v>
      </c>
      <c r="R14" s="31" t="s">
        <v>287</v>
      </c>
      <c r="S14" s="31"/>
      <c r="T14" s="31">
        <v>12</v>
      </c>
      <c r="U14" s="88" t="s">
        <v>187</v>
      </c>
      <c r="V14" s="88" t="s">
        <v>469</v>
      </c>
      <c r="W14" s="88" t="s">
        <v>474</v>
      </c>
      <c r="X14" s="71" t="s">
        <v>701</v>
      </c>
      <c r="Y14" s="71" t="s">
        <v>702</v>
      </c>
      <c r="Z14" s="72" t="s">
        <v>703</v>
      </c>
      <c r="AA14" s="32" t="s">
        <v>286</v>
      </c>
      <c r="AB14" s="32" t="s">
        <v>470</v>
      </c>
      <c r="AC14" s="32" t="s">
        <v>480</v>
      </c>
      <c r="AD14" s="31" t="s">
        <v>705</v>
      </c>
      <c r="AE14" s="31" t="s">
        <v>303</v>
      </c>
      <c r="AF14" s="31" t="s">
        <v>707</v>
      </c>
      <c r="AG14" s="31"/>
      <c r="AH14" s="31"/>
      <c r="AI14" s="31"/>
      <c r="AJ14" s="31"/>
      <c r="AK14" s="31"/>
      <c r="AL14" s="31"/>
      <c r="AM14" s="71" t="s">
        <v>708</v>
      </c>
      <c r="AN14" s="72" t="s">
        <v>709</v>
      </c>
      <c r="AO14" s="31"/>
      <c r="AP14" s="31"/>
      <c r="AQ14" s="31"/>
      <c r="AR14" s="31"/>
      <c r="AS14" s="71" t="s">
        <v>195</v>
      </c>
      <c r="AT14" s="109" t="s">
        <v>710</v>
      </c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>
        <v>111</v>
      </c>
      <c r="BH14" s="31" t="s">
        <v>713</v>
      </c>
      <c r="BI14" s="31"/>
      <c r="BJ14" s="73" t="s">
        <v>294</v>
      </c>
      <c r="BK14" s="31" t="s">
        <v>714</v>
      </c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75" t="s">
        <v>719</v>
      </c>
      <c r="FA14" s="31"/>
      <c r="FB14" s="75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</row>
    <row r="15" spans="1:190" ht="14.4" x14ac:dyDescent="0.3">
      <c r="A15" s="31"/>
      <c r="B15" s="31"/>
      <c r="C15" s="31"/>
      <c r="D15" s="31"/>
      <c r="E15" s="73" t="s">
        <v>194</v>
      </c>
      <c r="F15" s="74" t="s">
        <v>724</v>
      </c>
      <c r="G15" s="75" t="s">
        <v>725</v>
      </c>
      <c r="H15" s="75" t="s">
        <v>194</v>
      </c>
      <c r="I15" s="75" t="s">
        <v>360</v>
      </c>
      <c r="J15" s="31"/>
      <c r="K15" s="31"/>
      <c r="L15" s="31">
        <v>1</v>
      </c>
      <c r="M15" s="31">
        <v>4</v>
      </c>
      <c r="N15" s="76" t="s">
        <v>724</v>
      </c>
      <c r="O15" s="48" t="s">
        <v>728</v>
      </c>
      <c r="P15" s="31">
        <v>1</v>
      </c>
      <c r="Q15" s="31">
        <v>4</v>
      </c>
      <c r="R15" s="31" t="s">
        <v>360</v>
      </c>
      <c r="S15" s="31"/>
      <c r="T15" s="31">
        <v>13</v>
      </c>
      <c r="U15" s="94" t="s">
        <v>194</v>
      </c>
      <c r="V15" s="94" t="s">
        <v>729</v>
      </c>
      <c r="W15" s="94" t="s">
        <v>730</v>
      </c>
      <c r="X15" s="71" t="s">
        <v>732</v>
      </c>
      <c r="Y15" s="71" t="s">
        <v>734</v>
      </c>
      <c r="Z15" s="72" t="s">
        <v>735</v>
      </c>
      <c r="AA15" s="32" t="s">
        <v>202</v>
      </c>
      <c r="AB15" s="32" t="s">
        <v>736</v>
      </c>
      <c r="AC15" s="32" t="s">
        <v>737</v>
      </c>
      <c r="AD15" s="31" t="s">
        <v>303</v>
      </c>
      <c r="AE15" s="31"/>
      <c r="AF15" s="31" t="s">
        <v>738</v>
      </c>
      <c r="AG15" s="31"/>
      <c r="AH15" s="31"/>
      <c r="AI15" s="31"/>
      <c r="AJ15" s="31"/>
      <c r="AK15" s="31"/>
      <c r="AL15" s="31"/>
      <c r="AM15" s="71" t="s">
        <v>741</v>
      </c>
      <c r="AN15" s="72" t="s">
        <v>742</v>
      </c>
      <c r="AO15" s="31"/>
      <c r="AP15" s="31"/>
      <c r="AQ15" s="31"/>
      <c r="AR15" s="31"/>
      <c r="AS15" s="71" t="s">
        <v>294</v>
      </c>
      <c r="AT15" s="72" t="s">
        <v>743</v>
      </c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>
        <v>112</v>
      </c>
      <c r="BH15" s="31" t="s">
        <v>744</v>
      </c>
      <c r="BI15" s="31"/>
      <c r="BJ15" s="73" t="s">
        <v>724</v>
      </c>
      <c r="BK15" s="31" t="s">
        <v>610</v>
      </c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</row>
    <row r="16" spans="1:190" ht="14.4" x14ac:dyDescent="0.3">
      <c r="A16" s="31"/>
      <c r="B16" s="31"/>
      <c r="C16" s="31"/>
      <c r="D16" s="31"/>
      <c r="E16" s="73" t="s">
        <v>194</v>
      </c>
      <c r="F16" s="74" t="s">
        <v>729</v>
      </c>
      <c r="G16" s="72" t="s">
        <v>736</v>
      </c>
      <c r="H16" s="75" t="s">
        <v>194</v>
      </c>
      <c r="I16" s="75" t="s">
        <v>194</v>
      </c>
      <c r="J16" s="31"/>
      <c r="K16" s="31"/>
      <c r="L16" s="31">
        <v>1</v>
      </c>
      <c r="M16" s="31">
        <v>4</v>
      </c>
      <c r="N16" s="76" t="s">
        <v>729</v>
      </c>
      <c r="O16" s="48" t="s">
        <v>747</v>
      </c>
      <c r="P16" s="31">
        <v>1</v>
      </c>
      <c r="Q16" s="31">
        <v>4</v>
      </c>
      <c r="R16" s="31" t="s">
        <v>194</v>
      </c>
      <c r="S16" s="31"/>
      <c r="T16" s="31">
        <v>14</v>
      </c>
      <c r="U16" s="88" t="s">
        <v>187</v>
      </c>
      <c r="V16" s="88" t="s">
        <v>194</v>
      </c>
      <c r="W16" s="88" t="s">
        <v>195</v>
      </c>
      <c r="X16" s="71" t="s">
        <v>748</v>
      </c>
      <c r="Y16" s="71" t="s">
        <v>749</v>
      </c>
      <c r="Z16" s="72" t="s">
        <v>750</v>
      </c>
      <c r="AA16" s="32" t="s">
        <v>286</v>
      </c>
      <c r="AB16" s="32" t="s">
        <v>419</v>
      </c>
      <c r="AC16" s="32" t="s">
        <v>675</v>
      </c>
      <c r="AD16" s="31" t="s">
        <v>303</v>
      </c>
      <c r="AE16" s="31"/>
      <c r="AF16" s="31" t="s">
        <v>640</v>
      </c>
      <c r="AG16" s="31"/>
      <c r="AH16" s="31"/>
      <c r="AI16" s="31"/>
      <c r="AJ16" s="31"/>
      <c r="AK16" s="31"/>
      <c r="AL16" s="31"/>
      <c r="AM16" s="71" t="s">
        <v>215</v>
      </c>
      <c r="AN16" s="72" t="s">
        <v>752</v>
      </c>
      <c r="AO16" s="31"/>
      <c r="AP16" s="31"/>
      <c r="AQ16" s="31"/>
      <c r="AR16" s="31"/>
      <c r="AS16" s="71" t="s">
        <v>724</v>
      </c>
      <c r="AT16" s="72" t="s">
        <v>753</v>
      </c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>
        <v>113</v>
      </c>
      <c r="BH16" s="31" t="s">
        <v>754</v>
      </c>
      <c r="BI16" s="31"/>
      <c r="BJ16" s="73" t="s">
        <v>729</v>
      </c>
      <c r="BK16" s="31" t="s">
        <v>755</v>
      </c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</row>
    <row r="17" spans="1:190" ht="14.4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>
        <v>1</v>
      </c>
      <c r="M17" s="31">
        <v>5</v>
      </c>
      <c r="N17" s="76" t="s">
        <v>474</v>
      </c>
      <c r="O17" s="48" t="s">
        <v>480</v>
      </c>
      <c r="P17" s="31">
        <v>1</v>
      </c>
      <c r="Q17" s="31">
        <v>5</v>
      </c>
      <c r="R17" s="31" t="s">
        <v>187</v>
      </c>
      <c r="S17" s="31"/>
      <c r="T17" s="31">
        <v>15</v>
      </c>
      <c r="U17" s="94" t="s">
        <v>194</v>
      </c>
      <c r="V17" s="94" t="s">
        <v>724</v>
      </c>
      <c r="W17" s="117" t="s">
        <v>363</v>
      </c>
      <c r="X17" s="71" t="s">
        <v>757</v>
      </c>
      <c r="Y17" s="71" t="s">
        <v>758</v>
      </c>
      <c r="Z17" s="72" t="s">
        <v>759</v>
      </c>
      <c r="AA17" s="32" t="s">
        <v>202</v>
      </c>
      <c r="AB17" s="32" t="s">
        <v>725</v>
      </c>
      <c r="AC17" s="32" t="s">
        <v>303</v>
      </c>
      <c r="AD17" s="31"/>
      <c r="AE17" s="31"/>
      <c r="AF17" s="31" t="s">
        <v>760</v>
      </c>
      <c r="AG17" s="31"/>
      <c r="AH17" s="31"/>
      <c r="AI17" s="31"/>
      <c r="AJ17" s="31"/>
      <c r="AK17" s="31"/>
      <c r="AL17" s="31"/>
      <c r="AM17" s="71" t="s">
        <v>761</v>
      </c>
      <c r="AN17" s="72" t="s">
        <v>762</v>
      </c>
      <c r="AO17" s="31"/>
      <c r="AP17" s="31"/>
      <c r="AQ17" s="31"/>
      <c r="AR17" s="31"/>
      <c r="AS17" s="71" t="s">
        <v>729</v>
      </c>
      <c r="AT17" s="72" t="s">
        <v>764</v>
      </c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>
        <v>114</v>
      </c>
      <c r="BH17" s="31" t="s">
        <v>765</v>
      </c>
      <c r="BI17" s="31"/>
      <c r="BJ17" s="73" t="s">
        <v>474</v>
      </c>
      <c r="BK17" s="31" t="s">
        <v>766</v>
      </c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</row>
    <row r="18" spans="1:190" ht="14.4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>
        <v>1</v>
      </c>
      <c r="M18" s="31">
        <v>6</v>
      </c>
      <c r="N18" s="73" t="s">
        <v>767</v>
      </c>
      <c r="O18" s="48" t="s">
        <v>768</v>
      </c>
      <c r="P18" s="31">
        <v>1</v>
      </c>
      <c r="Q18" s="31">
        <v>6</v>
      </c>
      <c r="R18" s="31" t="s">
        <v>187</v>
      </c>
      <c r="S18" s="31"/>
      <c r="T18" s="31">
        <v>16</v>
      </c>
      <c r="U18" s="88" t="s">
        <v>194</v>
      </c>
      <c r="V18" s="88" t="s">
        <v>729</v>
      </c>
      <c r="W18" s="88" t="s">
        <v>730</v>
      </c>
      <c r="X18" s="71" t="s">
        <v>769</v>
      </c>
      <c r="Y18" s="71" t="s">
        <v>770</v>
      </c>
      <c r="Z18" s="72" t="s">
        <v>771</v>
      </c>
      <c r="AA18" s="32" t="s">
        <v>202</v>
      </c>
      <c r="AB18" s="32" t="s">
        <v>736</v>
      </c>
      <c r="AC18" s="32" t="s">
        <v>737</v>
      </c>
      <c r="AD18" s="31" t="s">
        <v>303</v>
      </c>
      <c r="AE18" s="31"/>
      <c r="AF18" s="31" t="s">
        <v>738</v>
      </c>
      <c r="AG18" s="31"/>
      <c r="AH18" s="31"/>
      <c r="AI18" s="31"/>
      <c r="AJ18" s="31"/>
      <c r="AK18" s="31"/>
      <c r="AL18" s="31"/>
      <c r="AM18" s="71" t="s">
        <v>772</v>
      </c>
      <c r="AN18" s="72" t="s">
        <v>773</v>
      </c>
      <c r="AO18" s="31"/>
      <c r="AP18" s="31"/>
      <c r="AQ18" s="31"/>
      <c r="AR18" s="31"/>
      <c r="AS18" s="71" t="s">
        <v>474</v>
      </c>
      <c r="AT18" s="72" t="s">
        <v>774</v>
      </c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>
        <v>115</v>
      </c>
      <c r="BH18" s="31" t="s">
        <v>775</v>
      </c>
      <c r="BI18" s="31"/>
      <c r="BJ18" s="73" t="s">
        <v>767</v>
      </c>
      <c r="BK18" s="31" t="s">
        <v>571</v>
      </c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</row>
    <row r="19" spans="1:190" ht="14.4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>
        <v>1</v>
      </c>
      <c r="M19" s="31">
        <v>7</v>
      </c>
      <c r="N19" s="76" t="s">
        <v>628</v>
      </c>
      <c r="O19" s="48" t="s">
        <v>632</v>
      </c>
      <c r="P19" s="31">
        <v>1</v>
      </c>
      <c r="Q19" s="31">
        <v>7</v>
      </c>
      <c r="R19" s="31" t="s">
        <v>187</v>
      </c>
      <c r="S19" s="31"/>
      <c r="T19" s="31">
        <v>17</v>
      </c>
      <c r="U19" s="94" t="s">
        <v>194</v>
      </c>
      <c r="V19" s="94" t="s">
        <v>294</v>
      </c>
      <c r="W19" s="94" t="s">
        <v>776</v>
      </c>
      <c r="X19" s="118" t="s">
        <v>777</v>
      </c>
      <c r="Y19" s="71" t="s">
        <v>778</v>
      </c>
      <c r="Z19" s="75" t="s">
        <v>268</v>
      </c>
      <c r="AA19" s="32" t="s">
        <v>202</v>
      </c>
      <c r="AB19" s="32" t="s">
        <v>300</v>
      </c>
      <c r="AC19" s="32" t="s">
        <v>779</v>
      </c>
      <c r="AD19" s="31" t="s">
        <v>780</v>
      </c>
      <c r="AE19" s="31" t="s">
        <v>303</v>
      </c>
      <c r="AF19" s="31" t="s">
        <v>781</v>
      </c>
      <c r="AG19" s="31"/>
      <c r="AH19" s="31"/>
      <c r="AI19" s="31"/>
      <c r="AJ19" s="31"/>
      <c r="AK19" s="31"/>
      <c r="AL19" s="31"/>
      <c r="AM19" s="71" t="s">
        <v>782</v>
      </c>
      <c r="AN19" s="72" t="s">
        <v>783</v>
      </c>
      <c r="AO19" s="31"/>
      <c r="AP19" s="31"/>
      <c r="AQ19" s="31"/>
      <c r="AR19" s="31"/>
      <c r="AS19" s="71" t="s">
        <v>767</v>
      </c>
      <c r="AT19" s="75" t="s">
        <v>784</v>
      </c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>
        <v>116</v>
      </c>
      <c r="BH19" s="31" t="s">
        <v>785</v>
      </c>
      <c r="BI19" s="31"/>
      <c r="BJ19" s="73" t="s">
        <v>628</v>
      </c>
      <c r="BK19" s="31" t="s">
        <v>786</v>
      </c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</row>
    <row r="20" spans="1:190" ht="14.4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>
        <v>1</v>
      </c>
      <c r="M20" s="31">
        <v>7</v>
      </c>
      <c r="N20" s="76" t="s">
        <v>787</v>
      </c>
      <c r="O20" s="41" t="s">
        <v>788</v>
      </c>
      <c r="P20" s="41">
        <v>1</v>
      </c>
      <c r="Q20" s="41">
        <v>7</v>
      </c>
      <c r="R20" s="41" t="s">
        <v>287</v>
      </c>
      <c r="S20" s="41"/>
      <c r="T20" s="41">
        <v>18</v>
      </c>
      <c r="U20" s="88" t="s">
        <v>194</v>
      </c>
      <c r="V20" s="88" t="s">
        <v>724</v>
      </c>
      <c r="W20" s="88" t="s">
        <v>789</v>
      </c>
      <c r="X20" s="71" t="s">
        <v>790</v>
      </c>
      <c r="Y20" s="71" t="s">
        <v>791</v>
      </c>
      <c r="Z20" s="72" t="s">
        <v>792</v>
      </c>
      <c r="AA20" s="32" t="s">
        <v>202</v>
      </c>
      <c r="AB20" s="32" t="s">
        <v>725</v>
      </c>
      <c r="AC20" s="32" t="s">
        <v>793</v>
      </c>
      <c r="AD20" s="31" t="s">
        <v>794</v>
      </c>
      <c r="AE20" s="31" t="s">
        <v>303</v>
      </c>
      <c r="AF20" s="31" t="s">
        <v>760</v>
      </c>
      <c r="AG20" s="31"/>
      <c r="AH20" s="31"/>
      <c r="AI20" s="31"/>
      <c r="AJ20" s="31"/>
      <c r="AK20" s="31"/>
      <c r="AL20" s="31"/>
      <c r="AM20" s="71" t="s">
        <v>795</v>
      </c>
      <c r="AN20" s="72" t="s">
        <v>796</v>
      </c>
      <c r="AO20" s="31"/>
      <c r="AP20" s="31"/>
      <c r="AQ20" s="31"/>
      <c r="AR20" s="31"/>
      <c r="AS20" s="71" t="s">
        <v>628</v>
      </c>
      <c r="AT20" s="72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>
        <v>117</v>
      </c>
      <c r="BH20" s="31" t="s">
        <v>797</v>
      </c>
      <c r="BI20" s="31"/>
      <c r="BJ20" s="73" t="s">
        <v>787</v>
      </c>
      <c r="BK20" s="31" t="s">
        <v>798</v>
      </c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</row>
    <row r="21" spans="1:190" ht="15.75" customHeight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>
        <v>2</v>
      </c>
      <c r="M21" s="31">
        <v>8</v>
      </c>
      <c r="N21" s="76" t="s">
        <v>799</v>
      </c>
      <c r="O21" s="31" t="s">
        <v>800</v>
      </c>
      <c r="P21" s="31">
        <v>2</v>
      </c>
      <c r="Q21" s="31">
        <v>1</v>
      </c>
      <c r="R21" s="31" t="s">
        <v>187</v>
      </c>
      <c r="S21" s="31"/>
      <c r="T21" s="31">
        <v>19</v>
      </c>
      <c r="U21" s="94" t="s">
        <v>194</v>
      </c>
      <c r="V21" s="94" t="s">
        <v>724</v>
      </c>
      <c r="W21" s="94" t="s">
        <v>789</v>
      </c>
      <c r="X21" s="71" t="s">
        <v>801</v>
      </c>
      <c r="Y21" s="71" t="s">
        <v>802</v>
      </c>
      <c r="Z21" s="72" t="s">
        <v>274</v>
      </c>
      <c r="AA21" s="32" t="s">
        <v>202</v>
      </c>
      <c r="AB21" s="32" t="s">
        <v>725</v>
      </c>
      <c r="AC21" s="32" t="s">
        <v>793</v>
      </c>
      <c r="AD21" s="31" t="s">
        <v>303</v>
      </c>
      <c r="AE21" s="31"/>
      <c r="AF21" s="31" t="s">
        <v>760</v>
      </c>
      <c r="AG21" s="31"/>
      <c r="AH21" s="31"/>
      <c r="AI21" s="31"/>
      <c r="AJ21" s="31"/>
      <c r="AK21" s="31"/>
      <c r="AL21" s="31"/>
      <c r="AM21" s="71" t="s">
        <v>803</v>
      </c>
      <c r="AN21" s="72" t="s">
        <v>804</v>
      </c>
      <c r="AO21" s="31"/>
      <c r="AP21" s="31"/>
      <c r="AQ21" s="31"/>
      <c r="AR21" s="31"/>
      <c r="AS21" s="71" t="s">
        <v>787</v>
      </c>
      <c r="AT21" s="72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>
        <v>118</v>
      </c>
      <c r="BH21" s="31" t="s">
        <v>805</v>
      </c>
      <c r="BI21" s="31"/>
      <c r="BJ21" s="73" t="s">
        <v>799</v>
      </c>
      <c r="BK21" s="31" t="s">
        <v>806</v>
      </c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</row>
    <row r="22" spans="1:190" ht="15.75" customHeight="1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>
        <v>2</v>
      </c>
      <c r="M22" s="31">
        <v>8</v>
      </c>
      <c r="N22" s="73" t="s">
        <v>807</v>
      </c>
      <c r="O22" s="31" t="s">
        <v>808</v>
      </c>
      <c r="P22" s="31">
        <v>2</v>
      </c>
      <c r="Q22" s="31">
        <v>1</v>
      </c>
      <c r="R22" s="31" t="s">
        <v>287</v>
      </c>
      <c r="S22" s="31"/>
      <c r="T22" s="31">
        <v>20</v>
      </c>
      <c r="U22" s="88" t="s">
        <v>194</v>
      </c>
      <c r="V22" s="88" t="s">
        <v>724</v>
      </c>
      <c r="W22" s="88" t="s">
        <v>809</v>
      </c>
      <c r="X22" s="71" t="s">
        <v>810</v>
      </c>
      <c r="Y22" s="71" t="s">
        <v>811</v>
      </c>
      <c r="Z22" s="72" t="s">
        <v>812</v>
      </c>
      <c r="AA22" s="32" t="s">
        <v>202</v>
      </c>
      <c r="AB22" s="32" t="s">
        <v>725</v>
      </c>
      <c r="AC22" s="32" t="s">
        <v>813</v>
      </c>
      <c r="AD22" s="31" t="s">
        <v>814</v>
      </c>
      <c r="AE22" s="31" t="s">
        <v>303</v>
      </c>
      <c r="AF22" s="31" t="s">
        <v>815</v>
      </c>
      <c r="AG22" s="31"/>
      <c r="AH22" s="31"/>
      <c r="AI22" s="31"/>
      <c r="AJ22" s="31"/>
      <c r="AK22" s="31"/>
      <c r="AL22" s="31"/>
      <c r="AM22" s="71" t="s">
        <v>816</v>
      </c>
      <c r="AN22" s="72" t="s">
        <v>817</v>
      </c>
      <c r="AO22" s="31"/>
      <c r="AP22" s="31"/>
      <c r="AQ22" s="31"/>
      <c r="AR22" s="31"/>
      <c r="AS22" s="71" t="s">
        <v>799</v>
      </c>
      <c r="AT22" s="72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>
        <v>119</v>
      </c>
      <c r="BH22" s="31" t="s">
        <v>818</v>
      </c>
      <c r="BI22" s="31"/>
      <c r="BJ22" s="73" t="s">
        <v>807</v>
      </c>
      <c r="BK22" s="31" t="s">
        <v>819</v>
      </c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</row>
    <row r="23" spans="1:190" ht="15.75" customHeight="1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>
        <v>3</v>
      </c>
      <c r="M23" s="31">
        <v>9</v>
      </c>
      <c r="N23" s="76" t="s">
        <v>601</v>
      </c>
      <c r="O23" s="31" t="s">
        <v>606</v>
      </c>
      <c r="P23" s="31">
        <v>3</v>
      </c>
      <c r="Q23" s="31">
        <v>1</v>
      </c>
      <c r="R23" s="31" t="s">
        <v>187</v>
      </c>
      <c r="S23" s="31"/>
      <c r="T23" s="31">
        <v>21</v>
      </c>
      <c r="U23" s="94" t="s">
        <v>287</v>
      </c>
      <c r="V23" s="94" t="s">
        <v>595</v>
      </c>
      <c r="W23" s="94" t="s">
        <v>807</v>
      </c>
      <c r="X23" s="71" t="s">
        <v>820</v>
      </c>
      <c r="Y23" s="71" t="s">
        <v>821</v>
      </c>
      <c r="Z23" s="72" t="s">
        <v>822</v>
      </c>
      <c r="AA23" s="32" t="s">
        <v>359</v>
      </c>
      <c r="AB23" s="32" t="s">
        <v>598</v>
      </c>
      <c r="AC23" s="32" t="s">
        <v>808</v>
      </c>
      <c r="AD23" s="31" t="s">
        <v>823</v>
      </c>
      <c r="AE23" s="31" t="s">
        <v>303</v>
      </c>
      <c r="AF23" s="31" t="s">
        <v>824</v>
      </c>
      <c r="AG23" s="31"/>
      <c r="AH23" s="31"/>
      <c r="AI23" s="31"/>
      <c r="AJ23" s="31"/>
      <c r="AK23" s="31"/>
      <c r="AL23" s="31"/>
      <c r="AM23" s="71" t="s">
        <v>825</v>
      </c>
      <c r="AN23" s="72" t="s">
        <v>826</v>
      </c>
      <c r="AO23" s="31"/>
      <c r="AP23" s="31"/>
      <c r="AQ23" s="31"/>
      <c r="AR23" s="31"/>
      <c r="AS23" s="71" t="s">
        <v>807</v>
      </c>
      <c r="AT23" s="72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>
        <v>120</v>
      </c>
      <c r="BH23" s="31" t="s">
        <v>827</v>
      </c>
      <c r="BI23" s="31"/>
      <c r="BJ23" s="73" t="s">
        <v>601</v>
      </c>
      <c r="BK23" s="31" t="s">
        <v>828</v>
      </c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</row>
    <row r="24" spans="1:190" ht="15.75" customHeight="1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>
        <v>3</v>
      </c>
      <c r="M24" s="31">
        <v>9</v>
      </c>
      <c r="N24" s="76" t="s">
        <v>829</v>
      </c>
      <c r="O24" s="31" t="s">
        <v>830</v>
      </c>
      <c r="P24" s="31">
        <v>3</v>
      </c>
      <c r="Q24" s="31">
        <v>1</v>
      </c>
      <c r="R24" s="31" t="s">
        <v>287</v>
      </c>
      <c r="S24" s="31"/>
      <c r="T24" s="31">
        <v>22</v>
      </c>
      <c r="U24" s="88" t="s">
        <v>187</v>
      </c>
      <c r="V24" s="88" t="s">
        <v>194</v>
      </c>
      <c r="W24" s="88" t="s">
        <v>294</v>
      </c>
      <c r="X24" s="71" t="s">
        <v>831</v>
      </c>
      <c r="Y24" s="71" t="s">
        <v>832</v>
      </c>
      <c r="Z24" s="72" t="s">
        <v>833</v>
      </c>
      <c r="AA24" s="32" t="s">
        <v>286</v>
      </c>
      <c r="AB24" s="32" t="s">
        <v>419</v>
      </c>
      <c r="AC24" s="32" t="s">
        <v>698</v>
      </c>
      <c r="AD24" s="31" t="s">
        <v>834</v>
      </c>
      <c r="AE24" s="31" t="s">
        <v>303</v>
      </c>
      <c r="AF24" s="31" t="s">
        <v>786</v>
      </c>
      <c r="AG24" s="31"/>
      <c r="AH24" s="31"/>
      <c r="AI24" s="31"/>
      <c r="AJ24" s="31"/>
      <c r="AK24" s="31"/>
      <c r="AL24" s="31"/>
      <c r="AM24" s="71" t="s">
        <v>835</v>
      </c>
      <c r="AN24" s="72" t="s">
        <v>836</v>
      </c>
      <c r="AO24" s="31"/>
      <c r="AP24" s="31"/>
      <c r="AQ24" s="31"/>
      <c r="AR24" s="31"/>
      <c r="AS24" s="71" t="s">
        <v>601</v>
      </c>
      <c r="AT24" s="72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>
        <v>121</v>
      </c>
      <c r="BH24" s="31" t="s">
        <v>837</v>
      </c>
      <c r="BI24" s="31"/>
      <c r="BJ24" s="73" t="s">
        <v>829</v>
      </c>
      <c r="BK24" s="31" t="s">
        <v>838</v>
      </c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</row>
    <row r="25" spans="1:190" ht="15.75" customHeight="1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>
        <v>3</v>
      </c>
      <c r="M25" s="31">
        <v>9</v>
      </c>
      <c r="N25" s="76" t="s">
        <v>839</v>
      </c>
      <c r="O25" s="31" t="s">
        <v>840</v>
      </c>
      <c r="P25" s="31">
        <v>3</v>
      </c>
      <c r="Q25" s="31">
        <v>1</v>
      </c>
      <c r="R25" s="31" t="s">
        <v>360</v>
      </c>
      <c r="S25" s="31"/>
      <c r="T25" s="31">
        <v>23</v>
      </c>
      <c r="U25" s="94" t="s">
        <v>187</v>
      </c>
      <c r="V25" s="94" t="s">
        <v>520</v>
      </c>
      <c r="W25" s="94" t="s">
        <v>363</v>
      </c>
      <c r="X25" s="71" t="s">
        <v>841</v>
      </c>
      <c r="Y25" s="71" t="s">
        <v>842</v>
      </c>
      <c r="Z25" s="72" t="s">
        <v>843</v>
      </c>
      <c r="AA25" s="32" t="s">
        <v>286</v>
      </c>
      <c r="AB25" s="32" t="s">
        <v>521</v>
      </c>
      <c r="AC25" s="32" t="s">
        <v>303</v>
      </c>
      <c r="AD25" s="31"/>
      <c r="AE25" s="31"/>
      <c r="AF25" s="31" t="s">
        <v>521</v>
      </c>
      <c r="AG25" s="31"/>
      <c r="AH25" s="31"/>
      <c r="AI25" s="31"/>
      <c r="AJ25" s="31"/>
      <c r="AK25" s="31"/>
      <c r="AL25" s="31"/>
      <c r="AM25" s="71" t="s">
        <v>844</v>
      </c>
      <c r="AN25" s="72" t="s">
        <v>845</v>
      </c>
      <c r="AO25" s="31"/>
      <c r="AP25" s="31"/>
      <c r="AQ25" s="31"/>
      <c r="AR25" s="31"/>
      <c r="AS25" s="71" t="s">
        <v>829</v>
      </c>
      <c r="AT25" s="72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>
        <v>122</v>
      </c>
      <c r="BH25" s="31" t="s">
        <v>846</v>
      </c>
      <c r="BI25" s="31"/>
      <c r="BJ25" s="73" t="s">
        <v>839</v>
      </c>
      <c r="BK25" s="31" t="s">
        <v>847</v>
      </c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</row>
    <row r="26" spans="1:190" ht="15.75" customHeight="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>
        <v>3</v>
      </c>
      <c r="M26" s="31">
        <v>10</v>
      </c>
      <c r="N26" s="73" t="s">
        <v>848</v>
      </c>
      <c r="O26" s="31" t="s">
        <v>849</v>
      </c>
      <c r="P26" s="31">
        <v>3</v>
      </c>
      <c r="Q26" s="31">
        <v>2</v>
      </c>
      <c r="R26" s="31" t="s">
        <v>187</v>
      </c>
      <c r="S26" s="31"/>
      <c r="T26" s="31">
        <v>24</v>
      </c>
      <c r="U26" s="88" t="s">
        <v>187</v>
      </c>
      <c r="V26" s="88" t="s">
        <v>520</v>
      </c>
      <c r="W26" s="88" t="s">
        <v>767</v>
      </c>
      <c r="X26" s="71" t="s">
        <v>850</v>
      </c>
      <c r="Y26" s="71" t="s">
        <v>851</v>
      </c>
      <c r="Z26" s="72" t="s">
        <v>852</v>
      </c>
      <c r="AA26" s="32" t="s">
        <v>286</v>
      </c>
      <c r="AB26" s="32" t="s">
        <v>521</v>
      </c>
      <c r="AC26" s="32" t="s">
        <v>768</v>
      </c>
      <c r="AD26" s="31" t="s">
        <v>303</v>
      </c>
      <c r="AE26" s="31"/>
      <c r="AF26" s="31" t="s">
        <v>853</v>
      </c>
      <c r="AG26" s="31"/>
      <c r="AH26" s="31"/>
      <c r="AI26" s="31"/>
      <c r="AJ26" s="31"/>
      <c r="AK26" s="31"/>
      <c r="AL26" s="31"/>
      <c r="AM26" s="71" t="s">
        <v>854</v>
      </c>
      <c r="AN26" s="72" t="s">
        <v>855</v>
      </c>
      <c r="AO26" s="31"/>
      <c r="AP26" s="31"/>
      <c r="AQ26" s="31"/>
      <c r="AR26" s="31"/>
      <c r="AS26" s="71" t="s">
        <v>839</v>
      </c>
      <c r="AT26" s="72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>
        <v>123</v>
      </c>
      <c r="BH26" s="31" t="s">
        <v>856</v>
      </c>
      <c r="BI26" s="31"/>
      <c r="BJ26" s="73" t="s">
        <v>848</v>
      </c>
      <c r="BK26" s="31" t="s">
        <v>857</v>
      </c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</row>
    <row r="27" spans="1:190" ht="15.75" customHeight="1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>
        <v>3</v>
      </c>
      <c r="M27" s="31">
        <v>10</v>
      </c>
      <c r="N27" s="76" t="s">
        <v>858</v>
      </c>
      <c r="O27" s="31" t="s">
        <v>859</v>
      </c>
      <c r="P27" s="31">
        <v>3</v>
      </c>
      <c r="Q27" s="31">
        <v>2</v>
      </c>
      <c r="R27" s="31" t="s">
        <v>287</v>
      </c>
      <c r="S27" s="31"/>
      <c r="T27" s="31">
        <v>25</v>
      </c>
      <c r="U27" s="94" t="s">
        <v>187</v>
      </c>
      <c r="V27" s="94" t="s">
        <v>194</v>
      </c>
      <c r="W27" s="94" t="s">
        <v>724</v>
      </c>
      <c r="X27" s="71" t="s">
        <v>860</v>
      </c>
      <c r="Y27" s="71" t="s">
        <v>861</v>
      </c>
      <c r="Z27" s="72" t="s">
        <v>862</v>
      </c>
      <c r="AA27" s="32" t="s">
        <v>286</v>
      </c>
      <c r="AB27" s="32" t="s">
        <v>419</v>
      </c>
      <c r="AC27" s="32" t="s">
        <v>728</v>
      </c>
      <c r="AD27" s="31" t="s">
        <v>303</v>
      </c>
      <c r="AE27" s="31"/>
      <c r="AF27" s="31" t="s">
        <v>863</v>
      </c>
      <c r="AG27" s="31"/>
      <c r="AH27" s="31"/>
      <c r="AI27" s="31"/>
      <c r="AJ27" s="31"/>
      <c r="AK27" s="31"/>
      <c r="AL27" s="31"/>
      <c r="AM27" s="119" t="s">
        <v>864</v>
      </c>
      <c r="AN27" s="120" t="s">
        <v>865</v>
      </c>
      <c r="AO27" s="31"/>
      <c r="AP27" s="31"/>
      <c r="AQ27" s="31"/>
      <c r="AR27" s="31"/>
      <c r="AS27" s="71" t="s">
        <v>848</v>
      </c>
      <c r="AT27" s="72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>
        <v>124</v>
      </c>
      <c r="BH27" s="31" t="s">
        <v>866</v>
      </c>
      <c r="BI27" s="31"/>
      <c r="BJ27" s="73" t="s">
        <v>858</v>
      </c>
      <c r="BK27" s="31" t="s">
        <v>190</v>
      </c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</row>
    <row r="28" spans="1:190" ht="15.75" customHeight="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>
        <v>3</v>
      </c>
      <c r="M28" s="31">
        <v>10</v>
      </c>
      <c r="N28" s="76" t="s">
        <v>867</v>
      </c>
      <c r="O28" s="31" t="s">
        <v>868</v>
      </c>
      <c r="P28" s="31">
        <v>3</v>
      </c>
      <c r="Q28" s="31">
        <v>2</v>
      </c>
      <c r="R28" s="31" t="s">
        <v>360</v>
      </c>
      <c r="S28" s="31"/>
      <c r="T28" s="31">
        <v>26</v>
      </c>
      <c r="U28" s="88" t="s">
        <v>187</v>
      </c>
      <c r="V28" s="88" t="s">
        <v>194</v>
      </c>
      <c r="W28" s="88" t="s">
        <v>724</v>
      </c>
      <c r="X28" s="71" t="s">
        <v>869</v>
      </c>
      <c r="Y28" s="71" t="s">
        <v>870</v>
      </c>
      <c r="Z28" s="72" t="s">
        <v>871</v>
      </c>
      <c r="AA28" s="32" t="s">
        <v>286</v>
      </c>
      <c r="AB28" s="32" t="s">
        <v>419</v>
      </c>
      <c r="AC28" s="32" t="s">
        <v>728</v>
      </c>
      <c r="AD28" s="31" t="s">
        <v>872</v>
      </c>
      <c r="AE28" s="31" t="s">
        <v>303</v>
      </c>
      <c r="AF28" s="31" t="s">
        <v>873</v>
      </c>
      <c r="AG28" s="31"/>
      <c r="AH28" s="31"/>
      <c r="AI28" s="31"/>
      <c r="AJ28" s="31"/>
      <c r="AK28" s="31"/>
      <c r="AL28" s="31"/>
      <c r="AM28" s="71" t="s">
        <v>874</v>
      </c>
      <c r="AN28" s="72" t="s">
        <v>875</v>
      </c>
      <c r="AO28" s="31"/>
      <c r="AP28" s="31"/>
      <c r="AQ28" s="31"/>
      <c r="AR28" s="31"/>
      <c r="AS28" s="71" t="s">
        <v>858</v>
      </c>
      <c r="AT28" s="72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>
        <v>125</v>
      </c>
      <c r="BH28" s="31" t="s">
        <v>876</v>
      </c>
      <c r="BI28" s="31"/>
      <c r="BJ28" s="73" t="s">
        <v>867</v>
      </c>
      <c r="BK28" s="31" t="s">
        <v>290</v>
      </c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 t="s">
        <v>736</v>
      </c>
      <c r="EW28" s="31"/>
      <c r="EX28" s="31" t="str">
        <f t="shared" ref="EX28:EX41" si="0">SUBSTITUTE(EV28," ","_")</f>
        <v>GERENCIA_DE_OPERACIONES_PLANTA</v>
      </c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</row>
    <row r="29" spans="1:190" ht="15.75" customHeight="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>
        <v>3</v>
      </c>
      <c r="M29" s="31">
        <v>10</v>
      </c>
      <c r="N29" s="76" t="s">
        <v>877</v>
      </c>
      <c r="O29" s="31" t="s">
        <v>878</v>
      </c>
      <c r="P29" s="31">
        <v>3</v>
      </c>
      <c r="Q29" s="31">
        <v>2</v>
      </c>
      <c r="R29" s="31" t="s">
        <v>194</v>
      </c>
      <c r="S29" s="31"/>
      <c r="T29" s="31">
        <v>27</v>
      </c>
      <c r="U29" s="94" t="s">
        <v>194</v>
      </c>
      <c r="V29" s="94" t="s">
        <v>294</v>
      </c>
      <c r="W29" s="94" t="s">
        <v>295</v>
      </c>
      <c r="X29" s="71" t="s">
        <v>879</v>
      </c>
      <c r="Y29" s="71" t="s">
        <v>880</v>
      </c>
      <c r="Z29" s="72" t="s">
        <v>348</v>
      </c>
      <c r="AA29" s="32" t="s">
        <v>202</v>
      </c>
      <c r="AB29" s="32" t="s">
        <v>300</v>
      </c>
      <c r="AC29" s="32" t="s">
        <v>301</v>
      </c>
      <c r="AD29" s="31" t="s">
        <v>303</v>
      </c>
      <c r="AE29" s="31"/>
      <c r="AF29" s="31" t="s">
        <v>881</v>
      </c>
      <c r="AG29" s="31"/>
      <c r="AH29" s="31"/>
      <c r="AI29" s="31"/>
      <c r="AJ29" s="31"/>
      <c r="AK29" s="31"/>
      <c r="AL29" s="31"/>
      <c r="AM29" s="71" t="s">
        <v>882</v>
      </c>
      <c r="AN29" s="72" t="s">
        <v>883</v>
      </c>
      <c r="AO29" s="31"/>
      <c r="AP29" s="31"/>
      <c r="AQ29" s="31"/>
      <c r="AR29" s="31"/>
      <c r="AS29" s="71" t="s">
        <v>867</v>
      </c>
      <c r="AT29" s="72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>
        <v>126</v>
      </c>
      <c r="BH29" s="31" t="s">
        <v>884</v>
      </c>
      <c r="BI29" s="31"/>
      <c r="BJ29" s="73" t="s">
        <v>877</v>
      </c>
      <c r="BK29" s="31" t="s">
        <v>605</v>
      </c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 t="s">
        <v>885</v>
      </c>
      <c r="EW29" s="31"/>
      <c r="EX29" s="31" t="str">
        <f t="shared" si="0"/>
        <v>SUPERINTENDENCIA_DE_GESTIÓN_DE_RELAVES_Y_SERVICIOS_AUXILIARES</v>
      </c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</row>
    <row r="30" spans="1:190" ht="15.75" customHeight="1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>
        <v>4</v>
      </c>
      <c r="M30" s="31">
        <v>11</v>
      </c>
      <c r="N30" s="73" t="s">
        <v>196</v>
      </c>
      <c r="O30" s="48" t="s">
        <v>204</v>
      </c>
      <c r="P30" s="31">
        <v>4</v>
      </c>
      <c r="Q30" s="31">
        <v>1</v>
      </c>
      <c r="R30" s="31" t="s">
        <v>187</v>
      </c>
      <c r="S30" s="31"/>
      <c r="T30" s="31">
        <v>28</v>
      </c>
      <c r="U30" s="88" t="s">
        <v>360</v>
      </c>
      <c r="V30" s="88" t="s">
        <v>600</v>
      </c>
      <c r="W30" s="88" t="s">
        <v>363</v>
      </c>
      <c r="X30" s="71" t="s">
        <v>886</v>
      </c>
      <c r="Y30" s="71" t="s">
        <v>887</v>
      </c>
      <c r="Z30" s="72" t="s">
        <v>888</v>
      </c>
      <c r="AA30" s="32" t="s">
        <v>418</v>
      </c>
      <c r="AB30" s="32" t="s">
        <v>605</v>
      </c>
      <c r="AC30" s="32" t="s">
        <v>303</v>
      </c>
      <c r="AD30" s="31"/>
      <c r="AE30" s="31"/>
      <c r="AF30" s="31" t="s">
        <v>838</v>
      </c>
      <c r="AG30" s="31"/>
      <c r="AH30" s="31"/>
      <c r="AI30" s="31"/>
      <c r="AJ30" s="31"/>
      <c r="AK30" s="31"/>
      <c r="AL30" s="31"/>
      <c r="AM30" s="71" t="s">
        <v>889</v>
      </c>
      <c r="AN30" s="72" t="s">
        <v>890</v>
      </c>
      <c r="AO30" s="31"/>
      <c r="AP30" s="31"/>
      <c r="AQ30" s="31"/>
      <c r="AR30" s="31"/>
      <c r="AS30" s="71" t="s">
        <v>877</v>
      </c>
      <c r="AT30" s="72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>
        <v>127</v>
      </c>
      <c r="BH30" s="31" t="s">
        <v>891</v>
      </c>
      <c r="BI30" s="31"/>
      <c r="BJ30" s="73" t="s">
        <v>196</v>
      </c>
      <c r="BK30" s="31" t="s">
        <v>203</v>
      </c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 t="s">
        <v>737</v>
      </c>
      <c r="EW30" s="31"/>
      <c r="EX30" s="31" t="str">
        <f t="shared" si="0"/>
        <v>SUPERINTENDENCIA_DE_OPERACIONES_PLANTA</v>
      </c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</row>
    <row r="31" spans="1:190" ht="15.75" customHeight="1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>
        <v>4</v>
      </c>
      <c r="M31" s="31">
        <v>11</v>
      </c>
      <c r="N31" s="76" t="s">
        <v>892</v>
      </c>
      <c r="O31" s="31" t="s">
        <v>893</v>
      </c>
      <c r="P31" s="31">
        <v>4</v>
      </c>
      <c r="Q31" s="31">
        <v>1</v>
      </c>
      <c r="R31" s="31" t="s">
        <v>287</v>
      </c>
      <c r="S31" s="31"/>
      <c r="T31" s="31">
        <v>29</v>
      </c>
      <c r="U31" s="94" t="s">
        <v>194</v>
      </c>
      <c r="V31" s="94" t="s">
        <v>195</v>
      </c>
      <c r="W31" s="94" t="s">
        <v>196</v>
      </c>
      <c r="X31" s="71" t="s">
        <v>894</v>
      </c>
      <c r="Y31" s="71" t="s">
        <v>895</v>
      </c>
      <c r="Z31" s="72" t="s">
        <v>896</v>
      </c>
      <c r="AA31" s="32" t="s">
        <v>202</v>
      </c>
      <c r="AB31" s="32" t="s">
        <v>203</v>
      </c>
      <c r="AC31" s="32" t="s">
        <v>204</v>
      </c>
      <c r="AD31" s="31" t="s">
        <v>205</v>
      </c>
      <c r="AE31" s="31" t="s">
        <v>897</v>
      </c>
      <c r="AF31" s="31" t="s">
        <v>207</v>
      </c>
      <c r="AG31" s="31"/>
      <c r="AH31" s="31"/>
      <c r="AI31" s="31"/>
      <c r="AJ31" s="31"/>
      <c r="AK31" s="31"/>
      <c r="AL31" s="31"/>
      <c r="AM31" s="71" t="s">
        <v>898</v>
      </c>
      <c r="AN31" s="72" t="s">
        <v>899</v>
      </c>
      <c r="AO31" s="31"/>
      <c r="AP31" s="31"/>
      <c r="AQ31" s="31"/>
      <c r="AR31" s="31"/>
      <c r="AS31" s="71" t="s">
        <v>196</v>
      </c>
      <c r="AT31" s="72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>
        <v>128</v>
      </c>
      <c r="BH31" s="31" t="s">
        <v>900</v>
      </c>
      <c r="BI31" s="31"/>
      <c r="BJ31" s="73" t="s">
        <v>892</v>
      </c>
      <c r="BK31" s="31" t="s">
        <v>300</v>
      </c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 t="s">
        <v>901</v>
      </c>
      <c r="EW31" s="31"/>
      <c r="EX31" s="31" t="str">
        <f t="shared" si="0"/>
        <v>SUPERINTENDENCIA_DE_SERVICIOS_TÉCNICOS</v>
      </c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</row>
    <row r="32" spans="1:190" ht="15.75" customHeight="1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>
        <v>4</v>
      </c>
      <c r="M32" s="31">
        <v>12</v>
      </c>
      <c r="N32" s="76" t="s">
        <v>902</v>
      </c>
      <c r="O32" s="1" t="s">
        <v>903</v>
      </c>
      <c r="P32" s="1">
        <v>4</v>
      </c>
      <c r="Q32" s="1">
        <v>2</v>
      </c>
      <c r="R32" s="1" t="s">
        <v>187</v>
      </c>
      <c r="S32" s="1"/>
      <c r="T32" s="1">
        <v>30</v>
      </c>
      <c r="U32" s="88" t="s">
        <v>187</v>
      </c>
      <c r="V32" s="88" t="s">
        <v>187</v>
      </c>
      <c r="W32" s="88" t="s">
        <v>360</v>
      </c>
      <c r="X32" s="71" t="s">
        <v>904</v>
      </c>
      <c r="Y32" s="71" t="s">
        <v>905</v>
      </c>
      <c r="Z32" s="72" t="s">
        <v>906</v>
      </c>
      <c r="AA32" s="32" t="s">
        <v>286</v>
      </c>
      <c r="AB32" s="32" t="s">
        <v>190</v>
      </c>
      <c r="AC32" s="32" t="s">
        <v>362</v>
      </c>
      <c r="AD32" s="31" t="s">
        <v>303</v>
      </c>
      <c r="AE32" s="31"/>
      <c r="AF32" s="31" t="s">
        <v>907</v>
      </c>
      <c r="AG32" s="31"/>
      <c r="AH32" s="31"/>
      <c r="AI32" s="31"/>
      <c r="AJ32" s="31"/>
      <c r="AK32" s="31"/>
      <c r="AL32" s="31"/>
      <c r="AM32" s="71" t="s">
        <v>908</v>
      </c>
      <c r="AN32" s="72" t="s">
        <v>909</v>
      </c>
      <c r="AO32" s="31"/>
      <c r="AP32" s="31"/>
      <c r="AQ32" s="31"/>
      <c r="AR32" s="31"/>
      <c r="AS32" s="104" t="s">
        <v>892</v>
      </c>
      <c r="AT32" s="12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>
        <v>129</v>
      </c>
      <c r="BH32" s="31" t="s">
        <v>910</v>
      </c>
      <c r="BI32" s="31"/>
      <c r="BJ32" s="73" t="s">
        <v>902</v>
      </c>
      <c r="BK32" s="31" t="s">
        <v>361</v>
      </c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 t="s">
        <v>736</v>
      </c>
      <c r="EW32" s="31"/>
      <c r="EX32" s="31" t="str">
        <f t="shared" si="0"/>
        <v>GERENCIA_DE_OPERACIONES_PLANTA</v>
      </c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</row>
    <row r="33" spans="1:190" ht="15.75" customHeight="1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>
        <v>4</v>
      </c>
      <c r="M33" s="31">
        <v>12</v>
      </c>
      <c r="N33" s="76" t="s">
        <v>911</v>
      </c>
      <c r="O33" s="1" t="s">
        <v>912</v>
      </c>
      <c r="P33" s="1">
        <v>4</v>
      </c>
      <c r="Q33" s="1">
        <v>2</v>
      </c>
      <c r="R33" s="1" t="s">
        <v>287</v>
      </c>
      <c r="S33" s="1"/>
      <c r="T33" s="1">
        <v>31</v>
      </c>
      <c r="U33" s="94" t="s">
        <v>194</v>
      </c>
      <c r="V33" s="94" t="s">
        <v>195</v>
      </c>
      <c r="W33" s="94" t="s">
        <v>196</v>
      </c>
      <c r="X33" s="71" t="s">
        <v>913</v>
      </c>
      <c r="Y33" s="71" t="s">
        <v>914</v>
      </c>
      <c r="Z33" s="72" t="s">
        <v>915</v>
      </c>
      <c r="AA33" s="32" t="s">
        <v>202</v>
      </c>
      <c r="AB33" s="32" t="s">
        <v>203</v>
      </c>
      <c r="AC33" s="32" t="s">
        <v>204</v>
      </c>
      <c r="AD33" s="31" t="s">
        <v>205</v>
      </c>
      <c r="AE33" s="31" t="s">
        <v>897</v>
      </c>
      <c r="AF33" s="31" t="s">
        <v>207</v>
      </c>
      <c r="AG33" s="31"/>
      <c r="AH33" s="31"/>
      <c r="AI33" s="31"/>
      <c r="AJ33" s="31"/>
      <c r="AK33" s="31"/>
      <c r="AL33" s="31"/>
      <c r="AM33" s="71" t="s">
        <v>916</v>
      </c>
      <c r="AN33" s="75" t="s">
        <v>917</v>
      </c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 t="s">
        <v>864</v>
      </c>
      <c r="BH33" s="31" t="s">
        <v>918</v>
      </c>
      <c r="BI33" s="31"/>
      <c r="BJ33" s="73" t="s">
        <v>911</v>
      </c>
      <c r="BK33" s="31" t="s">
        <v>725</v>
      </c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 t="str">
        <f t="shared" si="0"/>
        <v/>
      </c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</row>
    <row r="34" spans="1:190" ht="15.7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>
        <v>4</v>
      </c>
      <c r="M34" s="31">
        <v>12</v>
      </c>
      <c r="N34" s="73" t="s">
        <v>295</v>
      </c>
      <c r="O34" s="1" t="s">
        <v>301</v>
      </c>
      <c r="P34" s="1">
        <v>4</v>
      </c>
      <c r="Q34" s="1">
        <v>2</v>
      </c>
      <c r="R34" s="1" t="s">
        <v>360</v>
      </c>
      <c r="S34" s="1"/>
      <c r="T34" s="1">
        <v>32</v>
      </c>
      <c r="U34" s="88" t="s">
        <v>187</v>
      </c>
      <c r="V34" s="88" t="s">
        <v>561</v>
      </c>
      <c r="W34" s="88" t="s">
        <v>787</v>
      </c>
      <c r="X34" s="71" t="s">
        <v>919</v>
      </c>
      <c r="Y34" s="71" t="s">
        <v>920</v>
      </c>
      <c r="Z34" s="72" t="s">
        <v>921</v>
      </c>
      <c r="AA34" s="32" t="s">
        <v>286</v>
      </c>
      <c r="AB34" s="32" t="s">
        <v>562</v>
      </c>
      <c r="AC34" s="32" t="s">
        <v>788</v>
      </c>
      <c r="AD34" s="31" t="s">
        <v>303</v>
      </c>
      <c r="AE34" s="31"/>
      <c r="AF34" s="31" t="s">
        <v>922</v>
      </c>
      <c r="AG34" s="31"/>
      <c r="AH34" s="31"/>
      <c r="AI34" s="31"/>
      <c r="AJ34" s="31"/>
      <c r="AK34" s="31"/>
      <c r="AL34" s="31"/>
      <c r="AM34" s="71" t="s">
        <v>923</v>
      </c>
      <c r="AN34" s="72" t="s">
        <v>924</v>
      </c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>
        <v>201</v>
      </c>
      <c r="BH34" s="31" t="s">
        <v>925</v>
      </c>
      <c r="BI34" s="31"/>
      <c r="BJ34" s="73" t="s">
        <v>295</v>
      </c>
      <c r="BK34" s="31" t="s">
        <v>736</v>
      </c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 t="str">
        <f t="shared" si="0"/>
        <v/>
      </c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</row>
    <row r="35" spans="1:190" ht="15.7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>
        <v>4</v>
      </c>
      <c r="M35" s="31">
        <v>12</v>
      </c>
      <c r="N35" s="76" t="s">
        <v>776</v>
      </c>
      <c r="O35" s="1" t="s">
        <v>779</v>
      </c>
      <c r="P35" s="1">
        <v>4</v>
      </c>
      <c r="Q35" s="1">
        <v>2</v>
      </c>
      <c r="R35" s="1" t="s">
        <v>194</v>
      </c>
      <c r="S35" s="1"/>
      <c r="T35" s="1">
        <v>33</v>
      </c>
      <c r="U35" s="94" t="s">
        <v>194</v>
      </c>
      <c r="V35" s="94" t="s">
        <v>724</v>
      </c>
      <c r="W35" s="94" t="s">
        <v>809</v>
      </c>
      <c r="X35" s="71" t="s">
        <v>926</v>
      </c>
      <c r="Y35" s="71" t="s">
        <v>927</v>
      </c>
      <c r="Z35" s="72" t="s">
        <v>928</v>
      </c>
      <c r="AA35" s="32" t="s">
        <v>202</v>
      </c>
      <c r="AB35" s="32" t="s">
        <v>725</v>
      </c>
      <c r="AC35" s="32" t="s">
        <v>813</v>
      </c>
      <c r="AD35" s="31" t="s">
        <v>303</v>
      </c>
      <c r="AE35" s="31"/>
      <c r="AF35" s="31" t="s">
        <v>929</v>
      </c>
      <c r="AG35" s="31"/>
      <c r="AH35" s="31"/>
      <c r="AI35" s="31"/>
      <c r="AJ35" s="31"/>
      <c r="AK35" s="31"/>
      <c r="AL35" s="31"/>
      <c r="AM35" s="119" t="s">
        <v>930</v>
      </c>
      <c r="AN35" s="93" t="s">
        <v>931</v>
      </c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>
        <v>202</v>
      </c>
      <c r="BH35" s="31" t="s">
        <v>932</v>
      </c>
      <c r="BI35" s="31"/>
      <c r="BJ35" s="73" t="s">
        <v>776</v>
      </c>
      <c r="BK35" s="31" t="s">
        <v>598</v>
      </c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 t="str">
        <f t="shared" si="0"/>
        <v/>
      </c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</row>
    <row r="36" spans="1:190" ht="15.75" customHeight="1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>
        <v>4</v>
      </c>
      <c r="M36" s="31">
        <v>12</v>
      </c>
      <c r="N36" s="76" t="s">
        <v>422</v>
      </c>
      <c r="O36" s="1" t="s">
        <v>425</v>
      </c>
      <c r="P36" s="1">
        <v>4</v>
      </c>
      <c r="Q36" s="1">
        <v>2</v>
      </c>
      <c r="R36" s="1" t="s">
        <v>469</v>
      </c>
      <c r="S36" s="1"/>
      <c r="T36" s="1">
        <v>34</v>
      </c>
      <c r="U36" s="88" t="s">
        <v>194</v>
      </c>
      <c r="V36" s="88" t="s">
        <v>724</v>
      </c>
      <c r="W36" s="88" t="s">
        <v>809</v>
      </c>
      <c r="X36" s="71" t="s">
        <v>933</v>
      </c>
      <c r="Y36" s="71" t="s">
        <v>934</v>
      </c>
      <c r="Z36" s="72" t="s">
        <v>273</v>
      </c>
      <c r="AA36" s="32" t="s">
        <v>202</v>
      </c>
      <c r="AB36" s="32" t="s">
        <v>725</v>
      </c>
      <c r="AC36" s="32" t="s">
        <v>813</v>
      </c>
      <c r="AD36" s="31" t="s">
        <v>303</v>
      </c>
      <c r="AE36" s="31"/>
      <c r="AF36" s="31" t="s">
        <v>929</v>
      </c>
      <c r="AG36" s="31"/>
      <c r="AH36" s="31"/>
      <c r="AI36" s="31"/>
      <c r="AJ36" s="31"/>
      <c r="AK36" s="31"/>
      <c r="AL36" s="31"/>
      <c r="AM36" s="71" t="s">
        <v>935</v>
      </c>
      <c r="AN36" s="72" t="s">
        <v>936</v>
      </c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>
        <v>203</v>
      </c>
      <c r="BH36" s="31" t="s">
        <v>937</v>
      </c>
      <c r="BI36" s="31"/>
      <c r="BJ36" s="73" t="s">
        <v>422</v>
      </c>
      <c r="BK36" s="31" t="s">
        <v>419</v>
      </c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 t="str">
        <f t="shared" si="0"/>
        <v/>
      </c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</row>
    <row r="37" spans="1:190" ht="15.75" customHeight="1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>
        <v>4</v>
      </c>
      <c r="M37" s="31">
        <v>13</v>
      </c>
      <c r="N37" s="76" t="s">
        <v>809</v>
      </c>
      <c r="O37" s="31" t="s">
        <v>813</v>
      </c>
      <c r="P37" s="31">
        <v>4</v>
      </c>
      <c r="Q37" s="31">
        <v>3</v>
      </c>
      <c r="R37" s="31" t="s">
        <v>187</v>
      </c>
      <c r="S37" s="31"/>
      <c r="T37" s="31">
        <v>35</v>
      </c>
      <c r="U37" s="94" t="s">
        <v>194</v>
      </c>
      <c r="V37" s="94" t="s">
        <v>195</v>
      </c>
      <c r="W37" s="122" t="s">
        <v>196</v>
      </c>
      <c r="X37" s="71" t="s">
        <v>938</v>
      </c>
      <c r="Y37" s="71" t="s">
        <v>939</v>
      </c>
      <c r="Z37" s="72" t="s">
        <v>940</v>
      </c>
      <c r="AA37" s="32" t="s">
        <v>202</v>
      </c>
      <c r="AB37" s="32" t="s">
        <v>203</v>
      </c>
      <c r="AC37" s="32" t="s">
        <v>204</v>
      </c>
      <c r="AD37" s="31" t="s">
        <v>205</v>
      </c>
      <c r="AE37" s="31" t="s">
        <v>897</v>
      </c>
      <c r="AF37" s="31" t="s">
        <v>207</v>
      </c>
      <c r="AG37" s="31"/>
      <c r="AH37" s="31"/>
      <c r="AI37" s="31"/>
      <c r="AJ37" s="31"/>
      <c r="AK37" s="31"/>
      <c r="AL37" s="31"/>
      <c r="AM37" s="71" t="s">
        <v>941</v>
      </c>
      <c r="AN37" s="72" t="s">
        <v>942</v>
      </c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>
        <v>204</v>
      </c>
      <c r="BH37" s="31" t="s">
        <v>943</v>
      </c>
      <c r="BI37" s="31"/>
      <c r="BJ37" s="73" t="s">
        <v>809</v>
      </c>
      <c r="BK37" s="31" t="s">
        <v>470</v>
      </c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 t="str">
        <f t="shared" si="0"/>
        <v/>
      </c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</row>
    <row r="38" spans="1:190" ht="15.75" customHeight="1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>
        <v>4</v>
      </c>
      <c r="M38" s="31">
        <v>13</v>
      </c>
      <c r="N38" s="73" t="s">
        <v>789</v>
      </c>
      <c r="O38" s="31" t="s">
        <v>793</v>
      </c>
      <c r="P38" s="31">
        <v>4</v>
      </c>
      <c r="Q38" s="31">
        <v>3</v>
      </c>
      <c r="R38" s="31" t="s">
        <v>287</v>
      </c>
      <c r="S38" s="31"/>
      <c r="T38" s="31">
        <v>36</v>
      </c>
      <c r="U38" s="88" t="s">
        <v>187</v>
      </c>
      <c r="V38" s="88" t="s">
        <v>469</v>
      </c>
      <c r="W38" s="88" t="s">
        <v>474</v>
      </c>
      <c r="X38" s="71" t="s">
        <v>944</v>
      </c>
      <c r="Y38" s="71" t="s">
        <v>945</v>
      </c>
      <c r="Z38" s="72" t="s">
        <v>946</v>
      </c>
      <c r="AA38" s="32" t="s">
        <v>286</v>
      </c>
      <c r="AB38" s="32" t="s">
        <v>470</v>
      </c>
      <c r="AC38" s="32" t="s">
        <v>480</v>
      </c>
      <c r="AD38" s="31" t="s">
        <v>947</v>
      </c>
      <c r="AE38" s="31" t="s">
        <v>303</v>
      </c>
      <c r="AF38" s="31" t="s">
        <v>798</v>
      </c>
      <c r="AG38" s="31"/>
      <c r="AH38" s="31"/>
      <c r="AI38" s="31"/>
      <c r="AJ38" s="31"/>
      <c r="AK38" s="31"/>
      <c r="AL38" s="31"/>
      <c r="AM38" s="71" t="s">
        <v>948</v>
      </c>
      <c r="AN38" s="72" t="s">
        <v>949</v>
      </c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>
        <v>205</v>
      </c>
      <c r="BH38" s="31" t="s">
        <v>950</v>
      </c>
      <c r="BI38" s="31"/>
      <c r="BJ38" s="73" t="s">
        <v>789</v>
      </c>
      <c r="BK38" s="31" t="s">
        <v>521</v>
      </c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 t="str">
        <f t="shared" si="0"/>
        <v/>
      </c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</row>
    <row r="39" spans="1:190" ht="15.75" customHeight="1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>
        <v>4</v>
      </c>
      <c r="M39" s="31">
        <v>13</v>
      </c>
      <c r="N39" s="76" t="s">
        <v>951</v>
      </c>
      <c r="O39" s="48" t="s">
        <v>952</v>
      </c>
      <c r="P39" s="31">
        <v>4</v>
      </c>
      <c r="Q39" s="31">
        <v>3</v>
      </c>
      <c r="R39" s="31" t="s">
        <v>360</v>
      </c>
      <c r="S39" s="31"/>
      <c r="T39" s="31">
        <v>37</v>
      </c>
      <c r="U39" s="94" t="s">
        <v>194</v>
      </c>
      <c r="V39" s="94" t="s">
        <v>195</v>
      </c>
      <c r="W39" s="94" t="s">
        <v>196</v>
      </c>
      <c r="X39" s="71" t="s">
        <v>953</v>
      </c>
      <c r="Y39" s="71" t="s">
        <v>954</v>
      </c>
      <c r="Z39" s="72" t="s">
        <v>955</v>
      </c>
      <c r="AA39" s="32" t="s">
        <v>202</v>
      </c>
      <c r="AB39" s="32" t="s">
        <v>203</v>
      </c>
      <c r="AC39" s="32" t="s">
        <v>204</v>
      </c>
      <c r="AD39" s="31" t="s">
        <v>303</v>
      </c>
      <c r="AE39" s="31"/>
      <c r="AF39" s="31" t="s">
        <v>956</v>
      </c>
      <c r="AG39" s="31"/>
      <c r="AH39" s="31"/>
      <c r="AI39" s="31"/>
      <c r="AJ39" s="31"/>
      <c r="AK39" s="31"/>
      <c r="AL39" s="31"/>
      <c r="AM39" s="119" t="s">
        <v>957</v>
      </c>
      <c r="AN39" s="75" t="s">
        <v>958</v>
      </c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>
        <v>206</v>
      </c>
      <c r="BH39" s="31" t="s">
        <v>959</v>
      </c>
      <c r="BI39" s="31"/>
      <c r="BJ39" s="73" t="s">
        <v>951</v>
      </c>
      <c r="BK39" s="31" t="s">
        <v>562</v>
      </c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 t="str">
        <f t="shared" si="0"/>
        <v/>
      </c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</row>
    <row r="40" spans="1:190" ht="15.75" customHeight="1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>
        <v>4</v>
      </c>
      <c r="M40" s="31">
        <v>13</v>
      </c>
      <c r="N40" s="76" t="s">
        <v>960</v>
      </c>
      <c r="O40" s="48" t="s">
        <v>961</v>
      </c>
      <c r="P40" s="31">
        <v>4</v>
      </c>
      <c r="Q40" s="31">
        <v>3</v>
      </c>
      <c r="R40" s="31" t="s">
        <v>194</v>
      </c>
      <c r="S40" s="31"/>
      <c r="T40" s="31">
        <v>38</v>
      </c>
      <c r="U40" s="88" t="s">
        <v>194</v>
      </c>
      <c r="V40" s="88" t="s">
        <v>294</v>
      </c>
      <c r="W40" s="88" t="s">
        <v>776</v>
      </c>
      <c r="X40" s="71" t="s">
        <v>962</v>
      </c>
      <c r="Y40" s="71" t="s">
        <v>963</v>
      </c>
      <c r="Z40" s="72" t="s">
        <v>964</v>
      </c>
      <c r="AA40" s="32" t="s">
        <v>202</v>
      </c>
      <c r="AB40" s="32" t="s">
        <v>300</v>
      </c>
      <c r="AC40" s="32" t="s">
        <v>779</v>
      </c>
      <c r="AD40" s="31" t="s">
        <v>965</v>
      </c>
      <c r="AE40" s="31" t="s">
        <v>303</v>
      </c>
      <c r="AF40" s="31" t="s">
        <v>966</v>
      </c>
      <c r="AG40" s="31"/>
      <c r="AH40" s="31"/>
      <c r="AI40" s="31"/>
      <c r="AJ40" s="31"/>
      <c r="AK40" s="31"/>
      <c r="AL40" s="31"/>
      <c r="AM40" s="71" t="s">
        <v>967</v>
      </c>
      <c r="AN40" s="72" t="s">
        <v>968</v>
      </c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>
        <v>207</v>
      </c>
      <c r="BH40" s="31" t="s">
        <v>969</v>
      </c>
      <c r="BI40" s="31"/>
      <c r="BJ40" s="73" t="s">
        <v>960</v>
      </c>
      <c r="BK40" s="31" t="s">
        <v>648</v>
      </c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 t="str">
        <f t="shared" si="0"/>
        <v/>
      </c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</row>
    <row r="41" spans="1:190" ht="15.75" customHeight="1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>
        <v>4</v>
      </c>
      <c r="M41" s="31">
        <v>14</v>
      </c>
      <c r="N41" s="76" t="s">
        <v>970</v>
      </c>
      <c r="O41" s="31" t="s">
        <v>885</v>
      </c>
      <c r="P41" s="31">
        <v>4</v>
      </c>
      <c r="Q41" s="31">
        <v>4</v>
      </c>
      <c r="R41" s="31" t="s">
        <v>187</v>
      </c>
      <c r="S41" s="31"/>
      <c r="T41" s="31">
        <v>39</v>
      </c>
      <c r="U41" s="94" t="s">
        <v>187</v>
      </c>
      <c r="V41" s="94" t="s">
        <v>287</v>
      </c>
      <c r="W41" s="94" t="s">
        <v>469</v>
      </c>
      <c r="X41" s="71" t="s">
        <v>971</v>
      </c>
      <c r="Y41" s="71" t="s">
        <v>972</v>
      </c>
      <c r="Z41" s="72" t="s">
        <v>973</v>
      </c>
      <c r="AA41" s="32" t="s">
        <v>286</v>
      </c>
      <c r="AB41" s="32" t="s">
        <v>290</v>
      </c>
      <c r="AC41" s="32" t="s">
        <v>473</v>
      </c>
      <c r="AD41" s="31" t="s">
        <v>974</v>
      </c>
      <c r="AE41" s="31" t="s">
        <v>303</v>
      </c>
      <c r="AF41" s="31" t="s">
        <v>766</v>
      </c>
      <c r="AG41" s="31"/>
      <c r="AH41" s="31"/>
      <c r="AI41" s="31"/>
      <c r="AJ41" s="31"/>
      <c r="AK41" s="31"/>
      <c r="AL41" s="31"/>
      <c r="AM41" s="71" t="s">
        <v>975</v>
      </c>
      <c r="AN41" s="72" t="s">
        <v>976</v>
      </c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>
        <v>208</v>
      </c>
      <c r="BH41" s="31" t="s">
        <v>977</v>
      </c>
      <c r="BI41" s="31"/>
      <c r="BJ41" s="73" t="s">
        <v>970</v>
      </c>
      <c r="BK41" s="31" t="s">
        <v>978</v>
      </c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 t="str">
        <f t="shared" si="0"/>
        <v/>
      </c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</row>
    <row r="42" spans="1:190" ht="15.75" customHeight="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>
        <v>4</v>
      </c>
      <c r="M42" s="31">
        <v>14</v>
      </c>
      <c r="N42" s="73" t="s">
        <v>730</v>
      </c>
      <c r="O42" s="31" t="s">
        <v>737</v>
      </c>
      <c r="P42" s="31">
        <v>4</v>
      </c>
      <c r="Q42" s="31">
        <v>4</v>
      </c>
      <c r="R42" s="31" t="s">
        <v>287</v>
      </c>
      <c r="S42" s="31"/>
      <c r="T42" s="31">
        <v>40</v>
      </c>
      <c r="U42" s="88" t="s">
        <v>194</v>
      </c>
      <c r="V42" s="88" t="s">
        <v>195</v>
      </c>
      <c r="W42" s="88" t="s">
        <v>196</v>
      </c>
      <c r="X42" s="71" t="s">
        <v>979</v>
      </c>
      <c r="Y42" s="71" t="s">
        <v>980</v>
      </c>
      <c r="Z42" s="72" t="s">
        <v>981</v>
      </c>
      <c r="AA42" s="32" t="s">
        <v>202</v>
      </c>
      <c r="AB42" s="32" t="s">
        <v>203</v>
      </c>
      <c r="AC42" s="32" t="s">
        <v>204</v>
      </c>
      <c r="AD42" s="31" t="s">
        <v>982</v>
      </c>
      <c r="AE42" s="31" t="s">
        <v>303</v>
      </c>
      <c r="AF42" s="31" t="s">
        <v>983</v>
      </c>
      <c r="AG42" s="31"/>
      <c r="AH42" s="31"/>
      <c r="AI42" s="31"/>
      <c r="AJ42" s="31"/>
      <c r="AK42" s="31"/>
      <c r="AL42" s="31"/>
      <c r="AM42" s="71" t="s">
        <v>984</v>
      </c>
      <c r="AN42" s="72" t="s">
        <v>985</v>
      </c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>
        <v>209</v>
      </c>
      <c r="BH42" s="31" t="s">
        <v>986</v>
      </c>
      <c r="BI42" s="31"/>
      <c r="BJ42" s="73" t="s">
        <v>730</v>
      </c>
      <c r="BK42" s="31" t="s">
        <v>983</v>
      </c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</row>
    <row r="43" spans="1:190" ht="15.75" customHeight="1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>
        <v>4</v>
      </c>
      <c r="M43" s="31">
        <v>14</v>
      </c>
      <c r="N43" s="76" t="s">
        <v>987</v>
      </c>
      <c r="O43" s="31" t="s">
        <v>901</v>
      </c>
      <c r="P43" s="31">
        <v>4</v>
      </c>
      <c r="Q43" s="31">
        <v>4</v>
      </c>
      <c r="R43" s="31" t="s">
        <v>360</v>
      </c>
      <c r="S43" s="31"/>
      <c r="T43" s="31">
        <v>41</v>
      </c>
      <c r="U43" s="94" t="s">
        <v>194</v>
      </c>
      <c r="V43" s="94" t="s">
        <v>724</v>
      </c>
      <c r="W43" s="94" t="s">
        <v>951</v>
      </c>
      <c r="X43" s="71" t="s">
        <v>988</v>
      </c>
      <c r="Y43" s="71" t="s">
        <v>989</v>
      </c>
      <c r="Z43" s="72" t="s">
        <v>352</v>
      </c>
      <c r="AA43" s="32" t="s">
        <v>202</v>
      </c>
      <c r="AB43" s="32" t="s">
        <v>725</v>
      </c>
      <c r="AC43" s="32" t="s">
        <v>952</v>
      </c>
      <c r="AD43" s="31" t="s">
        <v>303</v>
      </c>
      <c r="AE43" s="31"/>
      <c r="AF43" s="31" t="s">
        <v>990</v>
      </c>
      <c r="AG43" s="31"/>
      <c r="AH43" s="31"/>
      <c r="AI43" s="31"/>
      <c r="AJ43" s="31"/>
      <c r="AK43" s="31"/>
      <c r="AL43" s="31"/>
      <c r="AM43" s="71" t="s">
        <v>991</v>
      </c>
      <c r="AN43" s="72" t="s">
        <v>992</v>
      </c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>
        <v>210</v>
      </c>
      <c r="BH43" s="31" t="s">
        <v>993</v>
      </c>
      <c r="BI43" s="31"/>
      <c r="BJ43" s="73" t="s">
        <v>987</v>
      </c>
      <c r="BK43" s="31" t="s">
        <v>994</v>
      </c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</row>
    <row r="44" spans="1:190" ht="15.75" customHeight="1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>
        <v>4</v>
      </c>
      <c r="M44" s="31">
        <v>14</v>
      </c>
      <c r="N44" s="76" t="s">
        <v>995</v>
      </c>
      <c r="O44" s="31" t="s">
        <v>736</v>
      </c>
      <c r="P44" s="31">
        <v>4</v>
      </c>
      <c r="Q44" s="31">
        <v>4</v>
      </c>
      <c r="R44" s="31" t="s">
        <v>469</v>
      </c>
      <c r="S44" s="31"/>
      <c r="T44" s="31">
        <v>42</v>
      </c>
      <c r="U44" s="88" t="s">
        <v>194</v>
      </c>
      <c r="V44" s="88" t="s">
        <v>294</v>
      </c>
      <c r="W44" s="88" t="s">
        <v>902</v>
      </c>
      <c r="X44" s="71" t="s">
        <v>996</v>
      </c>
      <c r="Y44" s="71" t="s">
        <v>997</v>
      </c>
      <c r="Z44" s="123" t="s">
        <v>998</v>
      </c>
      <c r="AA44" s="32" t="s">
        <v>202</v>
      </c>
      <c r="AB44" s="32" t="s">
        <v>300</v>
      </c>
      <c r="AC44" s="32" t="s">
        <v>903</v>
      </c>
      <c r="AD44" s="31" t="s">
        <v>303</v>
      </c>
      <c r="AE44" s="31"/>
      <c r="AF44" s="31" t="s">
        <v>999</v>
      </c>
      <c r="AG44" s="31"/>
      <c r="AH44" s="31"/>
      <c r="AI44" s="31"/>
      <c r="AJ44" s="31"/>
      <c r="AK44" s="31"/>
      <c r="AL44" s="31"/>
      <c r="AM44" s="71" t="s">
        <v>1000</v>
      </c>
      <c r="AN44" s="72" t="s">
        <v>1001</v>
      </c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>
        <v>211</v>
      </c>
      <c r="BH44" s="31" t="s">
        <v>1002</v>
      </c>
      <c r="BI44" s="31"/>
      <c r="BJ44" s="73" t="s">
        <v>995</v>
      </c>
      <c r="BK44" s="31" t="s">
        <v>1003</v>
      </c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</row>
    <row r="45" spans="1:190" ht="15.75" customHeight="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48"/>
      <c r="O45" s="31"/>
      <c r="P45" s="31"/>
      <c r="Q45" s="31"/>
      <c r="R45" s="31"/>
      <c r="S45" s="31"/>
      <c r="T45" s="31">
        <v>43</v>
      </c>
      <c r="U45" s="94" t="s">
        <v>194</v>
      </c>
      <c r="V45" s="94" t="s">
        <v>294</v>
      </c>
      <c r="W45" s="94" t="s">
        <v>295</v>
      </c>
      <c r="X45" s="71" t="s">
        <v>1004</v>
      </c>
      <c r="Y45" s="71" t="s">
        <v>1005</v>
      </c>
      <c r="Z45" s="72" t="s">
        <v>1006</v>
      </c>
      <c r="AA45" s="32" t="s">
        <v>202</v>
      </c>
      <c r="AB45" s="32" t="s">
        <v>300</v>
      </c>
      <c r="AC45" s="32" t="s">
        <v>301</v>
      </c>
      <c r="AD45" s="31" t="s">
        <v>302</v>
      </c>
      <c r="AE45" s="31" t="s">
        <v>303</v>
      </c>
      <c r="AF45" s="31" t="s">
        <v>304</v>
      </c>
      <c r="AG45" s="31"/>
      <c r="AH45" s="31"/>
      <c r="AI45" s="31"/>
      <c r="AJ45" s="31"/>
      <c r="AK45" s="31"/>
      <c r="AL45" s="31"/>
      <c r="AM45" s="71" t="s">
        <v>1007</v>
      </c>
      <c r="AN45" s="72" t="s">
        <v>1008</v>
      </c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>
        <v>212</v>
      </c>
      <c r="BH45" s="31" t="s">
        <v>1009</v>
      </c>
      <c r="BI45" s="31"/>
      <c r="BJ45" s="73" t="s">
        <v>1010</v>
      </c>
      <c r="BK45" s="31" t="s">
        <v>1011</v>
      </c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</row>
    <row r="46" spans="1:190" ht="15.75" customHeight="1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48"/>
      <c r="O46" s="31"/>
      <c r="P46" s="31"/>
      <c r="Q46" s="31"/>
      <c r="R46" s="31"/>
      <c r="S46" s="31"/>
      <c r="T46" s="31">
        <v>44</v>
      </c>
      <c r="U46" s="88" t="s">
        <v>187</v>
      </c>
      <c r="V46" s="88" t="s">
        <v>194</v>
      </c>
      <c r="W46" s="88" t="s">
        <v>294</v>
      </c>
      <c r="X46" s="71" t="s">
        <v>1012</v>
      </c>
      <c r="Y46" s="71" t="s">
        <v>1013</v>
      </c>
      <c r="Z46" s="72" t="s">
        <v>1014</v>
      </c>
      <c r="AA46" s="32" t="s">
        <v>286</v>
      </c>
      <c r="AB46" s="32" t="s">
        <v>419</v>
      </c>
      <c r="AC46" s="32" t="s">
        <v>698</v>
      </c>
      <c r="AD46" s="31" t="s">
        <v>303</v>
      </c>
      <c r="AE46" s="31"/>
      <c r="AF46" s="31" t="s">
        <v>1015</v>
      </c>
      <c r="AG46" s="31"/>
      <c r="AH46" s="31"/>
      <c r="AI46" s="31"/>
      <c r="AJ46" s="31"/>
      <c r="AK46" s="31"/>
      <c r="AL46" s="31"/>
      <c r="AM46" s="71" t="s">
        <v>1016</v>
      </c>
      <c r="AN46" s="72" t="s">
        <v>1017</v>
      </c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>
        <v>213</v>
      </c>
      <c r="BH46" s="31" t="s">
        <v>1018</v>
      </c>
      <c r="BI46" s="31"/>
      <c r="BJ46" s="73" t="s">
        <v>1019</v>
      </c>
      <c r="BK46" s="31" t="s">
        <v>1020</v>
      </c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</row>
    <row r="47" spans="1:190" ht="15.75" customHeight="1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48"/>
      <c r="O47" s="48"/>
      <c r="P47" s="31"/>
      <c r="Q47" s="31"/>
      <c r="R47" s="31"/>
      <c r="S47" s="31"/>
      <c r="T47" s="31">
        <v>45</v>
      </c>
      <c r="U47" s="94" t="s">
        <v>194</v>
      </c>
      <c r="V47" s="94" t="s">
        <v>729</v>
      </c>
      <c r="W47" s="94" t="s">
        <v>730</v>
      </c>
      <c r="X47" s="71" t="s">
        <v>1021</v>
      </c>
      <c r="Y47" s="71" t="s">
        <v>1022</v>
      </c>
      <c r="Z47" s="72" t="s">
        <v>1023</v>
      </c>
      <c r="AA47" s="32" t="s">
        <v>202</v>
      </c>
      <c r="AB47" s="32" t="s">
        <v>736</v>
      </c>
      <c r="AC47" s="32" t="s">
        <v>737</v>
      </c>
      <c r="AD47" s="31" t="s">
        <v>303</v>
      </c>
      <c r="AE47" s="31"/>
      <c r="AF47" s="31" t="s">
        <v>738</v>
      </c>
      <c r="AG47" s="31"/>
      <c r="AH47" s="31"/>
      <c r="AI47" s="31"/>
      <c r="AJ47" s="31"/>
      <c r="AK47" s="31"/>
      <c r="AL47" s="31"/>
      <c r="AM47" s="71" t="s">
        <v>1024</v>
      </c>
      <c r="AN47" s="72" t="s">
        <v>1025</v>
      </c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>
        <v>214</v>
      </c>
      <c r="BH47" s="31" t="s">
        <v>1026</v>
      </c>
      <c r="BI47" s="31"/>
      <c r="BJ47" s="73" t="s">
        <v>1027</v>
      </c>
      <c r="BK47" s="31" t="s">
        <v>929</v>
      </c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</row>
    <row r="48" spans="1:190" ht="15.75" customHeight="1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48"/>
      <c r="O48" s="31"/>
      <c r="P48" s="31"/>
      <c r="Q48" s="31"/>
      <c r="R48" s="31"/>
      <c r="S48" s="31"/>
      <c r="T48" s="31">
        <v>46</v>
      </c>
      <c r="U48" s="88" t="s">
        <v>360</v>
      </c>
      <c r="V48" s="88" t="s">
        <v>600</v>
      </c>
      <c r="W48" s="88" t="s">
        <v>601</v>
      </c>
      <c r="X48" s="71" t="s">
        <v>1028</v>
      </c>
      <c r="Y48" s="71" t="s">
        <v>1029</v>
      </c>
      <c r="Z48" s="72" t="s">
        <v>1030</v>
      </c>
      <c r="AA48" s="32" t="s">
        <v>418</v>
      </c>
      <c r="AB48" s="32" t="s">
        <v>605</v>
      </c>
      <c r="AC48" s="32" t="s">
        <v>606</v>
      </c>
      <c r="AD48" s="31" t="s">
        <v>1031</v>
      </c>
      <c r="AE48" s="31" t="s">
        <v>303</v>
      </c>
      <c r="AF48" s="31" t="s">
        <v>1032</v>
      </c>
      <c r="AG48" s="31"/>
      <c r="AH48" s="31"/>
      <c r="AI48" s="31"/>
      <c r="AJ48" s="31"/>
      <c r="AK48" s="31"/>
      <c r="AL48" s="31"/>
      <c r="AM48" s="71" t="s">
        <v>371</v>
      </c>
      <c r="AN48" s="72" t="s">
        <v>1033</v>
      </c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>
        <v>215</v>
      </c>
      <c r="BH48" s="31" t="s">
        <v>1034</v>
      </c>
      <c r="BI48" s="31"/>
      <c r="BJ48" s="73" t="s">
        <v>1035</v>
      </c>
      <c r="BK48" s="31" t="s">
        <v>1036</v>
      </c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</row>
    <row r="49" spans="1:190" ht="15.75" customHeight="1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48"/>
      <c r="O49" s="31"/>
      <c r="P49" s="31"/>
      <c r="Q49" s="31"/>
      <c r="R49" s="31"/>
      <c r="S49" s="31"/>
      <c r="T49" s="31">
        <v>47</v>
      </c>
      <c r="U49" s="94" t="s">
        <v>187</v>
      </c>
      <c r="V49" s="94" t="s">
        <v>561</v>
      </c>
      <c r="W49" s="94" t="s">
        <v>628</v>
      </c>
      <c r="X49" s="71" t="s">
        <v>1037</v>
      </c>
      <c r="Y49" s="71" t="s">
        <v>1038</v>
      </c>
      <c r="Z49" s="72" t="s">
        <v>1039</v>
      </c>
      <c r="AA49" s="32" t="s">
        <v>286</v>
      </c>
      <c r="AB49" s="32" t="s">
        <v>562</v>
      </c>
      <c r="AC49" s="32" t="s">
        <v>632</v>
      </c>
      <c r="AD49" s="31" t="s">
        <v>303</v>
      </c>
      <c r="AE49" s="31"/>
      <c r="AF49" s="31" t="s">
        <v>635</v>
      </c>
      <c r="AG49" s="31"/>
      <c r="AH49" s="31"/>
      <c r="AI49" s="31"/>
      <c r="AJ49" s="31"/>
      <c r="AK49" s="31"/>
      <c r="AL49" s="31"/>
      <c r="AM49" s="71" t="s">
        <v>1040</v>
      </c>
      <c r="AN49" s="72" t="s">
        <v>1041</v>
      </c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>
        <v>216</v>
      </c>
      <c r="BH49" s="31" t="s">
        <v>1042</v>
      </c>
      <c r="BI49" s="31"/>
      <c r="BJ49" s="73" t="s">
        <v>1043</v>
      </c>
      <c r="BK49" s="31" t="s">
        <v>956</v>
      </c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</row>
    <row r="50" spans="1:190" ht="15.75" customHeight="1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48"/>
      <c r="O50" s="31"/>
      <c r="P50" s="31"/>
      <c r="Q50" s="31"/>
      <c r="R50" s="31"/>
      <c r="S50" s="31"/>
      <c r="T50" s="31">
        <v>48</v>
      </c>
      <c r="U50" s="88" t="s">
        <v>187</v>
      </c>
      <c r="V50" s="88" t="s">
        <v>469</v>
      </c>
      <c r="W50" s="88" t="s">
        <v>474</v>
      </c>
      <c r="X50" s="75" t="s">
        <v>1044</v>
      </c>
      <c r="Y50" s="71" t="s">
        <v>1045</v>
      </c>
      <c r="Z50" s="75" t="s">
        <v>1046</v>
      </c>
      <c r="AA50" s="32" t="s">
        <v>286</v>
      </c>
      <c r="AB50" s="32" t="s">
        <v>470</v>
      </c>
      <c r="AC50" s="32" t="s">
        <v>480</v>
      </c>
      <c r="AD50" s="31" t="s">
        <v>303</v>
      </c>
      <c r="AE50" s="31"/>
      <c r="AF50" s="31" t="s">
        <v>806</v>
      </c>
      <c r="AG50" s="31"/>
      <c r="AH50" s="31"/>
      <c r="AI50" s="31"/>
      <c r="AJ50" s="31"/>
      <c r="AK50" s="31"/>
      <c r="AL50" s="31"/>
      <c r="AM50" s="71" t="s">
        <v>1047</v>
      </c>
      <c r="AN50" s="72" t="s">
        <v>1048</v>
      </c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>
        <v>217</v>
      </c>
      <c r="BH50" s="31" t="s">
        <v>1049</v>
      </c>
      <c r="BI50" s="31"/>
      <c r="BJ50" s="73" t="s">
        <v>1050</v>
      </c>
      <c r="BK50" s="31" t="s">
        <v>1051</v>
      </c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</row>
    <row r="51" spans="1:190" ht="15.75" customHeight="1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48"/>
      <c r="O51" s="31"/>
      <c r="P51" s="31"/>
      <c r="Q51" s="31"/>
      <c r="R51" s="31"/>
      <c r="S51" s="31"/>
      <c r="T51" s="31">
        <v>49</v>
      </c>
      <c r="U51" s="94" t="s">
        <v>360</v>
      </c>
      <c r="V51" s="94" t="s">
        <v>647</v>
      </c>
      <c r="W51" s="94" t="s">
        <v>867</v>
      </c>
      <c r="X51" s="71" t="s">
        <v>1052</v>
      </c>
      <c r="Y51" s="71" t="s">
        <v>1053</v>
      </c>
      <c r="Z51" s="72" t="s">
        <v>1054</v>
      </c>
      <c r="AA51" s="32" t="s">
        <v>418</v>
      </c>
      <c r="AB51" s="32" t="s">
        <v>648</v>
      </c>
      <c r="AC51" s="32" t="s">
        <v>868</v>
      </c>
      <c r="AD51" s="31" t="s">
        <v>303</v>
      </c>
      <c r="AE51" s="31"/>
      <c r="AF51" s="31" t="s">
        <v>1055</v>
      </c>
      <c r="AG51" s="31"/>
      <c r="AH51" s="31"/>
      <c r="AI51" s="31"/>
      <c r="AJ51" s="31"/>
      <c r="AK51" s="31"/>
      <c r="AL51" s="31"/>
      <c r="AM51" s="71" t="s">
        <v>1056</v>
      </c>
      <c r="AN51" s="72" t="s">
        <v>1057</v>
      </c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>
        <v>218</v>
      </c>
      <c r="BH51" s="31" t="s">
        <v>1058</v>
      </c>
      <c r="BI51" s="31"/>
      <c r="BJ51" s="73" t="s">
        <v>1059</v>
      </c>
      <c r="BK51" s="31" t="s">
        <v>1060</v>
      </c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</row>
    <row r="52" spans="1:190" ht="15.75" customHeight="1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48"/>
      <c r="O52" s="31"/>
      <c r="P52" s="31"/>
      <c r="Q52" s="31"/>
      <c r="R52" s="31"/>
      <c r="S52" s="31"/>
      <c r="T52" s="31">
        <v>50</v>
      </c>
      <c r="U52" s="88" t="s">
        <v>194</v>
      </c>
      <c r="V52" s="88" t="s">
        <v>294</v>
      </c>
      <c r="W52" s="88" t="s">
        <v>422</v>
      </c>
      <c r="X52" s="71" t="s">
        <v>1061</v>
      </c>
      <c r="Y52" s="71" t="s">
        <v>1062</v>
      </c>
      <c r="Z52" s="75" t="s">
        <v>1063</v>
      </c>
      <c r="AA52" s="32" t="s">
        <v>202</v>
      </c>
      <c r="AB52" s="32" t="s">
        <v>300</v>
      </c>
      <c r="AC52" s="32" t="s">
        <v>425</v>
      </c>
      <c r="AD52" s="31" t="s">
        <v>303</v>
      </c>
      <c r="AE52" s="31"/>
      <c r="AF52" s="31" t="s">
        <v>426</v>
      </c>
      <c r="AG52" s="31"/>
      <c r="AH52" s="31"/>
      <c r="AI52" s="31"/>
      <c r="AJ52" s="31"/>
      <c r="AK52" s="31"/>
      <c r="AL52" s="31"/>
      <c r="AM52" s="71" t="s">
        <v>1064</v>
      </c>
      <c r="AN52" s="72" t="s">
        <v>1065</v>
      </c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>
        <v>219</v>
      </c>
      <c r="BH52" s="31" t="s">
        <v>1066</v>
      </c>
      <c r="BI52" s="31"/>
      <c r="BJ52" s="73" t="s">
        <v>1067</v>
      </c>
      <c r="BK52" s="31" t="s">
        <v>1068</v>
      </c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</row>
    <row r="53" spans="1:190" ht="15.75" customHeight="1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48"/>
      <c r="O53" s="31"/>
      <c r="P53" s="31"/>
      <c r="Q53" s="31"/>
      <c r="R53" s="31"/>
      <c r="S53" s="31"/>
      <c r="T53" s="31">
        <v>51</v>
      </c>
      <c r="U53" s="94" t="s">
        <v>194</v>
      </c>
      <c r="V53" s="94" t="s">
        <v>724</v>
      </c>
      <c r="W53" s="94" t="s">
        <v>363</v>
      </c>
      <c r="X53" s="71" t="s">
        <v>1069</v>
      </c>
      <c r="Y53" s="71" t="s">
        <v>1070</v>
      </c>
      <c r="Z53" s="72" t="s">
        <v>277</v>
      </c>
      <c r="AA53" s="32" t="s">
        <v>202</v>
      </c>
      <c r="AB53" s="32" t="s">
        <v>725</v>
      </c>
      <c r="AC53" s="32" t="s">
        <v>303</v>
      </c>
      <c r="AD53" s="31"/>
      <c r="AE53" s="31"/>
      <c r="AF53" s="31" t="s">
        <v>760</v>
      </c>
      <c r="AG53" s="31"/>
      <c r="AH53" s="31"/>
      <c r="AI53" s="31"/>
      <c r="AJ53" s="31"/>
      <c r="AK53" s="31"/>
      <c r="AL53" s="31"/>
      <c r="AM53" s="71" t="s">
        <v>1071</v>
      </c>
      <c r="AN53" s="72" t="s">
        <v>1072</v>
      </c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>
        <v>220</v>
      </c>
      <c r="BH53" s="31" t="s">
        <v>1073</v>
      </c>
      <c r="BI53" s="31"/>
      <c r="BJ53" s="73" t="s">
        <v>1074</v>
      </c>
      <c r="BK53" s="31" t="s">
        <v>999</v>
      </c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</row>
    <row r="54" spans="1:190" ht="15.75" customHeight="1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48"/>
      <c r="O54" s="31"/>
      <c r="P54" s="31"/>
      <c r="Q54" s="31"/>
      <c r="R54" s="31"/>
      <c r="S54" s="31"/>
      <c r="T54" s="31">
        <v>52</v>
      </c>
      <c r="U54" s="88" t="s">
        <v>194</v>
      </c>
      <c r="V54" s="88" t="s">
        <v>724</v>
      </c>
      <c r="W54" s="88" t="s">
        <v>809</v>
      </c>
      <c r="X54" s="71" t="s">
        <v>1075</v>
      </c>
      <c r="Y54" s="71" t="s">
        <v>1076</v>
      </c>
      <c r="Z54" s="72" t="s">
        <v>1077</v>
      </c>
      <c r="AA54" s="32" t="s">
        <v>202</v>
      </c>
      <c r="AB54" s="32" t="s">
        <v>725</v>
      </c>
      <c r="AC54" s="32" t="s">
        <v>813</v>
      </c>
      <c r="AD54" s="31" t="s">
        <v>1078</v>
      </c>
      <c r="AE54" s="31" t="s">
        <v>303</v>
      </c>
      <c r="AF54" s="31" t="s">
        <v>847</v>
      </c>
      <c r="AG54" s="31"/>
      <c r="AH54" s="31"/>
      <c r="AI54" s="31"/>
      <c r="AJ54" s="31"/>
      <c r="AK54" s="31"/>
      <c r="AL54" s="31"/>
      <c r="AM54" s="71" t="s">
        <v>1079</v>
      </c>
      <c r="AN54" s="72" t="s">
        <v>1080</v>
      </c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>
        <v>221</v>
      </c>
      <c r="BH54" s="31" t="s">
        <v>1081</v>
      </c>
      <c r="BI54" s="31"/>
      <c r="BJ54" s="73" t="s">
        <v>1082</v>
      </c>
      <c r="BK54" s="31" t="s">
        <v>304</v>
      </c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</row>
    <row r="55" spans="1:190" ht="15.75" customHeight="1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48"/>
      <c r="O55" s="48"/>
      <c r="P55" s="31"/>
      <c r="Q55" s="31"/>
      <c r="R55" s="31"/>
      <c r="S55" s="31"/>
      <c r="T55" s="31">
        <v>53</v>
      </c>
      <c r="U55" s="94" t="s">
        <v>194</v>
      </c>
      <c r="V55" s="94" t="s">
        <v>195</v>
      </c>
      <c r="W55" s="94" t="s">
        <v>196</v>
      </c>
      <c r="X55" s="71" t="s">
        <v>1083</v>
      </c>
      <c r="Y55" s="71" t="s">
        <v>1084</v>
      </c>
      <c r="Z55" s="72" t="s">
        <v>1085</v>
      </c>
      <c r="AA55" s="32" t="s">
        <v>202</v>
      </c>
      <c r="AB55" s="32" t="s">
        <v>203</v>
      </c>
      <c r="AC55" s="32" t="s">
        <v>204</v>
      </c>
      <c r="AD55" s="31" t="s">
        <v>205</v>
      </c>
      <c r="AE55" s="31" t="s">
        <v>897</v>
      </c>
      <c r="AF55" s="31" t="s">
        <v>207</v>
      </c>
      <c r="AG55" s="31"/>
      <c r="AH55" s="31"/>
      <c r="AI55" s="31"/>
      <c r="AJ55" s="31"/>
      <c r="AK55" s="31"/>
      <c r="AL55" s="31"/>
      <c r="AM55" s="71" t="s">
        <v>1086</v>
      </c>
      <c r="AN55" s="72" t="s">
        <v>1087</v>
      </c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>
        <v>222</v>
      </c>
      <c r="BH55" s="31" t="s">
        <v>1088</v>
      </c>
      <c r="BI55" s="31"/>
      <c r="BJ55" s="73" t="s">
        <v>1089</v>
      </c>
      <c r="BK55" s="31" t="s">
        <v>1090</v>
      </c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</row>
    <row r="56" spans="1:190" ht="15.75" customHeight="1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48"/>
      <c r="O56" s="48"/>
      <c r="P56" s="31"/>
      <c r="Q56" s="31"/>
      <c r="R56" s="31"/>
      <c r="S56" s="31"/>
      <c r="T56" s="31">
        <v>54</v>
      </c>
      <c r="U56" s="88" t="s">
        <v>194</v>
      </c>
      <c r="V56" s="88" t="s">
        <v>729</v>
      </c>
      <c r="W56" s="88" t="s">
        <v>730</v>
      </c>
      <c r="X56" s="71" t="s">
        <v>1091</v>
      </c>
      <c r="Y56" s="71" t="s">
        <v>1092</v>
      </c>
      <c r="Z56" s="72" t="s">
        <v>1093</v>
      </c>
      <c r="AA56" s="32" t="s">
        <v>202</v>
      </c>
      <c r="AB56" s="32" t="s">
        <v>736</v>
      </c>
      <c r="AC56" s="32" t="s">
        <v>737</v>
      </c>
      <c r="AD56" s="31" t="s">
        <v>303</v>
      </c>
      <c r="AE56" s="31"/>
      <c r="AF56" s="31" t="s">
        <v>738</v>
      </c>
      <c r="AG56" s="31"/>
      <c r="AH56" s="31"/>
      <c r="AI56" s="31"/>
      <c r="AJ56" s="31"/>
      <c r="AK56" s="31"/>
      <c r="AL56" s="31"/>
      <c r="AM56" s="71" t="s">
        <v>1094</v>
      </c>
      <c r="AN56" s="72" t="s">
        <v>1095</v>
      </c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>
        <v>223</v>
      </c>
      <c r="BH56" s="31" t="s">
        <v>1096</v>
      </c>
      <c r="BI56" s="31"/>
      <c r="BJ56" s="73" t="s">
        <v>1097</v>
      </c>
      <c r="BK56" s="31" t="s">
        <v>1098</v>
      </c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</row>
    <row r="57" spans="1:190" ht="15.75" customHeight="1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48"/>
      <c r="O57" s="48"/>
      <c r="P57" s="31"/>
      <c r="Q57" s="31"/>
      <c r="R57" s="31"/>
      <c r="S57" s="31"/>
      <c r="T57" s="31">
        <v>55</v>
      </c>
      <c r="U57" s="94" t="s">
        <v>187</v>
      </c>
      <c r="V57" s="94" t="s">
        <v>287</v>
      </c>
      <c r="W57" s="94" t="s">
        <v>469</v>
      </c>
      <c r="X57" s="71" t="s">
        <v>1099</v>
      </c>
      <c r="Y57" s="71" t="s">
        <v>1100</v>
      </c>
      <c r="Z57" s="72" t="s">
        <v>1101</v>
      </c>
      <c r="AA57" s="32" t="s">
        <v>286</v>
      </c>
      <c r="AB57" s="32" t="s">
        <v>290</v>
      </c>
      <c r="AC57" s="32" t="s">
        <v>473</v>
      </c>
      <c r="AD57" s="31" t="s">
        <v>1102</v>
      </c>
      <c r="AE57" s="31" t="s">
        <v>303</v>
      </c>
      <c r="AF57" s="31" t="s">
        <v>539</v>
      </c>
      <c r="AG57" s="31"/>
      <c r="AH57" s="31"/>
      <c r="AI57" s="31"/>
      <c r="AJ57" s="31"/>
      <c r="AK57" s="31"/>
      <c r="AL57" s="31"/>
      <c r="AM57" s="71" t="s">
        <v>1103</v>
      </c>
      <c r="AN57" s="72" t="s">
        <v>1104</v>
      </c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>
        <v>224</v>
      </c>
      <c r="BH57" s="31" t="s">
        <v>1105</v>
      </c>
      <c r="BI57" s="31"/>
      <c r="BJ57" s="73" t="s">
        <v>1106</v>
      </c>
      <c r="BK57" s="31" t="s">
        <v>1107</v>
      </c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</row>
    <row r="58" spans="1:190" ht="15.75" customHeight="1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48"/>
      <c r="O58" s="48"/>
      <c r="P58" s="31"/>
      <c r="Q58" s="31"/>
      <c r="R58" s="31"/>
      <c r="S58" s="31"/>
      <c r="T58" s="31">
        <v>56</v>
      </c>
      <c r="U58" s="88" t="s">
        <v>194</v>
      </c>
      <c r="V58" s="88" t="s">
        <v>729</v>
      </c>
      <c r="W58" s="88" t="s">
        <v>730</v>
      </c>
      <c r="X58" s="71" t="s">
        <v>1108</v>
      </c>
      <c r="Y58" s="71" t="s">
        <v>1109</v>
      </c>
      <c r="Z58" s="72" t="s">
        <v>1110</v>
      </c>
      <c r="AA58" s="32" t="s">
        <v>202</v>
      </c>
      <c r="AB58" s="32" t="s">
        <v>736</v>
      </c>
      <c r="AC58" s="32" t="s">
        <v>737</v>
      </c>
      <c r="AD58" s="31" t="s">
        <v>303</v>
      </c>
      <c r="AE58" s="31"/>
      <c r="AF58" s="31" t="s">
        <v>738</v>
      </c>
      <c r="AG58" s="31"/>
      <c r="AH58" s="31"/>
      <c r="AI58" s="31"/>
      <c r="AJ58" s="31"/>
      <c r="AK58" s="31"/>
      <c r="AL58" s="31"/>
      <c r="AM58" s="71" t="s">
        <v>1111</v>
      </c>
      <c r="AN58" s="72" t="s">
        <v>1112</v>
      </c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>
        <v>225</v>
      </c>
      <c r="BH58" s="31" t="s">
        <v>1113</v>
      </c>
      <c r="BI58" s="31"/>
      <c r="BJ58" s="73" t="s">
        <v>1114</v>
      </c>
      <c r="BK58" s="31" t="s">
        <v>966</v>
      </c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</row>
    <row r="59" spans="1:190" ht="15.75" customHeight="1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48"/>
      <c r="O59" s="48"/>
      <c r="P59" s="31"/>
      <c r="Q59" s="31"/>
      <c r="R59" s="31"/>
      <c r="S59" s="31"/>
      <c r="T59" s="31">
        <v>57</v>
      </c>
      <c r="U59" s="94" t="s">
        <v>360</v>
      </c>
      <c r="V59" s="94" t="s">
        <v>600</v>
      </c>
      <c r="W59" s="94" t="s">
        <v>601</v>
      </c>
      <c r="X59" s="71" t="s">
        <v>1115</v>
      </c>
      <c r="Y59" s="71" t="s">
        <v>1116</v>
      </c>
      <c r="Z59" s="72" t="s">
        <v>1117</v>
      </c>
      <c r="AA59" s="32" t="s">
        <v>418</v>
      </c>
      <c r="AB59" s="32" t="s">
        <v>605</v>
      </c>
      <c r="AC59" s="32" t="s">
        <v>606</v>
      </c>
      <c r="AD59" s="31" t="s">
        <v>1031</v>
      </c>
      <c r="AE59" s="31" t="s">
        <v>303</v>
      </c>
      <c r="AF59" s="31" t="s">
        <v>1032</v>
      </c>
      <c r="AG59" s="31"/>
      <c r="AH59" s="31"/>
      <c r="AI59" s="31"/>
      <c r="AJ59" s="31"/>
      <c r="AK59" s="31"/>
      <c r="AL59" s="31"/>
      <c r="AM59" s="71" t="s">
        <v>1118</v>
      </c>
      <c r="AN59" s="72" t="s">
        <v>1119</v>
      </c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>
        <v>226</v>
      </c>
      <c r="BH59" s="31" t="s">
        <v>1120</v>
      </c>
      <c r="BI59" s="31"/>
      <c r="BJ59" s="73" t="s">
        <v>1121</v>
      </c>
      <c r="BK59" s="31" t="s">
        <v>1122</v>
      </c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</row>
    <row r="60" spans="1:190" ht="15.75" customHeight="1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48"/>
      <c r="O60" s="31"/>
      <c r="P60" s="31"/>
      <c r="Q60" s="31"/>
      <c r="R60" s="31"/>
      <c r="S60" s="31"/>
      <c r="T60" s="31">
        <v>58</v>
      </c>
      <c r="U60" s="88" t="s">
        <v>194</v>
      </c>
      <c r="V60" s="88" t="s">
        <v>729</v>
      </c>
      <c r="W60" s="124" t="s">
        <v>730</v>
      </c>
      <c r="X60" s="71" t="s">
        <v>1123</v>
      </c>
      <c r="Y60" s="71" t="s">
        <v>1124</v>
      </c>
      <c r="Z60" s="72" t="s">
        <v>1125</v>
      </c>
      <c r="AA60" s="32" t="s">
        <v>202</v>
      </c>
      <c r="AB60" s="32" t="s">
        <v>736</v>
      </c>
      <c r="AC60" s="32" t="s">
        <v>737</v>
      </c>
      <c r="AD60" s="31" t="s">
        <v>303</v>
      </c>
      <c r="AE60" s="31"/>
      <c r="AF60" s="31" t="s">
        <v>738</v>
      </c>
      <c r="AG60" s="31"/>
      <c r="AH60" s="31"/>
      <c r="AI60" s="31"/>
      <c r="AJ60" s="31"/>
      <c r="AK60" s="31"/>
      <c r="AL60" s="31"/>
      <c r="AM60" s="71" t="s">
        <v>1126</v>
      </c>
      <c r="AN60" s="72" t="s">
        <v>1127</v>
      </c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>
        <v>227</v>
      </c>
      <c r="BH60" s="31" t="s">
        <v>1128</v>
      </c>
      <c r="BI60" s="31"/>
      <c r="BJ60" s="73" t="s">
        <v>1129</v>
      </c>
      <c r="BK60" s="31" t="s">
        <v>1130</v>
      </c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</row>
    <row r="61" spans="1:190" ht="15.75" customHeight="1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48"/>
      <c r="O61" s="31"/>
      <c r="P61" s="31"/>
      <c r="Q61" s="31"/>
      <c r="R61" s="31"/>
      <c r="S61" s="31"/>
      <c r="T61" s="31">
        <v>59</v>
      </c>
      <c r="U61" s="94" t="s">
        <v>187</v>
      </c>
      <c r="V61" s="94" t="s">
        <v>194</v>
      </c>
      <c r="W61" s="94" t="s">
        <v>195</v>
      </c>
      <c r="X61" s="71" t="s">
        <v>1131</v>
      </c>
      <c r="Y61" s="71" t="s">
        <v>1132</v>
      </c>
      <c r="Z61" s="72" t="s">
        <v>1133</v>
      </c>
      <c r="AA61" s="32" t="s">
        <v>286</v>
      </c>
      <c r="AB61" s="32" t="s">
        <v>419</v>
      </c>
      <c r="AC61" s="32" t="s">
        <v>675</v>
      </c>
      <c r="AD61" s="31" t="s">
        <v>1134</v>
      </c>
      <c r="AE61" s="31" t="s">
        <v>1135</v>
      </c>
      <c r="AF61" s="31" t="s">
        <v>640</v>
      </c>
      <c r="AG61" s="31"/>
      <c r="AH61" s="31"/>
      <c r="AI61" s="31"/>
      <c r="AJ61" s="31"/>
      <c r="AK61" s="31"/>
      <c r="AL61" s="31"/>
      <c r="AM61" s="71" t="s">
        <v>1136</v>
      </c>
      <c r="AN61" s="72" t="s">
        <v>1137</v>
      </c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>
        <v>228</v>
      </c>
      <c r="BH61" s="31" t="s">
        <v>1138</v>
      </c>
      <c r="BI61" s="31"/>
      <c r="BJ61" s="73" t="s">
        <v>1139</v>
      </c>
      <c r="BK61" s="31" t="s">
        <v>1140</v>
      </c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</row>
    <row r="62" spans="1:190" ht="15.75" customHeight="1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48"/>
      <c r="O62" s="31"/>
      <c r="P62" s="31"/>
      <c r="Q62" s="31"/>
      <c r="R62" s="31"/>
      <c r="S62" s="31"/>
      <c r="T62" s="31">
        <v>60</v>
      </c>
      <c r="U62" s="88" t="s">
        <v>194</v>
      </c>
      <c r="V62" s="88" t="s">
        <v>729</v>
      </c>
      <c r="W62" s="88" t="s">
        <v>730</v>
      </c>
      <c r="X62" s="71" t="s">
        <v>1141</v>
      </c>
      <c r="Y62" s="71" t="s">
        <v>1142</v>
      </c>
      <c r="Z62" s="72" t="s">
        <v>1143</v>
      </c>
      <c r="AA62" s="32" t="s">
        <v>202</v>
      </c>
      <c r="AB62" s="32" t="s">
        <v>736</v>
      </c>
      <c r="AC62" s="32" t="s">
        <v>737</v>
      </c>
      <c r="AD62" s="31" t="s">
        <v>303</v>
      </c>
      <c r="AE62" s="31"/>
      <c r="AF62" s="31" t="s">
        <v>738</v>
      </c>
      <c r="AG62" s="31"/>
      <c r="AH62" s="31"/>
      <c r="AI62" s="31"/>
      <c r="AJ62" s="31"/>
      <c r="AK62" s="31"/>
      <c r="AL62" s="31"/>
      <c r="AM62" s="71" t="s">
        <v>1144</v>
      </c>
      <c r="AN62" s="72" t="s">
        <v>1145</v>
      </c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>
        <v>229</v>
      </c>
      <c r="BH62" s="31" t="s">
        <v>1146</v>
      </c>
      <c r="BI62" s="31"/>
      <c r="BJ62" s="31" t="s">
        <v>1147</v>
      </c>
      <c r="BK62" s="31" t="s">
        <v>1148</v>
      </c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</row>
    <row r="63" spans="1:190" ht="15.75" customHeight="1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48"/>
      <c r="O63" s="31"/>
      <c r="P63" s="31"/>
      <c r="Q63" s="31"/>
      <c r="R63" s="31"/>
      <c r="S63" s="31"/>
      <c r="T63" s="31">
        <v>61</v>
      </c>
      <c r="U63" s="94" t="s">
        <v>360</v>
      </c>
      <c r="V63" s="94" t="s">
        <v>647</v>
      </c>
      <c r="W63" s="94" t="s">
        <v>848</v>
      </c>
      <c r="X63" s="71" t="s">
        <v>1149</v>
      </c>
      <c r="Y63" s="71" t="s">
        <v>1150</v>
      </c>
      <c r="Z63" s="72" t="s">
        <v>1151</v>
      </c>
      <c r="AA63" s="32" t="s">
        <v>418</v>
      </c>
      <c r="AB63" s="32" t="s">
        <v>648</v>
      </c>
      <c r="AC63" s="32" t="s">
        <v>849</v>
      </c>
      <c r="AD63" s="31" t="s">
        <v>303</v>
      </c>
      <c r="AE63" s="31"/>
      <c r="AF63" s="31" t="s">
        <v>1152</v>
      </c>
      <c r="AG63" s="31"/>
      <c r="AH63" s="31"/>
      <c r="AI63" s="31"/>
      <c r="AJ63" s="31"/>
      <c r="AK63" s="31"/>
      <c r="AL63" s="31"/>
      <c r="AM63" s="71" t="s">
        <v>1153</v>
      </c>
      <c r="AN63" s="72" t="s">
        <v>1154</v>
      </c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>
        <v>230</v>
      </c>
      <c r="BH63" s="31" t="s">
        <v>1155</v>
      </c>
      <c r="BI63" s="31"/>
      <c r="BJ63" s="31" t="s">
        <v>1156</v>
      </c>
      <c r="BK63" s="31" t="s">
        <v>1157</v>
      </c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</row>
    <row r="64" spans="1:190" ht="15.75" customHeight="1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48"/>
      <c r="O64" s="31"/>
      <c r="P64" s="31"/>
      <c r="Q64" s="31"/>
      <c r="R64" s="31"/>
      <c r="S64" s="31"/>
      <c r="T64" s="31">
        <v>62</v>
      </c>
      <c r="U64" s="88" t="s">
        <v>360</v>
      </c>
      <c r="V64" s="88" t="s">
        <v>647</v>
      </c>
      <c r="W64" s="88" t="s">
        <v>867</v>
      </c>
      <c r="X64" s="71" t="s">
        <v>1158</v>
      </c>
      <c r="Y64" s="71" t="s">
        <v>1159</v>
      </c>
      <c r="Z64" s="72" t="s">
        <v>1160</v>
      </c>
      <c r="AA64" s="32" t="s">
        <v>418</v>
      </c>
      <c r="AB64" s="32" t="s">
        <v>648</v>
      </c>
      <c r="AC64" s="32" t="s">
        <v>868</v>
      </c>
      <c r="AD64" s="31" t="s">
        <v>1161</v>
      </c>
      <c r="AE64" s="31" t="s">
        <v>303</v>
      </c>
      <c r="AF64" s="31" t="s">
        <v>1162</v>
      </c>
      <c r="AG64" s="31"/>
      <c r="AH64" s="31"/>
      <c r="AI64" s="31"/>
      <c r="AJ64" s="31"/>
      <c r="AK64" s="31"/>
      <c r="AL64" s="31"/>
      <c r="AM64" s="71" t="s">
        <v>1163</v>
      </c>
      <c r="AN64" s="72" t="s">
        <v>1164</v>
      </c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>
        <v>231</v>
      </c>
      <c r="BH64" s="31" t="s">
        <v>1165</v>
      </c>
      <c r="BI64" s="31"/>
      <c r="BJ64" s="31" t="s">
        <v>1166</v>
      </c>
      <c r="BK64" s="31" t="s">
        <v>426</v>
      </c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</row>
    <row r="65" spans="1:190" ht="15.75" customHeight="1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48"/>
      <c r="O65" s="31"/>
      <c r="P65" s="31"/>
      <c r="Q65" s="31"/>
      <c r="R65" s="31"/>
      <c r="S65" s="31"/>
      <c r="T65" s="31">
        <v>63</v>
      </c>
      <c r="U65" s="94" t="s">
        <v>360</v>
      </c>
      <c r="V65" s="94" t="s">
        <v>600</v>
      </c>
      <c r="W65" s="94" t="s">
        <v>363</v>
      </c>
      <c r="X65" s="71" t="s">
        <v>1167</v>
      </c>
      <c r="Y65" s="71" t="s">
        <v>1168</v>
      </c>
      <c r="Z65" s="72" t="s">
        <v>1169</v>
      </c>
      <c r="AA65" s="32" t="s">
        <v>418</v>
      </c>
      <c r="AB65" s="32" t="s">
        <v>605</v>
      </c>
      <c r="AC65" s="32" t="s">
        <v>303</v>
      </c>
      <c r="AD65" s="31"/>
      <c r="AE65" s="31"/>
      <c r="AF65" s="31" t="s">
        <v>605</v>
      </c>
      <c r="AG65" s="31"/>
      <c r="AH65" s="31"/>
      <c r="AI65" s="31"/>
      <c r="AJ65" s="31"/>
      <c r="AK65" s="31"/>
      <c r="AL65" s="31"/>
      <c r="AM65" s="71" t="s">
        <v>1170</v>
      </c>
      <c r="AN65" s="72" t="s">
        <v>1171</v>
      </c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>
        <v>232</v>
      </c>
      <c r="BH65" s="31" t="s">
        <v>1172</v>
      </c>
      <c r="BI65" s="31"/>
      <c r="BJ65" s="31" t="s">
        <v>1173</v>
      </c>
      <c r="BK65" s="31" t="s">
        <v>1174</v>
      </c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</row>
    <row r="66" spans="1:190" ht="15.75" customHeight="1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48"/>
      <c r="O66" s="31"/>
      <c r="P66" s="31"/>
      <c r="Q66" s="31"/>
      <c r="R66" s="31"/>
      <c r="S66" s="31"/>
      <c r="T66" s="31">
        <v>64</v>
      </c>
      <c r="U66" s="88" t="s">
        <v>194</v>
      </c>
      <c r="V66" s="88" t="s">
        <v>195</v>
      </c>
      <c r="W66" s="88" t="s">
        <v>196</v>
      </c>
      <c r="X66" s="71" t="s">
        <v>1175</v>
      </c>
      <c r="Y66" s="71" t="s">
        <v>1176</v>
      </c>
      <c r="Z66" s="72" t="s">
        <v>1177</v>
      </c>
      <c r="AA66" s="32" t="s">
        <v>202</v>
      </c>
      <c r="AB66" s="32" t="s">
        <v>203</v>
      </c>
      <c r="AC66" s="32" t="s">
        <v>204</v>
      </c>
      <c r="AD66" s="31" t="s">
        <v>205</v>
      </c>
      <c r="AE66" s="31" t="s">
        <v>206</v>
      </c>
      <c r="AF66" s="31" t="s">
        <v>207</v>
      </c>
      <c r="AG66" s="31"/>
      <c r="AH66" s="31"/>
      <c r="AI66" s="31"/>
      <c r="AJ66" s="31"/>
      <c r="AK66" s="31"/>
      <c r="AL66" s="31"/>
      <c r="AM66" s="71" t="s">
        <v>1178</v>
      </c>
      <c r="AN66" s="72" t="s">
        <v>1179</v>
      </c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>
        <v>233</v>
      </c>
      <c r="BH66" s="31" t="s">
        <v>1180</v>
      </c>
      <c r="BI66" s="31"/>
      <c r="BJ66" s="31" t="s">
        <v>1181</v>
      </c>
      <c r="BK66" s="31" t="s">
        <v>1182</v>
      </c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</row>
    <row r="67" spans="1:190" ht="15.75" customHeight="1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48"/>
      <c r="O67" s="31"/>
      <c r="P67" s="31"/>
      <c r="Q67" s="31"/>
      <c r="R67" s="31"/>
      <c r="S67" s="31"/>
      <c r="T67" s="31">
        <v>65</v>
      </c>
      <c r="U67" s="94" t="s">
        <v>194</v>
      </c>
      <c r="V67" s="94" t="s">
        <v>294</v>
      </c>
      <c r="W67" s="94" t="s">
        <v>776</v>
      </c>
      <c r="X67" s="71" t="s">
        <v>1183</v>
      </c>
      <c r="Y67" s="71" t="s">
        <v>1184</v>
      </c>
      <c r="Z67" s="72" t="s">
        <v>1185</v>
      </c>
      <c r="AA67" s="32" t="s">
        <v>202</v>
      </c>
      <c r="AB67" s="32" t="s">
        <v>300</v>
      </c>
      <c r="AC67" s="32" t="s">
        <v>779</v>
      </c>
      <c r="AD67" s="31" t="s">
        <v>1186</v>
      </c>
      <c r="AE67" s="31" t="s">
        <v>303</v>
      </c>
      <c r="AF67" s="31" t="s">
        <v>1107</v>
      </c>
      <c r="AG67" s="31"/>
      <c r="AH67" s="31"/>
      <c r="AI67" s="31"/>
      <c r="AJ67" s="31"/>
      <c r="AK67" s="31"/>
      <c r="AL67" s="31"/>
      <c r="AM67" s="71" t="s">
        <v>1187</v>
      </c>
      <c r="AN67" s="72" t="s">
        <v>1188</v>
      </c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>
        <v>234</v>
      </c>
      <c r="BH67" s="31" t="s">
        <v>1189</v>
      </c>
      <c r="BI67" s="31"/>
      <c r="BJ67" s="31" t="s">
        <v>1190</v>
      </c>
      <c r="BK67" s="31" t="s">
        <v>207</v>
      </c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</row>
    <row r="68" spans="1:190" ht="15.75" customHeight="1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48"/>
      <c r="O68" s="31"/>
      <c r="P68" s="31"/>
      <c r="Q68" s="31"/>
      <c r="R68" s="31"/>
      <c r="S68" s="31"/>
      <c r="T68" s="31">
        <v>66</v>
      </c>
      <c r="U68" s="88" t="s">
        <v>194</v>
      </c>
      <c r="V68" s="88" t="s">
        <v>195</v>
      </c>
      <c r="W68" s="88" t="s">
        <v>196</v>
      </c>
      <c r="X68" s="71" t="s">
        <v>1191</v>
      </c>
      <c r="Y68" s="71" t="s">
        <v>1192</v>
      </c>
      <c r="Z68" s="72" t="s">
        <v>1193</v>
      </c>
      <c r="AA68" s="32" t="s">
        <v>202</v>
      </c>
      <c r="AB68" s="32" t="s">
        <v>203</v>
      </c>
      <c r="AC68" s="32" t="s">
        <v>204</v>
      </c>
      <c r="AD68" s="31" t="s">
        <v>205</v>
      </c>
      <c r="AE68" s="31" t="s">
        <v>206</v>
      </c>
      <c r="AF68" s="31" t="s">
        <v>207</v>
      </c>
      <c r="AG68" s="31"/>
      <c r="AH68" s="31"/>
      <c r="AI68" s="31"/>
      <c r="AJ68" s="31"/>
      <c r="AK68" s="31"/>
      <c r="AL68" s="31"/>
      <c r="AM68" s="71" t="s">
        <v>1194</v>
      </c>
      <c r="AN68" s="72" t="s">
        <v>1195</v>
      </c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>
        <v>235</v>
      </c>
      <c r="BH68" s="31" t="s">
        <v>1196</v>
      </c>
      <c r="BI68" s="31"/>
      <c r="BJ68" s="31" t="s">
        <v>1197</v>
      </c>
      <c r="BK68" s="31" t="s">
        <v>1198</v>
      </c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</row>
    <row r="69" spans="1:190" ht="15.75" customHeight="1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48"/>
      <c r="O69" s="31"/>
      <c r="P69" s="31"/>
      <c r="Q69" s="31"/>
      <c r="R69" s="31"/>
      <c r="S69" s="31"/>
      <c r="T69" s="31">
        <v>67</v>
      </c>
      <c r="U69" s="94" t="s">
        <v>194</v>
      </c>
      <c r="V69" s="94" t="s">
        <v>729</v>
      </c>
      <c r="W69" s="94" t="s">
        <v>987</v>
      </c>
      <c r="X69" s="71" t="s">
        <v>1199</v>
      </c>
      <c r="Y69" s="71" t="s">
        <v>1200</v>
      </c>
      <c r="Z69" s="123" t="s">
        <v>280</v>
      </c>
      <c r="AA69" s="32" t="s">
        <v>202</v>
      </c>
      <c r="AB69" s="32" t="s">
        <v>736</v>
      </c>
      <c r="AC69" s="32" t="s">
        <v>901</v>
      </c>
      <c r="AD69" s="31" t="s">
        <v>303</v>
      </c>
      <c r="AE69" s="31"/>
      <c r="AF69" s="31" t="s">
        <v>1201</v>
      </c>
      <c r="AG69" s="31"/>
      <c r="AH69" s="31"/>
      <c r="AI69" s="31"/>
      <c r="AJ69" s="31"/>
      <c r="AK69" s="31"/>
      <c r="AL69" s="31"/>
      <c r="AM69" s="71" t="s">
        <v>1202</v>
      </c>
      <c r="AN69" s="72" t="s">
        <v>1203</v>
      </c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>
        <v>236</v>
      </c>
      <c r="BH69" s="31" t="s">
        <v>1204</v>
      </c>
      <c r="BI69" s="31"/>
      <c r="BJ69" s="31" t="s">
        <v>1205</v>
      </c>
      <c r="BK69" s="31" t="s">
        <v>1206</v>
      </c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</row>
    <row r="70" spans="1:190" ht="15.75" customHeight="1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48"/>
      <c r="O70" s="31"/>
      <c r="P70" s="31"/>
      <c r="Q70" s="31"/>
      <c r="R70" s="31"/>
      <c r="S70" s="31"/>
      <c r="T70" s="31">
        <v>68</v>
      </c>
      <c r="U70" s="88" t="s">
        <v>187</v>
      </c>
      <c r="V70" s="88" t="s">
        <v>194</v>
      </c>
      <c r="W70" s="88" t="s">
        <v>729</v>
      </c>
      <c r="X70" s="71" t="s">
        <v>1207</v>
      </c>
      <c r="Y70" s="71" t="s">
        <v>1208</v>
      </c>
      <c r="Z70" s="75" t="s">
        <v>1209</v>
      </c>
      <c r="AA70" s="32" t="s">
        <v>286</v>
      </c>
      <c r="AB70" s="32" t="s">
        <v>419</v>
      </c>
      <c r="AC70" s="32" t="s">
        <v>747</v>
      </c>
      <c r="AD70" s="31" t="s">
        <v>1210</v>
      </c>
      <c r="AE70" s="31" t="s">
        <v>303</v>
      </c>
      <c r="AF70" s="31" t="s">
        <v>1211</v>
      </c>
      <c r="AG70" s="31"/>
      <c r="AH70" s="31"/>
      <c r="AI70" s="31"/>
      <c r="AJ70" s="31"/>
      <c r="AK70" s="31"/>
      <c r="AL70" s="31"/>
      <c r="AM70" s="71" t="s">
        <v>1212</v>
      </c>
      <c r="AN70" s="72" t="s">
        <v>1213</v>
      </c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>
        <v>237</v>
      </c>
      <c r="BH70" s="31" t="s">
        <v>1214</v>
      </c>
      <c r="BI70" s="31"/>
      <c r="BJ70" s="31" t="s">
        <v>1215</v>
      </c>
      <c r="BK70" s="31" t="s">
        <v>1216</v>
      </c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</row>
    <row r="71" spans="1:190" ht="15.75" customHeight="1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48"/>
      <c r="O71" s="31"/>
      <c r="P71" s="31"/>
      <c r="Q71" s="31"/>
      <c r="R71" s="31"/>
      <c r="S71" s="31"/>
      <c r="T71" s="31">
        <v>69</v>
      </c>
      <c r="U71" s="94" t="s">
        <v>187</v>
      </c>
      <c r="V71" s="94" t="s">
        <v>194</v>
      </c>
      <c r="W71" s="94" t="s">
        <v>294</v>
      </c>
      <c r="X71" s="71" t="s">
        <v>1183</v>
      </c>
      <c r="Y71" s="71" t="s">
        <v>1217</v>
      </c>
      <c r="Z71" s="75" t="s">
        <v>1218</v>
      </c>
      <c r="AA71" s="32" t="s">
        <v>286</v>
      </c>
      <c r="AB71" s="32" t="s">
        <v>419</v>
      </c>
      <c r="AC71" s="32" t="s">
        <v>698</v>
      </c>
      <c r="AD71" s="31" t="s">
        <v>1219</v>
      </c>
      <c r="AE71" s="31" t="s">
        <v>303</v>
      </c>
      <c r="AF71" s="31" t="s">
        <v>665</v>
      </c>
      <c r="AG71" s="31"/>
      <c r="AH71" s="31"/>
      <c r="AI71" s="31"/>
      <c r="AJ71" s="31"/>
      <c r="AK71" s="31"/>
      <c r="AL71" s="31"/>
      <c r="AM71" s="71" t="s">
        <v>1220</v>
      </c>
      <c r="AN71" s="72" t="s">
        <v>1221</v>
      </c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>
        <v>238</v>
      </c>
      <c r="BH71" s="31" t="s">
        <v>1222</v>
      </c>
      <c r="BI71" s="31"/>
      <c r="BJ71" s="31" t="s">
        <v>1223</v>
      </c>
      <c r="BK71" s="31" t="s">
        <v>881</v>
      </c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</row>
    <row r="72" spans="1:190" ht="15.75" customHeight="1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48"/>
      <c r="O72" s="31"/>
      <c r="P72" s="31"/>
      <c r="Q72" s="31"/>
      <c r="R72" s="31"/>
      <c r="S72" s="31"/>
      <c r="T72" s="31">
        <v>70</v>
      </c>
      <c r="U72" s="88" t="s">
        <v>194</v>
      </c>
      <c r="V72" s="88" t="s">
        <v>724</v>
      </c>
      <c r="W72" s="88" t="s">
        <v>789</v>
      </c>
      <c r="X72" s="71" t="s">
        <v>1224</v>
      </c>
      <c r="Y72" s="71" t="s">
        <v>1225</v>
      </c>
      <c r="Z72" s="75" t="s">
        <v>1226</v>
      </c>
      <c r="AA72" s="32" t="s">
        <v>202</v>
      </c>
      <c r="AB72" s="32" t="s">
        <v>725</v>
      </c>
      <c r="AC72" s="32" t="s">
        <v>793</v>
      </c>
      <c r="AD72" s="31" t="s">
        <v>794</v>
      </c>
      <c r="AE72" s="31" t="s">
        <v>303</v>
      </c>
      <c r="AF72" s="31" t="s">
        <v>688</v>
      </c>
      <c r="AG72" s="31"/>
      <c r="AH72" s="31"/>
      <c r="AI72" s="31"/>
      <c r="AJ72" s="31"/>
      <c r="AK72" s="31"/>
      <c r="AL72" s="31"/>
      <c r="AM72" s="71" t="s">
        <v>1227</v>
      </c>
      <c r="AN72" s="72" t="s">
        <v>1228</v>
      </c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>
        <v>239</v>
      </c>
      <c r="BH72" s="31" t="s">
        <v>1229</v>
      </c>
      <c r="BI72" s="31"/>
      <c r="BJ72" s="31" t="s">
        <v>1230</v>
      </c>
      <c r="BK72" s="31" t="s">
        <v>781</v>
      </c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</row>
    <row r="73" spans="1:190" ht="15.75" customHeight="1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48"/>
      <c r="O73" s="31"/>
      <c r="P73" s="31"/>
      <c r="Q73" s="31"/>
      <c r="R73" s="31"/>
      <c r="S73" s="31"/>
      <c r="T73" s="31">
        <v>71</v>
      </c>
      <c r="U73" s="94" t="s">
        <v>187</v>
      </c>
      <c r="V73" s="94" t="s">
        <v>194</v>
      </c>
      <c r="W73" s="94" t="s">
        <v>729</v>
      </c>
      <c r="X73" s="71" t="s">
        <v>1183</v>
      </c>
      <c r="Y73" s="71" t="s">
        <v>1231</v>
      </c>
      <c r="Z73" s="72" t="s">
        <v>1232</v>
      </c>
      <c r="AA73" s="32" t="s">
        <v>286</v>
      </c>
      <c r="AB73" s="32" t="s">
        <v>419</v>
      </c>
      <c r="AC73" s="32" t="s">
        <v>747</v>
      </c>
      <c r="AD73" s="31" t="s">
        <v>1210</v>
      </c>
      <c r="AE73" s="31" t="s">
        <v>303</v>
      </c>
      <c r="AF73" s="31" t="s">
        <v>1211</v>
      </c>
      <c r="AG73" s="31"/>
      <c r="AH73" s="31"/>
      <c r="AI73" s="31"/>
      <c r="AJ73" s="31"/>
      <c r="AK73" s="31"/>
      <c r="AL73" s="31"/>
      <c r="AM73" s="71" t="s">
        <v>1233</v>
      </c>
      <c r="AN73" s="72" t="s">
        <v>1234</v>
      </c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>
        <v>240</v>
      </c>
      <c r="BH73" s="31" t="s">
        <v>1235</v>
      </c>
      <c r="BI73" s="31"/>
      <c r="BJ73" s="31" t="s">
        <v>1236</v>
      </c>
      <c r="BK73" s="31" t="s">
        <v>1237</v>
      </c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</row>
    <row r="74" spans="1:190" ht="15.75" customHeight="1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48"/>
      <c r="O74" s="31"/>
      <c r="P74" s="31"/>
      <c r="Q74" s="31"/>
      <c r="R74" s="31"/>
      <c r="S74" s="31"/>
      <c r="T74" s="31">
        <v>72</v>
      </c>
      <c r="U74" s="88" t="s">
        <v>194</v>
      </c>
      <c r="V74" s="88" t="s">
        <v>729</v>
      </c>
      <c r="W74" s="88" t="s">
        <v>730</v>
      </c>
      <c r="X74" s="71" t="s">
        <v>1238</v>
      </c>
      <c r="Y74" s="71" t="s">
        <v>1239</v>
      </c>
      <c r="Z74" s="75" t="s">
        <v>1240</v>
      </c>
      <c r="AA74" s="32" t="s">
        <v>202</v>
      </c>
      <c r="AB74" s="32" t="s">
        <v>736</v>
      </c>
      <c r="AC74" s="32" t="s">
        <v>737</v>
      </c>
      <c r="AD74" s="31" t="s">
        <v>303</v>
      </c>
      <c r="AE74" s="31"/>
      <c r="AF74" s="31" t="s">
        <v>738</v>
      </c>
      <c r="AG74" s="31"/>
      <c r="AH74" s="31"/>
      <c r="AI74" s="31"/>
      <c r="AJ74" s="31"/>
      <c r="AK74" s="31"/>
      <c r="AL74" s="31"/>
      <c r="AM74" s="71" t="s">
        <v>1241</v>
      </c>
      <c r="AN74" s="72" t="s">
        <v>1242</v>
      </c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>
        <v>241</v>
      </c>
      <c r="BH74" s="31" t="s">
        <v>1243</v>
      </c>
      <c r="BI74" s="31"/>
      <c r="BJ74" s="31" t="s">
        <v>1244</v>
      </c>
      <c r="BK74" s="31" t="s">
        <v>1245</v>
      </c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</row>
    <row r="75" spans="1:190" ht="15.75" customHeight="1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48"/>
      <c r="O75" s="31"/>
      <c r="P75" s="31"/>
      <c r="Q75" s="31"/>
      <c r="R75" s="31"/>
      <c r="S75" s="31"/>
      <c r="T75" s="31">
        <v>73</v>
      </c>
      <c r="U75" s="94" t="s">
        <v>194</v>
      </c>
      <c r="V75" s="94" t="s">
        <v>724</v>
      </c>
      <c r="W75" s="94" t="s">
        <v>789</v>
      </c>
      <c r="X75" s="71" t="s">
        <v>1246</v>
      </c>
      <c r="Y75" s="71" t="s">
        <v>1247</v>
      </c>
      <c r="Z75" s="75" t="s">
        <v>1248</v>
      </c>
      <c r="AA75" s="32" t="s">
        <v>202</v>
      </c>
      <c r="AB75" s="32" t="s">
        <v>725</v>
      </c>
      <c r="AC75" s="32" t="s">
        <v>793</v>
      </c>
      <c r="AD75" s="31" t="s">
        <v>794</v>
      </c>
      <c r="AE75" s="31" t="s">
        <v>303</v>
      </c>
      <c r="AF75" s="31" t="s">
        <v>688</v>
      </c>
      <c r="AG75" s="31"/>
      <c r="AH75" s="31"/>
      <c r="AI75" s="31"/>
      <c r="AJ75" s="31"/>
      <c r="AK75" s="31"/>
      <c r="AL75" s="31"/>
      <c r="AM75" s="71" t="s">
        <v>1249</v>
      </c>
      <c r="AN75" s="72" t="s">
        <v>1250</v>
      </c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>
        <v>242</v>
      </c>
      <c r="BH75" s="31" t="s">
        <v>1251</v>
      </c>
      <c r="BI75" s="31"/>
      <c r="BJ75" s="31" t="s">
        <v>1252</v>
      </c>
      <c r="BK75" s="31" t="s">
        <v>760</v>
      </c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</row>
    <row r="76" spans="1:190" ht="15.75" customHeight="1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48"/>
      <c r="O76" s="31"/>
      <c r="P76" s="31"/>
      <c r="Q76" s="31"/>
      <c r="R76" s="31"/>
      <c r="S76" s="31"/>
      <c r="T76" s="31">
        <v>74</v>
      </c>
      <c r="U76" s="88" t="s">
        <v>187</v>
      </c>
      <c r="V76" s="88" t="s">
        <v>287</v>
      </c>
      <c r="W76" s="88" t="s">
        <v>469</v>
      </c>
      <c r="X76" s="71" t="s">
        <v>1253</v>
      </c>
      <c r="Y76" s="71" t="s">
        <v>1254</v>
      </c>
      <c r="Z76" s="72" t="s">
        <v>1255</v>
      </c>
      <c r="AA76" s="32" t="s">
        <v>286</v>
      </c>
      <c r="AB76" s="32" t="s">
        <v>290</v>
      </c>
      <c r="AC76" s="32" t="s">
        <v>473</v>
      </c>
      <c r="AD76" s="31" t="s">
        <v>1102</v>
      </c>
      <c r="AE76" s="31" t="s">
        <v>303</v>
      </c>
      <c r="AF76" s="31" t="s">
        <v>539</v>
      </c>
      <c r="AG76" s="31"/>
      <c r="AH76" s="31"/>
      <c r="AI76" s="31"/>
      <c r="AJ76" s="31"/>
      <c r="AK76" s="31"/>
      <c r="AL76" s="31"/>
      <c r="AM76" s="71" t="s">
        <v>1256</v>
      </c>
      <c r="AN76" s="72" t="s">
        <v>1257</v>
      </c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 t="s">
        <v>967</v>
      </c>
      <c r="BH76" s="31" t="s">
        <v>1258</v>
      </c>
      <c r="BI76" s="31"/>
      <c r="BJ76" s="31" t="s">
        <v>1259</v>
      </c>
      <c r="BK76" s="31" t="s">
        <v>738</v>
      </c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</row>
    <row r="77" spans="1:190" ht="15.75" customHeight="1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48"/>
      <c r="O77" s="31"/>
      <c r="P77" s="31"/>
      <c r="Q77" s="31"/>
      <c r="R77" s="31"/>
      <c r="S77" s="31"/>
      <c r="T77" s="31">
        <v>75</v>
      </c>
      <c r="U77" s="94" t="s">
        <v>194</v>
      </c>
      <c r="V77" s="94" t="s">
        <v>195</v>
      </c>
      <c r="W77" s="94" t="s">
        <v>196</v>
      </c>
      <c r="X77" s="71" t="s">
        <v>1260</v>
      </c>
      <c r="Y77" s="71" t="s">
        <v>1261</v>
      </c>
      <c r="Z77" s="75" t="s">
        <v>1262</v>
      </c>
      <c r="AA77" s="32" t="s">
        <v>202</v>
      </c>
      <c r="AB77" s="32" t="s">
        <v>203</v>
      </c>
      <c r="AC77" s="32" t="s">
        <v>204</v>
      </c>
      <c r="AD77" s="31" t="s">
        <v>205</v>
      </c>
      <c r="AE77" s="31" t="s">
        <v>206</v>
      </c>
      <c r="AF77" s="31" t="s">
        <v>207</v>
      </c>
      <c r="AG77" s="31"/>
      <c r="AH77" s="31"/>
      <c r="AI77" s="31"/>
      <c r="AJ77" s="31"/>
      <c r="AK77" s="31"/>
      <c r="AL77" s="31"/>
      <c r="AM77" s="71" t="s">
        <v>1263</v>
      </c>
      <c r="AN77" s="72" t="s">
        <v>1264</v>
      </c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>
        <v>301</v>
      </c>
      <c r="BH77" s="31" t="s">
        <v>1265</v>
      </c>
      <c r="BI77" s="31"/>
      <c r="BJ77" s="31" t="s">
        <v>1266</v>
      </c>
      <c r="BK77" s="31" t="s">
        <v>815</v>
      </c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</row>
    <row r="78" spans="1:190" ht="15.75" customHeight="1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48"/>
      <c r="O78" s="31"/>
      <c r="P78" s="31"/>
      <c r="Q78" s="31"/>
      <c r="R78" s="31"/>
      <c r="S78" s="31"/>
      <c r="T78" s="31">
        <v>76</v>
      </c>
      <c r="U78" s="88" t="s">
        <v>194</v>
      </c>
      <c r="V78" s="88" t="s">
        <v>195</v>
      </c>
      <c r="W78" s="88" t="s">
        <v>196</v>
      </c>
      <c r="X78" s="71" t="s">
        <v>1267</v>
      </c>
      <c r="Y78" s="71" t="s">
        <v>1268</v>
      </c>
      <c r="Z78" s="75" t="s">
        <v>1269</v>
      </c>
      <c r="AA78" s="32" t="s">
        <v>202</v>
      </c>
      <c r="AB78" s="32" t="s">
        <v>203</v>
      </c>
      <c r="AC78" s="32" t="s">
        <v>204</v>
      </c>
      <c r="AD78" s="31" t="s">
        <v>205</v>
      </c>
      <c r="AE78" s="31" t="s">
        <v>206</v>
      </c>
      <c r="AF78" s="31" t="s">
        <v>207</v>
      </c>
      <c r="AG78" s="31"/>
      <c r="AH78" s="31"/>
      <c r="AI78" s="31"/>
      <c r="AJ78" s="31"/>
      <c r="AK78" s="31"/>
      <c r="AL78" s="31"/>
      <c r="AM78" s="71" t="s">
        <v>1270</v>
      </c>
      <c r="AN78" s="72" t="s">
        <v>1271</v>
      </c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>
        <v>302</v>
      </c>
      <c r="BH78" s="31" t="s">
        <v>1272</v>
      </c>
      <c r="BI78" s="31"/>
      <c r="BJ78" s="31" t="s">
        <v>1273</v>
      </c>
      <c r="BK78" s="31" t="s">
        <v>1274</v>
      </c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</row>
    <row r="79" spans="1:190" ht="15.75" customHeight="1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48"/>
      <c r="O79" s="31"/>
      <c r="P79" s="31"/>
      <c r="Q79" s="31"/>
      <c r="R79" s="31"/>
      <c r="S79" s="31"/>
      <c r="T79" s="31">
        <v>77</v>
      </c>
      <c r="U79" s="94" t="s">
        <v>187</v>
      </c>
      <c r="V79" s="94" t="s">
        <v>287</v>
      </c>
      <c r="W79" s="94" t="s">
        <v>469</v>
      </c>
      <c r="X79" s="71" t="s">
        <v>1275</v>
      </c>
      <c r="Y79" s="71" t="s">
        <v>1276</v>
      </c>
      <c r="Z79" s="75" t="s">
        <v>1277</v>
      </c>
      <c r="AA79" s="32" t="s">
        <v>286</v>
      </c>
      <c r="AB79" s="32" t="s">
        <v>290</v>
      </c>
      <c r="AC79" s="32" t="s">
        <v>473</v>
      </c>
      <c r="AD79" s="31" t="s">
        <v>1102</v>
      </c>
      <c r="AE79" s="31" t="s">
        <v>303</v>
      </c>
      <c r="AF79" s="31" t="s">
        <v>539</v>
      </c>
      <c r="AG79" s="31"/>
      <c r="AH79" s="31"/>
      <c r="AI79" s="31"/>
      <c r="AJ79" s="31"/>
      <c r="AK79" s="31"/>
      <c r="AL79" s="31"/>
      <c r="AM79" s="71" t="s">
        <v>1278</v>
      </c>
      <c r="AN79" s="72" t="s">
        <v>1279</v>
      </c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>
        <v>303</v>
      </c>
      <c r="BH79" s="31" t="s">
        <v>1280</v>
      </c>
      <c r="BI79" s="31"/>
      <c r="BJ79" s="31" t="s">
        <v>1281</v>
      </c>
      <c r="BK79" s="31" t="s">
        <v>1282</v>
      </c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</row>
    <row r="80" spans="1:190" ht="15.75" customHeight="1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48"/>
      <c r="O80" s="31"/>
      <c r="P80" s="31"/>
      <c r="Q80" s="31"/>
      <c r="R80" s="31"/>
      <c r="S80" s="31"/>
      <c r="T80" s="31">
        <v>78</v>
      </c>
      <c r="U80" s="88" t="s">
        <v>194</v>
      </c>
      <c r="V80" s="88" t="s">
        <v>724</v>
      </c>
      <c r="W80" s="88" t="s">
        <v>789</v>
      </c>
      <c r="X80" s="71" t="s">
        <v>1283</v>
      </c>
      <c r="Y80" s="71" t="s">
        <v>1284</v>
      </c>
      <c r="Z80" s="72" t="s">
        <v>1285</v>
      </c>
      <c r="AA80" s="32" t="s">
        <v>202</v>
      </c>
      <c r="AB80" s="32" t="s">
        <v>725</v>
      </c>
      <c r="AC80" s="32" t="s">
        <v>793</v>
      </c>
      <c r="AD80" s="31" t="s">
        <v>794</v>
      </c>
      <c r="AE80" s="31" t="s">
        <v>303</v>
      </c>
      <c r="AF80" s="31" t="s">
        <v>688</v>
      </c>
      <c r="AG80" s="31"/>
      <c r="AH80" s="31"/>
      <c r="AI80" s="31"/>
      <c r="AJ80" s="31"/>
      <c r="AK80" s="31"/>
      <c r="AL80" s="31"/>
      <c r="AM80" s="71" t="s">
        <v>1286</v>
      </c>
      <c r="AN80" s="72" t="s">
        <v>1287</v>
      </c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>
        <v>304</v>
      </c>
      <c r="BH80" s="31" t="s">
        <v>1288</v>
      </c>
      <c r="BI80" s="31"/>
      <c r="BJ80" s="31" t="s">
        <v>1289</v>
      </c>
      <c r="BK80" s="31" t="s">
        <v>824</v>
      </c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</row>
    <row r="81" spans="1:190" ht="15.75" customHeight="1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48"/>
      <c r="O81" s="31"/>
      <c r="P81" s="31"/>
      <c r="Q81" s="31"/>
      <c r="R81" s="31"/>
      <c r="S81" s="31"/>
      <c r="T81" s="31">
        <v>79</v>
      </c>
      <c r="U81" s="94" t="s">
        <v>187</v>
      </c>
      <c r="V81" s="94" t="s">
        <v>194</v>
      </c>
      <c r="W81" s="94" t="s">
        <v>294</v>
      </c>
      <c r="X81" s="71" t="s">
        <v>1290</v>
      </c>
      <c r="Y81" s="71" t="s">
        <v>1291</v>
      </c>
      <c r="Z81" s="75" t="s">
        <v>1292</v>
      </c>
      <c r="AA81" s="32" t="s">
        <v>286</v>
      </c>
      <c r="AB81" s="32" t="s">
        <v>419</v>
      </c>
      <c r="AC81" s="32" t="s">
        <v>698</v>
      </c>
      <c r="AD81" s="31" t="s">
        <v>303</v>
      </c>
      <c r="AE81" s="31"/>
      <c r="AF81" s="31" t="s">
        <v>1015</v>
      </c>
      <c r="AG81" s="31"/>
      <c r="AH81" s="31"/>
      <c r="AI81" s="31"/>
      <c r="AJ81" s="31"/>
      <c r="AK81" s="31"/>
      <c r="AL81" s="31"/>
      <c r="AM81" s="71" t="s">
        <v>1293</v>
      </c>
      <c r="AN81" s="72" t="s">
        <v>1294</v>
      </c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>
        <v>305</v>
      </c>
      <c r="BH81" s="31" t="s">
        <v>1295</v>
      </c>
      <c r="BI81" s="31"/>
      <c r="BJ81" s="31" t="s">
        <v>1296</v>
      </c>
      <c r="BK81" s="31" t="s">
        <v>1015</v>
      </c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</row>
    <row r="82" spans="1:190" ht="15.75" customHeight="1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48"/>
      <c r="O82" s="31"/>
      <c r="P82" s="31"/>
      <c r="Q82" s="31"/>
      <c r="R82" s="31"/>
      <c r="S82" s="31"/>
      <c r="T82" s="31">
        <v>80</v>
      </c>
      <c r="U82" s="88" t="s">
        <v>194</v>
      </c>
      <c r="V82" s="88" t="s">
        <v>724</v>
      </c>
      <c r="W82" s="88" t="s">
        <v>809</v>
      </c>
      <c r="X82" s="71" t="s">
        <v>1297</v>
      </c>
      <c r="Y82" s="71" t="s">
        <v>1298</v>
      </c>
      <c r="Z82" s="72" t="s">
        <v>1299</v>
      </c>
      <c r="AA82" s="32" t="s">
        <v>202</v>
      </c>
      <c r="AB82" s="32" t="s">
        <v>725</v>
      </c>
      <c r="AC82" s="32" t="s">
        <v>813</v>
      </c>
      <c r="AD82" s="31" t="s">
        <v>814</v>
      </c>
      <c r="AE82" s="31" t="s">
        <v>303</v>
      </c>
      <c r="AF82" s="31" t="s">
        <v>815</v>
      </c>
      <c r="AG82" s="31"/>
      <c r="AH82" s="31"/>
      <c r="AI82" s="31"/>
      <c r="AJ82" s="31"/>
      <c r="AK82" s="31"/>
      <c r="AL82" s="31"/>
      <c r="AM82" s="71" t="s">
        <v>1300</v>
      </c>
      <c r="AN82" s="72" t="s">
        <v>1301</v>
      </c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>
        <v>306</v>
      </c>
      <c r="BH82" s="31" t="s">
        <v>1302</v>
      </c>
      <c r="BI82" s="31"/>
      <c r="BJ82" s="31" t="s">
        <v>1303</v>
      </c>
      <c r="BK82" s="31" t="s">
        <v>1304</v>
      </c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</row>
    <row r="83" spans="1:190" ht="15.75" customHeight="1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48"/>
      <c r="O83" s="31"/>
      <c r="P83" s="31"/>
      <c r="Q83" s="31"/>
      <c r="R83" s="31"/>
      <c r="S83" s="31"/>
      <c r="T83" s="31">
        <v>81</v>
      </c>
      <c r="U83" s="94" t="s">
        <v>194</v>
      </c>
      <c r="V83" s="94" t="s">
        <v>195</v>
      </c>
      <c r="W83" s="94" t="s">
        <v>196</v>
      </c>
      <c r="X83" s="71" t="s">
        <v>1305</v>
      </c>
      <c r="Y83" s="71" t="s">
        <v>1306</v>
      </c>
      <c r="Z83" s="75" t="s">
        <v>1307</v>
      </c>
      <c r="AA83" s="32" t="s">
        <v>202</v>
      </c>
      <c r="AB83" s="32" t="s">
        <v>203</v>
      </c>
      <c r="AC83" s="32" t="s">
        <v>204</v>
      </c>
      <c r="AD83" s="31" t="s">
        <v>205</v>
      </c>
      <c r="AE83" s="31" t="s">
        <v>897</v>
      </c>
      <c r="AF83" s="31" t="s">
        <v>207</v>
      </c>
      <c r="AG83" s="31"/>
      <c r="AH83" s="31"/>
      <c r="AI83" s="31"/>
      <c r="AJ83" s="31"/>
      <c r="AK83" s="31"/>
      <c r="AL83" s="31"/>
      <c r="AM83" s="71" t="s">
        <v>1308</v>
      </c>
      <c r="AN83" s="72" t="s">
        <v>1309</v>
      </c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>
        <v>307</v>
      </c>
      <c r="BH83" s="31" t="s">
        <v>1310</v>
      </c>
      <c r="BI83" s="31"/>
      <c r="BJ83" s="31" t="s">
        <v>1311</v>
      </c>
      <c r="BK83" s="31" t="s">
        <v>707</v>
      </c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</row>
    <row r="84" spans="1:190" ht="15.75" customHeight="1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>
        <v>82</v>
      </c>
      <c r="U84" s="88" t="s">
        <v>194</v>
      </c>
      <c r="V84" s="88" t="s">
        <v>294</v>
      </c>
      <c r="W84" s="88" t="s">
        <v>776</v>
      </c>
      <c r="X84" s="71" t="s">
        <v>1312</v>
      </c>
      <c r="Y84" s="71" t="s">
        <v>1313</v>
      </c>
      <c r="Z84" s="75" t="s">
        <v>1314</v>
      </c>
      <c r="AA84" s="32" t="s">
        <v>202</v>
      </c>
      <c r="AB84" s="32" t="s">
        <v>300</v>
      </c>
      <c r="AC84" s="32" t="s">
        <v>779</v>
      </c>
      <c r="AD84" s="31" t="s">
        <v>1186</v>
      </c>
      <c r="AE84" s="31" t="s">
        <v>303</v>
      </c>
      <c r="AF84" s="31" t="s">
        <v>1107</v>
      </c>
      <c r="AG84" s="31"/>
      <c r="AH84" s="31"/>
      <c r="AI84" s="31"/>
      <c r="AJ84" s="31"/>
      <c r="AK84" s="31"/>
      <c r="AL84" s="31"/>
      <c r="AM84" s="71" t="s">
        <v>1315</v>
      </c>
      <c r="AN84" s="72" t="s">
        <v>1316</v>
      </c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>
        <v>308</v>
      </c>
      <c r="BH84" s="31" t="s">
        <v>1317</v>
      </c>
      <c r="BI84" s="31"/>
      <c r="BJ84" s="31" t="s">
        <v>1318</v>
      </c>
      <c r="BK84" s="31" t="s">
        <v>679</v>
      </c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</row>
    <row r="85" spans="1:190" ht="15.75" customHeight="1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>
        <v>83</v>
      </c>
      <c r="U85" s="94" t="s">
        <v>194</v>
      </c>
      <c r="V85" s="94" t="s">
        <v>195</v>
      </c>
      <c r="W85" s="94" t="s">
        <v>196</v>
      </c>
      <c r="X85" s="71" t="s">
        <v>1319</v>
      </c>
      <c r="Y85" s="71" t="s">
        <v>1320</v>
      </c>
      <c r="Z85" s="75" t="s">
        <v>1321</v>
      </c>
      <c r="AA85" s="32" t="s">
        <v>202</v>
      </c>
      <c r="AB85" s="32" t="s">
        <v>203</v>
      </c>
      <c r="AC85" s="32" t="s">
        <v>204</v>
      </c>
      <c r="AD85" s="31" t="s">
        <v>205</v>
      </c>
      <c r="AE85" s="31" t="s">
        <v>897</v>
      </c>
      <c r="AF85" s="31" t="s">
        <v>207</v>
      </c>
      <c r="AG85" s="31"/>
      <c r="AH85" s="31"/>
      <c r="AI85" s="31"/>
      <c r="AJ85" s="31"/>
      <c r="AK85" s="31"/>
      <c r="AL85" s="31"/>
      <c r="AM85" s="71" t="s">
        <v>1322</v>
      </c>
      <c r="AN85" s="72" t="s">
        <v>1323</v>
      </c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 t="s">
        <v>1071</v>
      </c>
      <c r="BH85" s="31" t="s">
        <v>1324</v>
      </c>
      <c r="BI85" s="31"/>
      <c r="BJ85" s="31" t="s">
        <v>1325</v>
      </c>
      <c r="BK85" s="31" t="s">
        <v>1326</v>
      </c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</row>
    <row r="86" spans="1:190" ht="15.75" customHeight="1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>
        <v>84</v>
      </c>
      <c r="U86" s="88" t="s">
        <v>194</v>
      </c>
      <c r="V86" s="88" t="s">
        <v>195</v>
      </c>
      <c r="W86" s="88" t="s">
        <v>196</v>
      </c>
      <c r="X86" s="71" t="s">
        <v>1327</v>
      </c>
      <c r="Y86" s="71" t="s">
        <v>1328</v>
      </c>
      <c r="Z86" s="72" t="s">
        <v>1329</v>
      </c>
      <c r="AA86" s="32" t="s">
        <v>202</v>
      </c>
      <c r="AB86" s="32" t="s">
        <v>203</v>
      </c>
      <c r="AC86" s="32" t="s">
        <v>204</v>
      </c>
      <c r="AD86" s="31" t="s">
        <v>205</v>
      </c>
      <c r="AE86" s="31" t="s">
        <v>897</v>
      </c>
      <c r="AF86" s="31" t="s">
        <v>207</v>
      </c>
      <c r="AG86" s="31"/>
      <c r="AH86" s="31"/>
      <c r="AI86" s="31"/>
      <c r="AJ86" s="31"/>
      <c r="AK86" s="31"/>
      <c r="AL86" s="31"/>
      <c r="AM86" s="71" t="s">
        <v>1330</v>
      </c>
      <c r="AN86" s="72" t="s">
        <v>1331</v>
      </c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>
        <v>401</v>
      </c>
      <c r="BH86" s="31" t="s">
        <v>1332</v>
      </c>
      <c r="BI86" s="31"/>
      <c r="BJ86" s="31" t="s">
        <v>1333</v>
      </c>
      <c r="BK86" s="31" t="s">
        <v>907</v>
      </c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</row>
    <row r="87" spans="1:190" ht="15.75" customHeight="1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>
        <v>85</v>
      </c>
      <c r="U87" s="94" t="s">
        <v>187</v>
      </c>
      <c r="V87" s="94" t="s">
        <v>287</v>
      </c>
      <c r="W87" s="94" t="s">
        <v>561</v>
      </c>
      <c r="X87" s="71" t="s">
        <v>1334</v>
      </c>
      <c r="Y87" s="71" t="s">
        <v>1335</v>
      </c>
      <c r="Z87" s="125" t="s">
        <v>1336</v>
      </c>
      <c r="AA87" s="32" t="s">
        <v>286</v>
      </c>
      <c r="AB87" s="32" t="s">
        <v>290</v>
      </c>
      <c r="AC87" s="32" t="s">
        <v>565</v>
      </c>
      <c r="AD87" s="31" t="s">
        <v>303</v>
      </c>
      <c r="AE87" s="31"/>
      <c r="AF87" s="31" t="s">
        <v>978</v>
      </c>
      <c r="AG87" s="31"/>
      <c r="AH87" s="31"/>
      <c r="AI87" s="31"/>
      <c r="AJ87" s="31"/>
      <c r="AK87" s="31"/>
      <c r="AL87" s="31"/>
      <c r="AM87" s="71" t="s">
        <v>1337</v>
      </c>
      <c r="AN87" s="72" t="s">
        <v>1338</v>
      </c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>
        <v>402</v>
      </c>
      <c r="BH87" s="31" t="s">
        <v>1339</v>
      </c>
      <c r="BI87" s="31"/>
      <c r="BJ87" s="31" t="s">
        <v>1340</v>
      </c>
      <c r="BK87" s="31" t="s">
        <v>1032</v>
      </c>
      <c r="BL87" s="31"/>
      <c r="BM87" s="31"/>
      <c r="BN87" s="31"/>
      <c r="BO87" s="31"/>
      <c r="BP87" s="31"/>
      <c r="BQ87" s="31"/>
      <c r="BR87" s="31"/>
      <c r="BS87" s="31"/>
      <c r="BT87" s="31" t="s">
        <v>62</v>
      </c>
      <c r="BU87" s="31" t="s">
        <v>5</v>
      </c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</row>
    <row r="88" spans="1:190" ht="15.75" customHeight="1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>
        <v>86</v>
      </c>
      <c r="U88" s="88" t="s">
        <v>187</v>
      </c>
      <c r="V88" s="88" t="s">
        <v>194</v>
      </c>
      <c r="W88" s="88" t="s">
        <v>729</v>
      </c>
      <c r="X88" s="71" t="s">
        <v>1341</v>
      </c>
      <c r="Y88" s="71" t="s">
        <v>1342</v>
      </c>
      <c r="Z88" s="72" t="s">
        <v>1343</v>
      </c>
      <c r="AA88" s="32" t="s">
        <v>286</v>
      </c>
      <c r="AB88" s="32" t="s">
        <v>419</v>
      </c>
      <c r="AC88" s="32" t="s">
        <v>747</v>
      </c>
      <c r="AD88" s="31" t="s">
        <v>1210</v>
      </c>
      <c r="AE88" s="31" t="s">
        <v>303</v>
      </c>
      <c r="AF88" s="31" t="s">
        <v>1211</v>
      </c>
      <c r="AG88" s="31"/>
      <c r="AH88" s="31"/>
      <c r="AI88" s="31"/>
      <c r="AJ88" s="31"/>
      <c r="AK88" s="31"/>
      <c r="AL88" s="31"/>
      <c r="AM88" s="71" t="s">
        <v>1344</v>
      </c>
      <c r="AN88" s="72" t="s">
        <v>1345</v>
      </c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>
        <v>403</v>
      </c>
      <c r="BH88" s="31" t="s">
        <v>1346</v>
      </c>
      <c r="BI88" s="31"/>
      <c r="BJ88" s="31" t="s">
        <v>1347</v>
      </c>
      <c r="BK88" s="31" t="s">
        <v>483</v>
      </c>
      <c r="BL88" s="31"/>
      <c r="BM88" s="31"/>
      <c r="BN88" s="31"/>
      <c r="BO88" s="31"/>
      <c r="BP88" s="31"/>
      <c r="BQ88" s="31"/>
      <c r="BR88" s="31" t="s">
        <v>187</v>
      </c>
      <c r="BS88" s="31"/>
      <c r="BT88" s="31" t="s">
        <v>187</v>
      </c>
      <c r="BU88" s="31" t="s">
        <v>190</v>
      </c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</row>
    <row r="89" spans="1:190" ht="15.75" customHeight="1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>
        <v>87</v>
      </c>
      <c r="U89" s="94" t="s">
        <v>194</v>
      </c>
      <c r="V89" s="94" t="s">
        <v>294</v>
      </c>
      <c r="W89" s="94" t="s">
        <v>776</v>
      </c>
      <c r="X89" s="71" t="s">
        <v>1348</v>
      </c>
      <c r="Y89" s="71" t="s">
        <v>1349</v>
      </c>
      <c r="Z89" s="75" t="s">
        <v>347</v>
      </c>
      <c r="AA89" s="32" t="s">
        <v>202</v>
      </c>
      <c r="AB89" s="32" t="s">
        <v>300</v>
      </c>
      <c r="AC89" s="32" t="s">
        <v>779</v>
      </c>
      <c r="AD89" s="31" t="s">
        <v>303</v>
      </c>
      <c r="AE89" s="31"/>
      <c r="AF89" s="31" t="s">
        <v>1148</v>
      </c>
      <c r="AG89" s="31"/>
      <c r="AH89" s="31"/>
      <c r="AI89" s="31"/>
      <c r="AJ89" s="31"/>
      <c r="AK89" s="31"/>
      <c r="AL89" s="31"/>
      <c r="AM89" s="71" t="s">
        <v>1350</v>
      </c>
      <c r="AN89" s="72" t="s">
        <v>1351</v>
      </c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>
        <v>404</v>
      </c>
      <c r="BH89" s="31" t="s">
        <v>1352</v>
      </c>
      <c r="BI89" s="31"/>
      <c r="BJ89" s="31" t="s">
        <v>1353</v>
      </c>
      <c r="BK89" s="31" t="s">
        <v>863</v>
      </c>
      <c r="BL89" s="31"/>
      <c r="BM89" s="31"/>
      <c r="BN89" s="31"/>
      <c r="BO89" s="31"/>
      <c r="BP89" s="31"/>
      <c r="BQ89" s="31"/>
      <c r="BR89" s="31" t="s">
        <v>187</v>
      </c>
      <c r="BS89" s="31"/>
      <c r="BT89" s="31" t="s">
        <v>287</v>
      </c>
      <c r="BU89" s="31" t="s">
        <v>290</v>
      </c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</row>
    <row r="90" spans="1:190" ht="15.75" customHeight="1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>
        <v>88</v>
      </c>
      <c r="U90" s="88" t="s">
        <v>187</v>
      </c>
      <c r="V90" s="88" t="s">
        <v>194</v>
      </c>
      <c r="W90" s="88" t="s">
        <v>294</v>
      </c>
      <c r="X90" s="71" t="s">
        <v>1354</v>
      </c>
      <c r="Y90" s="71" t="s">
        <v>1355</v>
      </c>
      <c r="Z90" s="126" t="s">
        <v>1356</v>
      </c>
      <c r="AA90" s="32" t="s">
        <v>286</v>
      </c>
      <c r="AB90" s="32" t="s">
        <v>419</v>
      </c>
      <c r="AC90" s="32" t="s">
        <v>698</v>
      </c>
      <c r="AD90" s="31" t="s">
        <v>1219</v>
      </c>
      <c r="AE90" s="31" t="s">
        <v>303</v>
      </c>
      <c r="AF90" s="31" t="s">
        <v>665</v>
      </c>
      <c r="AG90" s="31"/>
      <c r="AH90" s="31"/>
      <c r="AI90" s="31"/>
      <c r="AJ90" s="31"/>
      <c r="AK90" s="31"/>
      <c r="AL90" s="31"/>
      <c r="AM90" s="71" t="s">
        <v>1357</v>
      </c>
      <c r="AN90" s="72" t="s">
        <v>1358</v>
      </c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>
        <v>405</v>
      </c>
      <c r="BH90" s="31" t="s">
        <v>1359</v>
      </c>
      <c r="BI90" s="31"/>
      <c r="BJ90" s="31" t="s">
        <v>1360</v>
      </c>
      <c r="BK90" s="31" t="s">
        <v>1361</v>
      </c>
      <c r="BL90" s="31"/>
      <c r="BM90" s="31"/>
      <c r="BN90" s="31"/>
      <c r="BO90" s="31"/>
      <c r="BP90" s="31"/>
      <c r="BQ90" s="31"/>
      <c r="BR90" s="31" t="s">
        <v>187</v>
      </c>
      <c r="BS90" s="31"/>
      <c r="BT90" s="31" t="s">
        <v>360</v>
      </c>
      <c r="BU90" s="31" t="s">
        <v>361</v>
      </c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</row>
    <row r="91" spans="1:190" ht="15.75" customHeight="1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>
        <v>89</v>
      </c>
      <c r="U91" s="94" t="s">
        <v>187</v>
      </c>
      <c r="V91" s="94" t="s">
        <v>287</v>
      </c>
      <c r="W91" s="94" t="s">
        <v>363</v>
      </c>
      <c r="X91" s="71" t="s">
        <v>1362</v>
      </c>
      <c r="Y91" s="71" t="s">
        <v>1363</v>
      </c>
      <c r="Z91" s="75" t="s">
        <v>1364</v>
      </c>
      <c r="AA91" s="32" t="s">
        <v>286</v>
      </c>
      <c r="AB91" s="32" t="s">
        <v>290</v>
      </c>
      <c r="AC91" s="32" t="s">
        <v>303</v>
      </c>
      <c r="AD91" s="31"/>
      <c r="AE91" s="31"/>
      <c r="AF91" s="31" t="s">
        <v>290</v>
      </c>
      <c r="AG91" s="31"/>
      <c r="AH91" s="31"/>
      <c r="AI91" s="31"/>
      <c r="AJ91" s="31"/>
      <c r="AK91" s="31"/>
      <c r="AL91" s="31"/>
      <c r="AM91" s="71" t="s">
        <v>1365</v>
      </c>
      <c r="AN91" s="72" t="s">
        <v>1366</v>
      </c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>
        <v>406</v>
      </c>
      <c r="BH91" s="31" t="s">
        <v>1367</v>
      </c>
      <c r="BI91" s="31"/>
      <c r="BJ91" s="31" t="s">
        <v>1368</v>
      </c>
      <c r="BK91" s="31" t="s">
        <v>1211</v>
      </c>
      <c r="BL91" s="31"/>
      <c r="BM91" s="31"/>
      <c r="BN91" s="31"/>
      <c r="BO91" s="31"/>
      <c r="BP91" s="31"/>
      <c r="BQ91" s="31"/>
      <c r="BR91" s="31" t="s">
        <v>187</v>
      </c>
      <c r="BS91" s="31"/>
      <c r="BT91" s="31" t="s">
        <v>194</v>
      </c>
      <c r="BU91" s="31" t="s">
        <v>419</v>
      </c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</row>
    <row r="92" spans="1:190" ht="15.75" customHeight="1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>
        <v>90</v>
      </c>
      <c r="U92" s="88" t="s">
        <v>187</v>
      </c>
      <c r="V92" s="88" t="s">
        <v>187</v>
      </c>
      <c r="W92" s="88" t="s">
        <v>360</v>
      </c>
      <c r="X92" s="71" t="s">
        <v>1369</v>
      </c>
      <c r="Y92" s="71" t="s">
        <v>1370</v>
      </c>
      <c r="Z92" s="75" t="s">
        <v>1371</v>
      </c>
      <c r="AA92" s="32" t="s">
        <v>286</v>
      </c>
      <c r="AB92" s="32" t="s">
        <v>190</v>
      </c>
      <c r="AC92" s="32" t="s">
        <v>362</v>
      </c>
      <c r="AD92" s="31" t="s">
        <v>303</v>
      </c>
      <c r="AE92" s="31"/>
      <c r="AF92" s="31" t="s">
        <v>907</v>
      </c>
      <c r="AG92" s="31"/>
      <c r="AH92" s="31"/>
      <c r="AI92" s="31"/>
      <c r="AJ92" s="31"/>
      <c r="AK92" s="31"/>
      <c r="AL92" s="31"/>
      <c r="AM92" s="71" t="s">
        <v>1372</v>
      </c>
      <c r="AN92" s="72" t="s">
        <v>1373</v>
      </c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>
        <v>407</v>
      </c>
      <c r="BH92" s="31" t="s">
        <v>1374</v>
      </c>
      <c r="BI92" s="31"/>
      <c r="BJ92" s="31" t="s">
        <v>1375</v>
      </c>
      <c r="BK92" s="31" t="s">
        <v>853</v>
      </c>
      <c r="BL92" s="31"/>
      <c r="BM92" s="31"/>
      <c r="BN92" s="31"/>
      <c r="BO92" s="31"/>
      <c r="BP92" s="31"/>
      <c r="BQ92" s="31"/>
      <c r="BR92" s="31" t="s">
        <v>187</v>
      </c>
      <c r="BS92" s="31"/>
      <c r="BT92" s="31" t="s">
        <v>469</v>
      </c>
      <c r="BU92" s="31" t="s">
        <v>470</v>
      </c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</row>
    <row r="93" spans="1:190" ht="15.75" customHeight="1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>
        <v>91</v>
      </c>
      <c r="U93" s="94" t="s">
        <v>360</v>
      </c>
      <c r="V93" s="94" t="s">
        <v>647</v>
      </c>
      <c r="W93" s="94" t="s">
        <v>858</v>
      </c>
      <c r="X93" s="71" t="s">
        <v>1376</v>
      </c>
      <c r="Y93" s="71" t="s">
        <v>1377</v>
      </c>
      <c r="Z93" s="127" t="s">
        <v>1378</v>
      </c>
      <c r="AA93" s="32" t="s">
        <v>418</v>
      </c>
      <c r="AB93" s="32" t="s">
        <v>648</v>
      </c>
      <c r="AC93" s="32" t="s">
        <v>859</v>
      </c>
      <c r="AD93" s="31" t="s">
        <v>1379</v>
      </c>
      <c r="AE93" s="31" t="s">
        <v>303</v>
      </c>
      <c r="AF93" s="31" t="s">
        <v>617</v>
      </c>
      <c r="AG93" s="31"/>
      <c r="AH93" s="31"/>
      <c r="AI93" s="31"/>
      <c r="AJ93" s="31"/>
      <c r="AK93" s="31"/>
      <c r="AL93" s="31"/>
      <c r="AM93" s="71" t="s">
        <v>1380</v>
      </c>
      <c r="AN93" s="72" t="s">
        <v>1381</v>
      </c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>
        <v>408</v>
      </c>
      <c r="BH93" s="31" t="s">
        <v>1382</v>
      </c>
      <c r="BI93" s="31"/>
      <c r="BJ93" s="31" t="s">
        <v>1383</v>
      </c>
      <c r="BK93" s="31" t="s">
        <v>1384</v>
      </c>
      <c r="BL93" s="31"/>
      <c r="BM93" s="31"/>
      <c r="BN93" s="31"/>
      <c r="BO93" s="31"/>
      <c r="BP93" s="31"/>
      <c r="BQ93" s="31"/>
      <c r="BR93" s="31" t="s">
        <v>187</v>
      </c>
      <c r="BS93" s="31"/>
      <c r="BT93" s="31" t="s">
        <v>520</v>
      </c>
      <c r="BU93" s="31" t="s">
        <v>521</v>
      </c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</row>
    <row r="94" spans="1:190" ht="15.75" customHeight="1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>
        <v>92</v>
      </c>
      <c r="U94" s="88" t="s">
        <v>194</v>
      </c>
      <c r="V94" s="88" t="s">
        <v>729</v>
      </c>
      <c r="W94" s="88" t="s">
        <v>730</v>
      </c>
      <c r="X94" s="71" t="s">
        <v>1385</v>
      </c>
      <c r="Y94" s="71" t="s">
        <v>1386</v>
      </c>
      <c r="Z94" s="72" t="s">
        <v>1387</v>
      </c>
      <c r="AA94" s="32" t="s">
        <v>202</v>
      </c>
      <c r="AB94" s="32" t="s">
        <v>736</v>
      </c>
      <c r="AC94" s="32" t="s">
        <v>737</v>
      </c>
      <c r="AD94" s="31" t="s">
        <v>303</v>
      </c>
      <c r="AE94" s="31"/>
      <c r="AF94" s="31" t="s">
        <v>738</v>
      </c>
      <c r="AG94" s="31"/>
      <c r="AH94" s="31"/>
      <c r="AI94" s="31"/>
      <c r="AJ94" s="31"/>
      <c r="AK94" s="31"/>
      <c r="AL94" s="31"/>
      <c r="AM94" s="71" t="s">
        <v>1388</v>
      </c>
      <c r="AN94" s="72" t="s">
        <v>1389</v>
      </c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>
        <v>409</v>
      </c>
      <c r="BH94" s="31" t="s">
        <v>1390</v>
      </c>
      <c r="BI94" s="31"/>
      <c r="BJ94" s="31" t="s">
        <v>1391</v>
      </c>
      <c r="BK94" s="31" t="s">
        <v>635</v>
      </c>
      <c r="BL94" s="31"/>
      <c r="BM94" s="31"/>
      <c r="BN94" s="31"/>
      <c r="BO94" s="31"/>
      <c r="BP94" s="31"/>
      <c r="BQ94" s="31"/>
      <c r="BR94" s="31" t="s">
        <v>187</v>
      </c>
      <c r="BS94" s="31"/>
      <c r="BT94" s="31" t="s">
        <v>561</v>
      </c>
      <c r="BU94" s="31" t="s">
        <v>562</v>
      </c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</row>
    <row r="95" spans="1:190" ht="15.75" customHeight="1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>
        <v>93</v>
      </c>
      <c r="U95" s="94" t="s">
        <v>194</v>
      </c>
      <c r="V95" s="94" t="s">
        <v>294</v>
      </c>
      <c r="W95" s="94" t="s">
        <v>902</v>
      </c>
      <c r="X95" s="71" t="s">
        <v>1392</v>
      </c>
      <c r="Y95" s="71" t="s">
        <v>1393</v>
      </c>
      <c r="Z95" s="72" t="s">
        <v>1394</v>
      </c>
      <c r="AA95" s="32" t="s">
        <v>202</v>
      </c>
      <c r="AB95" s="32" t="s">
        <v>300</v>
      </c>
      <c r="AC95" s="32" t="s">
        <v>903</v>
      </c>
      <c r="AD95" s="31" t="s">
        <v>303</v>
      </c>
      <c r="AE95" s="31"/>
      <c r="AF95" s="31" t="s">
        <v>999</v>
      </c>
      <c r="AG95" s="31"/>
      <c r="AH95" s="31"/>
      <c r="AI95" s="31"/>
      <c r="AJ95" s="31"/>
      <c r="AK95" s="31"/>
      <c r="AL95" s="31"/>
      <c r="AM95" s="71" t="s">
        <v>1395</v>
      </c>
      <c r="AN95" s="72" t="s">
        <v>1396</v>
      </c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>
        <v>410</v>
      </c>
      <c r="BH95" s="31" t="s">
        <v>1397</v>
      </c>
      <c r="BI95" s="31"/>
      <c r="BJ95" s="31" t="s">
        <v>1398</v>
      </c>
      <c r="BK95" s="31" t="s">
        <v>990</v>
      </c>
      <c r="BL95" s="31"/>
      <c r="BM95" s="31"/>
      <c r="BN95" s="31"/>
      <c r="BO95" s="31"/>
      <c r="BP95" s="31"/>
      <c r="BQ95" s="31"/>
      <c r="BR95" s="31" t="s">
        <v>287</v>
      </c>
      <c r="BS95" s="31"/>
      <c r="BT95" s="31" t="s">
        <v>187</v>
      </c>
      <c r="BU95" s="31" t="s">
        <v>598</v>
      </c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</row>
    <row r="96" spans="1:190" ht="15.75" customHeight="1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>
        <v>94</v>
      </c>
      <c r="U96" s="88" t="s">
        <v>187</v>
      </c>
      <c r="V96" s="88" t="s">
        <v>287</v>
      </c>
      <c r="W96" s="88" t="s">
        <v>520</v>
      </c>
      <c r="X96" s="71" t="s">
        <v>1399</v>
      </c>
      <c r="Y96" s="71" t="s">
        <v>1400</v>
      </c>
      <c r="Z96" s="75" t="s">
        <v>1401</v>
      </c>
      <c r="AA96" s="32" t="s">
        <v>286</v>
      </c>
      <c r="AB96" s="32" t="s">
        <v>290</v>
      </c>
      <c r="AC96" s="32" t="s">
        <v>524</v>
      </c>
      <c r="AD96" s="31" t="s">
        <v>303</v>
      </c>
      <c r="AE96" s="31"/>
      <c r="AF96" s="31" t="s">
        <v>828</v>
      </c>
      <c r="AG96" s="31"/>
      <c r="AH96" s="31"/>
      <c r="AI96" s="31"/>
      <c r="AJ96" s="31"/>
      <c r="AK96" s="31"/>
      <c r="AL96" s="31"/>
      <c r="AM96" s="71" t="s">
        <v>1402</v>
      </c>
      <c r="AN96" s="72" t="s">
        <v>1403</v>
      </c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>
        <v>411</v>
      </c>
      <c r="BH96" s="31" t="s">
        <v>1404</v>
      </c>
      <c r="BI96" s="31"/>
      <c r="BJ96" s="31" t="s">
        <v>1405</v>
      </c>
      <c r="BK96" s="31" t="s">
        <v>1406</v>
      </c>
      <c r="BL96" s="31"/>
      <c r="BM96" s="31"/>
      <c r="BN96" s="31"/>
      <c r="BO96" s="31"/>
      <c r="BP96" s="31"/>
      <c r="BQ96" s="31"/>
      <c r="BR96" s="31" t="s">
        <v>360</v>
      </c>
      <c r="BS96" s="31"/>
      <c r="BT96" s="31" t="s">
        <v>187</v>
      </c>
      <c r="BU96" s="31" t="s">
        <v>605</v>
      </c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</row>
    <row r="97" spans="1:190" ht="15.75" customHeight="1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>
        <v>95</v>
      </c>
      <c r="U97" s="94" t="s">
        <v>194</v>
      </c>
      <c r="V97" s="94" t="s">
        <v>195</v>
      </c>
      <c r="W97" s="94" t="s">
        <v>196</v>
      </c>
      <c r="X97" s="71" t="s">
        <v>1407</v>
      </c>
      <c r="Y97" s="71" t="s">
        <v>1408</v>
      </c>
      <c r="Z97" s="72" t="s">
        <v>1409</v>
      </c>
      <c r="AA97" s="32" t="s">
        <v>202</v>
      </c>
      <c r="AB97" s="32" t="s">
        <v>203</v>
      </c>
      <c r="AC97" s="32" t="s">
        <v>204</v>
      </c>
      <c r="AD97" s="31" t="s">
        <v>205</v>
      </c>
      <c r="AE97" s="31" t="s">
        <v>206</v>
      </c>
      <c r="AF97" s="31" t="s">
        <v>207</v>
      </c>
      <c r="AG97" s="31"/>
      <c r="AH97" s="31"/>
      <c r="AI97" s="31"/>
      <c r="AJ97" s="31"/>
      <c r="AK97" s="31"/>
      <c r="AL97" s="31"/>
      <c r="AM97" s="71" t="s">
        <v>1410</v>
      </c>
      <c r="AN97" s="72" t="s">
        <v>1411</v>
      </c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>
        <v>412</v>
      </c>
      <c r="BH97" s="31" t="s">
        <v>1412</v>
      </c>
      <c r="BI97" s="31"/>
      <c r="BJ97" s="31" t="s">
        <v>1413</v>
      </c>
      <c r="BK97" s="31" t="s">
        <v>922</v>
      </c>
      <c r="BL97" s="31"/>
      <c r="BM97" s="31"/>
      <c r="BN97" s="31"/>
      <c r="BO97" s="31"/>
      <c r="BP97" s="31"/>
      <c r="BQ97" s="31"/>
      <c r="BR97" s="31" t="s">
        <v>360</v>
      </c>
      <c r="BS97" s="31"/>
      <c r="BT97" s="31" t="s">
        <v>287</v>
      </c>
      <c r="BU97" s="31" t="s">
        <v>1414</v>
      </c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</row>
    <row r="98" spans="1:190" ht="15.75" customHeight="1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>
        <v>96</v>
      </c>
      <c r="U98" s="88" t="s">
        <v>194</v>
      </c>
      <c r="V98" s="88" t="s">
        <v>294</v>
      </c>
      <c r="W98" s="88" t="s">
        <v>776</v>
      </c>
      <c r="X98" s="71" t="s">
        <v>1415</v>
      </c>
      <c r="Y98" s="71" t="s">
        <v>1416</v>
      </c>
      <c r="Z98" s="72" t="s">
        <v>410</v>
      </c>
      <c r="AA98" s="32" t="s">
        <v>202</v>
      </c>
      <c r="AB98" s="32" t="s">
        <v>300</v>
      </c>
      <c r="AC98" s="32" t="s">
        <v>779</v>
      </c>
      <c r="AD98" s="31" t="s">
        <v>965</v>
      </c>
      <c r="AE98" s="31" t="s">
        <v>303</v>
      </c>
      <c r="AF98" s="31" t="s">
        <v>966</v>
      </c>
      <c r="AG98" s="31"/>
      <c r="AH98" s="31"/>
      <c r="AI98" s="31"/>
      <c r="AJ98" s="31"/>
      <c r="AK98" s="31"/>
      <c r="AL98" s="31"/>
      <c r="AM98" s="71" t="s">
        <v>1417</v>
      </c>
      <c r="AN98" s="72" t="s">
        <v>1418</v>
      </c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 t="s">
        <v>1170</v>
      </c>
      <c r="BH98" s="31" t="s">
        <v>1419</v>
      </c>
      <c r="BI98" s="31"/>
      <c r="BJ98" s="31" t="s">
        <v>1420</v>
      </c>
      <c r="BK98" s="31" t="s">
        <v>1201</v>
      </c>
      <c r="BL98" s="31"/>
      <c r="BM98" s="31"/>
      <c r="BN98" s="31"/>
      <c r="BO98" s="31"/>
      <c r="BP98" s="31"/>
      <c r="BQ98" s="31"/>
      <c r="BR98" s="31" t="s">
        <v>194</v>
      </c>
      <c r="BS98" s="31"/>
      <c r="BT98" s="31" t="s">
        <v>187</v>
      </c>
      <c r="BU98" s="31" t="s">
        <v>203</v>
      </c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</row>
    <row r="99" spans="1:190" ht="15.75" customHeight="1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>
        <v>97</v>
      </c>
      <c r="U99" s="94" t="s">
        <v>194</v>
      </c>
      <c r="V99" s="94" t="s">
        <v>729</v>
      </c>
      <c r="W99" s="94" t="s">
        <v>970</v>
      </c>
      <c r="X99" s="71" t="s">
        <v>1421</v>
      </c>
      <c r="Y99" s="71" t="s">
        <v>1422</v>
      </c>
      <c r="Z99" s="127" t="s">
        <v>1423</v>
      </c>
      <c r="AA99" s="32" t="s">
        <v>202</v>
      </c>
      <c r="AB99" s="32" t="s">
        <v>736</v>
      </c>
      <c r="AC99" s="32" t="s">
        <v>885</v>
      </c>
      <c r="AD99" s="31" t="s">
        <v>303</v>
      </c>
      <c r="AE99" s="31"/>
      <c r="AF99" s="31" t="s">
        <v>1003</v>
      </c>
      <c r="AG99" s="31"/>
      <c r="AH99" s="31"/>
      <c r="AI99" s="31"/>
      <c r="AJ99" s="31"/>
      <c r="AK99" s="31"/>
      <c r="AL99" s="31"/>
      <c r="AM99" s="71" t="s">
        <v>1424</v>
      </c>
      <c r="AN99" s="72" t="s">
        <v>1425</v>
      </c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>
        <v>501</v>
      </c>
      <c r="BH99" s="31" t="s">
        <v>1426</v>
      </c>
      <c r="BI99" s="31"/>
      <c r="BJ99" s="31" t="s">
        <v>1427</v>
      </c>
      <c r="BK99" s="31" t="s">
        <v>873</v>
      </c>
      <c r="BL99" s="31"/>
      <c r="BM99" s="31"/>
      <c r="BN99" s="31"/>
      <c r="BO99" s="31"/>
      <c r="BP99" s="31"/>
      <c r="BQ99" s="31"/>
      <c r="BR99" s="31" t="s">
        <v>194</v>
      </c>
      <c r="BS99" s="31"/>
      <c r="BT99" s="31" t="s">
        <v>287</v>
      </c>
      <c r="BU99" s="31" t="s">
        <v>300</v>
      </c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</row>
    <row r="100" spans="1:190" ht="15.75" customHeight="1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>
        <v>98</v>
      </c>
      <c r="U100" s="88" t="s">
        <v>194</v>
      </c>
      <c r="V100" s="88" t="s">
        <v>195</v>
      </c>
      <c r="W100" s="88" t="s">
        <v>196</v>
      </c>
      <c r="X100" s="71" t="s">
        <v>1428</v>
      </c>
      <c r="Y100" s="71" t="s">
        <v>1429</v>
      </c>
      <c r="Z100" s="75" t="s">
        <v>1430</v>
      </c>
      <c r="AA100" s="32" t="s">
        <v>202</v>
      </c>
      <c r="AB100" s="32" t="s">
        <v>203</v>
      </c>
      <c r="AC100" s="32" t="s">
        <v>204</v>
      </c>
      <c r="AD100" s="31" t="s">
        <v>205</v>
      </c>
      <c r="AE100" s="31" t="s">
        <v>897</v>
      </c>
      <c r="AF100" s="31" t="s">
        <v>207</v>
      </c>
      <c r="AG100" s="31"/>
      <c r="AH100" s="31"/>
      <c r="AI100" s="31"/>
      <c r="AJ100" s="31"/>
      <c r="AK100" s="31"/>
      <c r="AL100" s="31"/>
      <c r="AM100" s="71" t="s">
        <v>1431</v>
      </c>
      <c r="AN100" s="72" t="s">
        <v>1432</v>
      </c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>
        <v>502</v>
      </c>
      <c r="BH100" s="31" t="s">
        <v>1433</v>
      </c>
      <c r="BI100" s="31"/>
      <c r="BJ100" s="31" t="s">
        <v>1434</v>
      </c>
      <c r="BK100" s="31" t="s">
        <v>1152</v>
      </c>
      <c r="BL100" s="31"/>
      <c r="BM100" s="31"/>
      <c r="BN100" s="31"/>
      <c r="BO100" s="31"/>
      <c r="BP100" s="31"/>
      <c r="BQ100" s="31"/>
      <c r="BR100" s="31" t="s">
        <v>194</v>
      </c>
      <c r="BS100" s="31"/>
      <c r="BT100" s="31" t="s">
        <v>360</v>
      </c>
      <c r="BU100" s="31" t="s">
        <v>725</v>
      </c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</row>
    <row r="101" spans="1:190" ht="15.75" customHeight="1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>
        <v>99</v>
      </c>
      <c r="U101" s="94" t="s">
        <v>187</v>
      </c>
      <c r="V101" s="94" t="s">
        <v>561</v>
      </c>
      <c r="W101" s="94" t="s">
        <v>787</v>
      </c>
      <c r="X101" s="71" t="s">
        <v>1435</v>
      </c>
      <c r="Y101" s="71" t="s">
        <v>1436</v>
      </c>
      <c r="Z101" s="72" t="s">
        <v>1437</v>
      </c>
      <c r="AA101" s="32" t="s">
        <v>286</v>
      </c>
      <c r="AB101" s="32" t="s">
        <v>562</v>
      </c>
      <c r="AC101" s="32" t="s">
        <v>788</v>
      </c>
      <c r="AD101" s="31" t="s">
        <v>303</v>
      </c>
      <c r="AE101" s="31"/>
      <c r="AF101" s="31" t="s">
        <v>922</v>
      </c>
      <c r="AG101" s="31"/>
      <c r="AH101" s="31"/>
      <c r="AI101" s="31"/>
      <c r="AJ101" s="31"/>
      <c r="AK101" s="31"/>
      <c r="AL101" s="31"/>
      <c r="AM101" s="71" t="s">
        <v>1438</v>
      </c>
      <c r="AN101" s="72" t="s">
        <v>1439</v>
      </c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>
        <v>503</v>
      </c>
      <c r="BH101" s="31" t="s">
        <v>1440</v>
      </c>
      <c r="BI101" s="31"/>
      <c r="BJ101" s="31" t="s">
        <v>1441</v>
      </c>
      <c r="BK101" s="31" t="s">
        <v>1055</v>
      </c>
      <c r="BL101" s="31"/>
      <c r="BM101" s="31"/>
      <c r="BN101" s="31"/>
      <c r="BO101" s="31"/>
      <c r="BP101" s="31"/>
      <c r="BQ101" s="31"/>
      <c r="BR101" s="31" t="s">
        <v>194</v>
      </c>
      <c r="BS101" s="31"/>
      <c r="BT101" s="31" t="s">
        <v>194</v>
      </c>
      <c r="BU101" s="31" t="s">
        <v>736</v>
      </c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</row>
    <row r="102" spans="1:190" ht="15.75" customHeight="1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>
        <v>100</v>
      </c>
      <c r="U102" s="88" t="s">
        <v>187</v>
      </c>
      <c r="V102" s="88" t="s">
        <v>287</v>
      </c>
      <c r="W102" s="88" t="s">
        <v>561</v>
      </c>
      <c r="X102" s="71" t="s">
        <v>1442</v>
      </c>
      <c r="Y102" s="71" t="s">
        <v>1443</v>
      </c>
      <c r="Z102" s="75" t="s">
        <v>1444</v>
      </c>
      <c r="AA102" s="32" t="s">
        <v>286</v>
      </c>
      <c r="AB102" s="32" t="s">
        <v>290</v>
      </c>
      <c r="AC102" s="32" t="s">
        <v>565</v>
      </c>
      <c r="AD102" s="31" t="s">
        <v>303</v>
      </c>
      <c r="AE102" s="31"/>
      <c r="AF102" s="31" t="s">
        <v>978</v>
      </c>
      <c r="AG102" s="31"/>
      <c r="AH102" s="31"/>
      <c r="AI102" s="31"/>
      <c r="AJ102" s="31"/>
      <c r="AK102" s="31"/>
      <c r="AL102" s="31"/>
      <c r="AM102" s="71" t="s">
        <v>1445</v>
      </c>
      <c r="AN102" s="72" t="s">
        <v>1446</v>
      </c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>
        <v>504</v>
      </c>
      <c r="BH102" s="31" t="s">
        <v>1447</v>
      </c>
      <c r="BI102" s="31"/>
      <c r="BJ102" s="31" t="s">
        <v>1448</v>
      </c>
      <c r="BK102" s="31" t="s">
        <v>1162</v>
      </c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</row>
    <row r="103" spans="1:190" ht="15.75" customHeight="1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>
        <v>101</v>
      </c>
      <c r="U103" s="94" t="s">
        <v>194</v>
      </c>
      <c r="V103" s="94" t="s">
        <v>729</v>
      </c>
      <c r="W103" s="94" t="s">
        <v>970</v>
      </c>
      <c r="X103" s="71" t="s">
        <v>1449</v>
      </c>
      <c r="Y103" s="71" t="s">
        <v>1450</v>
      </c>
      <c r="Z103" s="72" t="s">
        <v>354</v>
      </c>
      <c r="AA103" s="32" t="s">
        <v>202</v>
      </c>
      <c r="AB103" s="32" t="s">
        <v>736</v>
      </c>
      <c r="AC103" s="32" t="s">
        <v>885</v>
      </c>
      <c r="AD103" s="31" t="s">
        <v>1451</v>
      </c>
      <c r="AE103" s="31" t="s">
        <v>303</v>
      </c>
      <c r="AF103" s="31" t="s">
        <v>1384</v>
      </c>
      <c r="AG103" s="31"/>
      <c r="AH103" s="31"/>
      <c r="AI103" s="31"/>
      <c r="AJ103" s="31"/>
      <c r="AK103" s="31"/>
      <c r="AL103" s="31"/>
      <c r="AM103" s="71" t="s">
        <v>1452</v>
      </c>
      <c r="AN103" s="72" t="s">
        <v>1453</v>
      </c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>
        <v>505</v>
      </c>
      <c r="BH103" s="31" t="s">
        <v>1454</v>
      </c>
      <c r="BI103" s="31"/>
      <c r="BJ103" s="31" t="s">
        <v>1455</v>
      </c>
      <c r="BK103" s="31" t="s">
        <v>1456</v>
      </c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</row>
    <row r="104" spans="1:190" ht="15.75" customHeight="1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>
        <v>102</v>
      </c>
      <c r="U104" s="88" t="s">
        <v>194</v>
      </c>
      <c r="V104" s="88" t="s">
        <v>724</v>
      </c>
      <c r="W104" s="88" t="s">
        <v>789</v>
      </c>
      <c r="X104" s="71" t="s">
        <v>1457</v>
      </c>
      <c r="Y104" s="71" t="s">
        <v>1458</v>
      </c>
      <c r="Z104" s="72" t="s">
        <v>353</v>
      </c>
      <c r="AA104" s="32" t="s">
        <v>202</v>
      </c>
      <c r="AB104" s="32" t="s">
        <v>725</v>
      </c>
      <c r="AC104" s="32" t="s">
        <v>793</v>
      </c>
      <c r="AD104" s="31" t="s">
        <v>303</v>
      </c>
      <c r="AE104" s="31"/>
      <c r="AF104" s="31" t="s">
        <v>760</v>
      </c>
      <c r="AG104" s="31"/>
      <c r="AH104" s="31"/>
      <c r="AI104" s="31"/>
      <c r="AJ104" s="31"/>
      <c r="AK104" s="31"/>
      <c r="AL104" s="31"/>
      <c r="AM104" s="71" t="s">
        <v>1459</v>
      </c>
      <c r="AN104" s="72" t="s">
        <v>1460</v>
      </c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>
        <v>506</v>
      </c>
      <c r="BH104" s="31" t="s">
        <v>1461</v>
      </c>
      <c r="BI104" s="31"/>
      <c r="BJ104" s="31" t="s">
        <v>1462</v>
      </c>
      <c r="BK104" s="31" t="s">
        <v>1463</v>
      </c>
      <c r="BL104" s="31"/>
      <c r="BM104" s="31"/>
      <c r="BN104" s="31"/>
      <c r="BO104" s="31"/>
      <c r="BP104" s="31"/>
      <c r="BQ104" s="31"/>
      <c r="BR104" s="31"/>
      <c r="BS104" s="31"/>
      <c r="BT104" s="31"/>
      <c r="BU104" s="31" t="s">
        <v>62</v>
      </c>
      <c r="BV104" s="31" t="s">
        <v>7</v>
      </c>
      <c r="BW104" s="31"/>
      <c r="BX104" s="31"/>
      <c r="BY104" s="31" t="s">
        <v>1464</v>
      </c>
      <c r="BZ104" s="31"/>
      <c r="CA104" s="31" t="str">
        <f t="shared" ref="CA104:CA105" si="1">SUBSTITUTE(BY104," ","_")</f>
        <v>IMAÑA_CASTRO_RUBEN_MARCELO_-_AUDITOR_INTERNO</v>
      </c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</row>
    <row r="105" spans="1:190" ht="15.75" customHeight="1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>
        <v>103</v>
      </c>
      <c r="U105" s="94" t="s">
        <v>187</v>
      </c>
      <c r="V105" s="94" t="s">
        <v>520</v>
      </c>
      <c r="W105" s="94" t="s">
        <v>767</v>
      </c>
      <c r="X105" s="71" t="s">
        <v>1465</v>
      </c>
      <c r="Y105" s="71" t="s">
        <v>1466</v>
      </c>
      <c r="Z105" s="72" t="s">
        <v>1467</v>
      </c>
      <c r="AA105" s="32" t="s">
        <v>286</v>
      </c>
      <c r="AB105" s="32" t="s">
        <v>521</v>
      </c>
      <c r="AC105" s="32" t="s">
        <v>768</v>
      </c>
      <c r="AD105" s="31" t="s">
        <v>1468</v>
      </c>
      <c r="AE105" s="31" t="s">
        <v>303</v>
      </c>
      <c r="AF105" s="31" t="s">
        <v>853</v>
      </c>
      <c r="AG105" s="31"/>
      <c r="AH105" s="31"/>
      <c r="AI105" s="31"/>
      <c r="AJ105" s="31"/>
      <c r="AK105" s="31"/>
      <c r="AL105" s="31"/>
      <c r="AM105" s="71" t="s">
        <v>1469</v>
      </c>
      <c r="AN105" s="72" t="s">
        <v>1470</v>
      </c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>
        <v>507</v>
      </c>
      <c r="BH105" s="31" t="s">
        <v>1471</v>
      </c>
      <c r="BI105" s="31"/>
      <c r="BJ105" s="31" t="s">
        <v>1472</v>
      </c>
      <c r="BK105" s="31" t="s">
        <v>286</v>
      </c>
      <c r="BL105" s="31"/>
      <c r="BM105" s="31"/>
      <c r="BN105" s="31"/>
      <c r="BO105" s="31"/>
      <c r="BP105" s="31"/>
      <c r="BQ105" s="31"/>
      <c r="BR105" s="31">
        <v>1</v>
      </c>
      <c r="BS105" s="31"/>
      <c r="BT105" s="41">
        <v>1</v>
      </c>
      <c r="BU105" s="41" t="s">
        <v>187</v>
      </c>
      <c r="BV105" s="33" t="s">
        <v>193</v>
      </c>
      <c r="BW105" s="33"/>
      <c r="BX105" s="31"/>
      <c r="BY105" s="31"/>
      <c r="BZ105" s="31"/>
      <c r="CA105" s="31" t="str">
        <f t="shared" si="1"/>
        <v/>
      </c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</row>
    <row r="106" spans="1:190" ht="15.75" customHeight="1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>
        <v>104</v>
      </c>
      <c r="U106" s="88" t="s">
        <v>187</v>
      </c>
      <c r="V106" s="88" t="s">
        <v>194</v>
      </c>
      <c r="W106" s="88" t="s">
        <v>729</v>
      </c>
      <c r="X106" s="71" t="s">
        <v>1473</v>
      </c>
      <c r="Y106" s="71" t="s">
        <v>1474</v>
      </c>
      <c r="Z106" s="75" t="s">
        <v>1475</v>
      </c>
      <c r="AA106" s="32" t="s">
        <v>286</v>
      </c>
      <c r="AB106" s="32" t="s">
        <v>419</v>
      </c>
      <c r="AC106" s="32" t="s">
        <v>747</v>
      </c>
      <c r="AD106" s="31" t="s">
        <v>303</v>
      </c>
      <c r="AE106" s="31"/>
      <c r="AF106" s="31" t="s">
        <v>1211</v>
      </c>
      <c r="AG106" s="31"/>
      <c r="AH106" s="31"/>
      <c r="AI106" s="31"/>
      <c r="AJ106" s="31"/>
      <c r="AK106" s="31"/>
      <c r="AL106" s="31"/>
      <c r="AM106" s="71" t="s">
        <v>1476</v>
      </c>
      <c r="AN106" s="72" t="s">
        <v>1477</v>
      </c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>
        <v>508</v>
      </c>
      <c r="BH106" s="31" t="s">
        <v>1478</v>
      </c>
      <c r="BI106" s="31"/>
      <c r="BJ106" s="31" t="s">
        <v>1479</v>
      </c>
      <c r="BK106" s="31" t="s">
        <v>1480</v>
      </c>
      <c r="BL106" s="31"/>
      <c r="BM106" s="31"/>
      <c r="BN106" s="31"/>
      <c r="BO106" s="31"/>
      <c r="BP106" s="31"/>
      <c r="BQ106" s="31"/>
      <c r="BR106" s="31">
        <v>1</v>
      </c>
      <c r="BS106" s="31"/>
      <c r="BT106" s="41">
        <v>1</v>
      </c>
      <c r="BU106" s="41" t="s">
        <v>287</v>
      </c>
      <c r="BV106" s="33" t="s">
        <v>291</v>
      </c>
      <c r="BW106" s="33"/>
      <c r="BX106" s="31" t="s">
        <v>360</v>
      </c>
      <c r="BY106" s="31" t="s">
        <v>360</v>
      </c>
      <c r="BZ106" s="31" t="s">
        <v>1481</v>
      </c>
      <c r="CA106" s="31" t="str">
        <f t="shared" ref="CA106:CA123" si="2">SUBSTITUTE(BZ106," ","_")</f>
        <v>CRUZ_RODRIGUEZ_WILMERS_-_ANALISTA_SÉNIOR_DE_CONFIABILIDAD</v>
      </c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</row>
    <row r="107" spans="1:190" ht="15.75" customHeight="1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>
        <v>105</v>
      </c>
      <c r="U107" s="94" t="s">
        <v>187</v>
      </c>
      <c r="V107" s="94" t="s">
        <v>287</v>
      </c>
      <c r="W107" s="94" t="s">
        <v>600</v>
      </c>
      <c r="X107" s="71" t="s">
        <v>1482</v>
      </c>
      <c r="Y107" s="71" t="s">
        <v>1483</v>
      </c>
      <c r="Z107" s="72" t="s">
        <v>1484</v>
      </c>
      <c r="AA107" s="32" t="s">
        <v>286</v>
      </c>
      <c r="AB107" s="32" t="s">
        <v>290</v>
      </c>
      <c r="AC107" s="32" t="s">
        <v>627</v>
      </c>
      <c r="AD107" s="31" t="s">
        <v>1485</v>
      </c>
      <c r="AE107" s="31" t="s">
        <v>303</v>
      </c>
      <c r="AF107" s="31" t="s">
        <v>1068</v>
      </c>
      <c r="AG107" s="31"/>
      <c r="AH107" s="31"/>
      <c r="AI107" s="31"/>
      <c r="AJ107" s="31"/>
      <c r="AK107" s="31"/>
      <c r="AL107" s="31"/>
      <c r="AM107" s="71" t="s">
        <v>1486</v>
      </c>
      <c r="AN107" s="72" t="s">
        <v>1487</v>
      </c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>
        <v>509</v>
      </c>
      <c r="BH107" s="31" t="s">
        <v>1488</v>
      </c>
      <c r="BI107" s="31"/>
      <c r="BJ107" s="31" t="s">
        <v>1489</v>
      </c>
      <c r="BK107" s="31" t="s">
        <v>1490</v>
      </c>
      <c r="BL107" s="31"/>
      <c r="BM107" s="31"/>
      <c r="BN107" s="31"/>
      <c r="BO107" s="31"/>
      <c r="BP107" s="31"/>
      <c r="BQ107" s="31"/>
      <c r="BR107" s="31">
        <v>1</v>
      </c>
      <c r="BS107" s="31"/>
      <c r="BT107" s="41">
        <v>1</v>
      </c>
      <c r="BU107" s="41" t="s">
        <v>360</v>
      </c>
      <c r="BV107" s="33" t="s">
        <v>362</v>
      </c>
      <c r="BW107" s="33"/>
      <c r="BX107" s="31" t="s">
        <v>360</v>
      </c>
      <c r="BY107" s="31" t="s">
        <v>287</v>
      </c>
      <c r="BZ107" s="31" t="s">
        <v>1491</v>
      </c>
      <c r="CA107" s="31" t="str">
        <f t="shared" si="2"/>
        <v>HERBAS_TORREZ_HENRY_-_SUPERVISOR_DE_ANÁLISIS_DE_CONFIABILIDAD</v>
      </c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</row>
    <row r="108" spans="1:190" ht="15.75" customHeight="1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>
        <v>106</v>
      </c>
      <c r="U108" s="88" t="s">
        <v>194</v>
      </c>
      <c r="V108" s="88" t="s">
        <v>294</v>
      </c>
      <c r="W108" s="88" t="s">
        <v>295</v>
      </c>
      <c r="X108" s="71" t="s">
        <v>1492</v>
      </c>
      <c r="Y108" s="71" t="s">
        <v>1493</v>
      </c>
      <c r="Z108" s="72" t="s">
        <v>1494</v>
      </c>
      <c r="AA108" s="32" t="s">
        <v>202</v>
      </c>
      <c r="AB108" s="32" t="s">
        <v>300</v>
      </c>
      <c r="AC108" s="32" t="s">
        <v>301</v>
      </c>
      <c r="AD108" s="31" t="s">
        <v>1495</v>
      </c>
      <c r="AE108" s="31" t="s">
        <v>303</v>
      </c>
      <c r="AF108" s="31" t="s">
        <v>1157</v>
      </c>
      <c r="AG108" s="31"/>
      <c r="AH108" s="31"/>
      <c r="AI108" s="31"/>
      <c r="AJ108" s="31"/>
      <c r="AK108" s="31"/>
      <c r="AL108" s="31"/>
      <c r="AM108" s="71" t="s">
        <v>1496</v>
      </c>
      <c r="AN108" s="72" t="s">
        <v>1497</v>
      </c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>
        <v>510</v>
      </c>
      <c r="BH108" s="31" t="s">
        <v>1498</v>
      </c>
      <c r="BI108" s="31"/>
      <c r="BJ108" s="31"/>
      <c r="BK108" s="31"/>
      <c r="BL108" s="31"/>
      <c r="BM108" s="31"/>
      <c r="BN108" s="31"/>
      <c r="BO108" s="31"/>
      <c r="BP108" s="31"/>
      <c r="BQ108" s="31"/>
      <c r="BR108" s="31">
        <v>1</v>
      </c>
      <c r="BS108" s="31"/>
      <c r="BT108" s="41">
        <v>1</v>
      </c>
      <c r="BU108" s="41" t="s">
        <v>194</v>
      </c>
      <c r="BV108" s="33" t="s">
        <v>190</v>
      </c>
      <c r="BW108" s="33"/>
      <c r="BX108" s="31" t="s">
        <v>287</v>
      </c>
      <c r="BY108" s="31" t="s">
        <v>187</v>
      </c>
      <c r="BZ108" s="31" t="s">
        <v>1499</v>
      </c>
      <c r="CA108" s="31" t="str">
        <f t="shared" si="2"/>
        <v>HUAYLLANI_DELGADO_JUAN_DE_DIOS_-_SUPERVISOR_DE_MANTENIMIENTO</v>
      </c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</row>
    <row r="109" spans="1:190" ht="15.75" customHeight="1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>
        <v>107</v>
      </c>
      <c r="U109" s="94" t="s">
        <v>194</v>
      </c>
      <c r="V109" s="94" t="s">
        <v>294</v>
      </c>
      <c r="W109" s="94" t="s">
        <v>776</v>
      </c>
      <c r="X109" s="71" t="s">
        <v>1500</v>
      </c>
      <c r="Y109" s="71" t="s">
        <v>1501</v>
      </c>
      <c r="Z109" s="72" t="s">
        <v>458</v>
      </c>
      <c r="AA109" s="32" t="s">
        <v>202</v>
      </c>
      <c r="AB109" s="32" t="s">
        <v>300</v>
      </c>
      <c r="AC109" s="32" t="s">
        <v>779</v>
      </c>
      <c r="AD109" s="31" t="s">
        <v>1186</v>
      </c>
      <c r="AE109" s="31" t="s">
        <v>303</v>
      </c>
      <c r="AF109" s="31" t="s">
        <v>1107</v>
      </c>
      <c r="AG109" s="31"/>
      <c r="AH109" s="31"/>
      <c r="AI109" s="31"/>
      <c r="AJ109" s="31"/>
      <c r="AK109" s="31"/>
      <c r="AL109" s="31"/>
      <c r="AM109" s="71" t="s">
        <v>1502</v>
      </c>
      <c r="AN109" s="72" t="s">
        <v>1503</v>
      </c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>
        <v>511</v>
      </c>
      <c r="BH109" s="31" t="s">
        <v>1504</v>
      </c>
      <c r="BI109" s="31"/>
      <c r="BJ109" s="31"/>
      <c r="BK109" s="31"/>
      <c r="BL109" s="31"/>
      <c r="BM109" s="31"/>
      <c r="BN109" s="31"/>
      <c r="BO109" s="31"/>
      <c r="BP109" s="31"/>
      <c r="BQ109" s="31"/>
      <c r="BR109" s="31">
        <v>1</v>
      </c>
      <c r="BS109" s="31"/>
      <c r="BT109" s="128">
        <v>2</v>
      </c>
      <c r="BU109" s="128" t="s">
        <v>187</v>
      </c>
      <c r="BV109" s="33" t="s">
        <v>473</v>
      </c>
      <c r="BW109" s="33"/>
      <c r="BX109" s="31" t="s">
        <v>187</v>
      </c>
      <c r="BY109" s="31" t="s">
        <v>187</v>
      </c>
      <c r="BZ109" s="31" t="s">
        <v>1505</v>
      </c>
      <c r="CA109" s="31" t="str">
        <f t="shared" si="2"/>
        <v>LAZO_CAYO_WILSON_VICENTE_-_SUPERINTENDENTE_DE_MANTENIMIENTO</v>
      </c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</row>
    <row r="110" spans="1:190" ht="15.75" customHeight="1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>
        <v>108</v>
      </c>
      <c r="U110" s="88" t="s">
        <v>187</v>
      </c>
      <c r="V110" s="88" t="s">
        <v>194</v>
      </c>
      <c r="W110" s="88" t="s">
        <v>195</v>
      </c>
      <c r="X110" s="71" t="s">
        <v>1506</v>
      </c>
      <c r="Y110" s="71" t="s">
        <v>1507</v>
      </c>
      <c r="Z110" s="72" t="s">
        <v>1508</v>
      </c>
      <c r="AA110" s="32" t="s">
        <v>286</v>
      </c>
      <c r="AB110" s="32" t="s">
        <v>419</v>
      </c>
      <c r="AC110" s="32" t="s">
        <v>675</v>
      </c>
      <c r="AD110" s="31" t="s">
        <v>1134</v>
      </c>
      <c r="AE110" s="31" t="s">
        <v>1509</v>
      </c>
      <c r="AF110" s="31" t="s">
        <v>640</v>
      </c>
      <c r="AG110" s="31"/>
      <c r="AH110" s="31"/>
      <c r="AI110" s="31"/>
      <c r="AJ110" s="31"/>
      <c r="AK110" s="31"/>
      <c r="AL110" s="31"/>
      <c r="AM110" s="71" t="s">
        <v>1510</v>
      </c>
      <c r="AN110" s="72" t="s">
        <v>1511</v>
      </c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>
        <v>512</v>
      </c>
      <c r="BH110" s="31" t="s">
        <v>1512</v>
      </c>
      <c r="BI110" s="31"/>
      <c r="BJ110" s="31"/>
      <c r="BK110" s="31"/>
      <c r="BL110" s="31"/>
      <c r="BM110" s="31"/>
      <c r="BN110" s="31"/>
      <c r="BO110" s="31"/>
      <c r="BP110" s="31"/>
      <c r="BQ110" s="31"/>
      <c r="BR110" s="31">
        <v>1</v>
      </c>
      <c r="BS110" s="31"/>
      <c r="BT110" s="128">
        <v>2</v>
      </c>
      <c r="BU110" s="128" t="s">
        <v>287</v>
      </c>
      <c r="BV110" s="33" t="s">
        <v>524</v>
      </c>
      <c r="BW110" s="33"/>
      <c r="BX110" s="31" t="s">
        <v>360</v>
      </c>
      <c r="BY110" s="31" t="s">
        <v>187</v>
      </c>
      <c r="BZ110" s="31" t="s">
        <v>1513</v>
      </c>
      <c r="CA110" s="31" t="str">
        <f t="shared" si="2"/>
        <v>PONCE_ANTEQUERA_ALAIN_ROLANDO_-_INGENIERO_SÉNIOR_DE_CONFIABILIDAD_ELÉCTRICA</v>
      </c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</row>
    <row r="111" spans="1:190" ht="15.75" customHeight="1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>
        <v>109</v>
      </c>
      <c r="U111" s="94" t="s">
        <v>194</v>
      </c>
      <c r="V111" s="94" t="s">
        <v>195</v>
      </c>
      <c r="W111" s="94" t="s">
        <v>196</v>
      </c>
      <c r="X111" s="71" t="s">
        <v>1514</v>
      </c>
      <c r="Y111" s="71" t="s">
        <v>1515</v>
      </c>
      <c r="Z111" s="72" t="s">
        <v>1516</v>
      </c>
      <c r="AA111" s="32" t="s">
        <v>202</v>
      </c>
      <c r="AB111" s="32" t="s">
        <v>203</v>
      </c>
      <c r="AC111" s="32" t="s">
        <v>204</v>
      </c>
      <c r="AD111" s="31" t="s">
        <v>1517</v>
      </c>
      <c r="AE111" s="31" t="s">
        <v>303</v>
      </c>
      <c r="AF111" s="31" t="s">
        <v>1198</v>
      </c>
      <c r="AG111" s="31"/>
      <c r="AH111" s="31"/>
      <c r="AI111" s="31"/>
      <c r="AJ111" s="31"/>
      <c r="AK111" s="31"/>
      <c r="AL111" s="31"/>
      <c r="AM111" s="71" t="s">
        <v>1518</v>
      </c>
      <c r="AN111" s="72" t="s">
        <v>1519</v>
      </c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>
        <v>513</v>
      </c>
      <c r="BH111" s="31" t="s">
        <v>1520</v>
      </c>
      <c r="BI111" s="31"/>
      <c r="BJ111" s="31"/>
      <c r="BK111" s="31"/>
      <c r="BL111" s="31"/>
      <c r="BM111" s="31"/>
      <c r="BN111" s="31"/>
      <c r="BO111" s="31"/>
      <c r="BP111" s="31"/>
      <c r="BQ111" s="31"/>
      <c r="BR111" s="31">
        <v>1</v>
      </c>
      <c r="BS111" s="31"/>
      <c r="BT111" s="128">
        <v>2</v>
      </c>
      <c r="BU111" s="128" t="s">
        <v>360</v>
      </c>
      <c r="BV111" s="33" t="s">
        <v>565</v>
      </c>
      <c r="BW111" s="33"/>
      <c r="BX111" s="31" t="s">
        <v>287</v>
      </c>
      <c r="BY111" s="31" t="s">
        <v>287</v>
      </c>
      <c r="BZ111" s="31" t="s">
        <v>1521</v>
      </c>
      <c r="CA111" s="31" t="str">
        <f t="shared" si="2"/>
        <v>RAMIREZ_RIVEROS_RUPERTO_JUAN_-_ANALISTA_SÉNIOR_DE_CONFIABILIDAD</v>
      </c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</row>
    <row r="112" spans="1:190" ht="15.75" customHeight="1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>
        <v>110</v>
      </c>
      <c r="U112" s="88" t="s">
        <v>194</v>
      </c>
      <c r="V112" s="88" t="s">
        <v>729</v>
      </c>
      <c r="W112" s="88" t="s">
        <v>987</v>
      </c>
      <c r="X112" s="71" t="s">
        <v>1522</v>
      </c>
      <c r="Y112" s="71" t="s">
        <v>1523</v>
      </c>
      <c r="Z112" s="72" t="s">
        <v>356</v>
      </c>
      <c r="AA112" s="32" t="s">
        <v>202</v>
      </c>
      <c r="AB112" s="32" t="s">
        <v>736</v>
      </c>
      <c r="AC112" s="32" t="s">
        <v>901</v>
      </c>
      <c r="AD112" s="31" t="s">
        <v>303</v>
      </c>
      <c r="AE112" s="31"/>
      <c r="AF112" s="31" t="s">
        <v>1201</v>
      </c>
      <c r="AG112" s="31"/>
      <c r="AH112" s="31"/>
      <c r="AI112" s="31"/>
      <c r="AJ112" s="31"/>
      <c r="AK112" s="31"/>
      <c r="AL112" s="31"/>
      <c r="AM112" s="71" t="s">
        <v>1524</v>
      </c>
      <c r="AN112" s="72" t="s">
        <v>1525</v>
      </c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>
        <v>514</v>
      </c>
      <c r="BH112" s="31" t="s">
        <v>1526</v>
      </c>
      <c r="BI112" s="31"/>
      <c r="BJ112" s="31"/>
      <c r="BK112" s="31"/>
      <c r="BL112" s="31"/>
      <c r="BM112" s="31"/>
      <c r="BN112" s="31"/>
      <c r="BO112" s="31"/>
      <c r="BP112" s="31"/>
      <c r="BQ112" s="31"/>
      <c r="BR112" s="31">
        <v>1</v>
      </c>
      <c r="BS112" s="31"/>
      <c r="BT112" s="128">
        <v>2</v>
      </c>
      <c r="BU112" s="128" t="s">
        <v>194</v>
      </c>
      <c r="BV112" s="33" t="s">
        <v>599</v>
      </c>
      <c r="BW112" s="33"/>
      <c r="BX112" s="31"/>
      <c r="BY112" s="31"/>
      <c r="BZ112" s="31"/>
      <c r="CA112" s="31" t="str">
        <f t="shared" si="2"/>
        <v/>
      </c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</row>
    <row r="113" spans="1:190" ht="15.75" customHeight="1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>
        <v>111</v>
      </c>
      <c r="U113" s="94" t="s">
        <v>194</v>
      </c>
      <c r="V113" s="94" t="s">
        <v>195</v>
      </c>
      <c r="W113" s="94" t="s">
        <v>196</v>
      </c>
      <c r="X113" s="71" t="s">
        <v>1527</v>
      </c>
      <c r="Y113" s="71" t="s">
        <v>1528</v>
      </c>
      <c r="Z113" s="75" t="s">
        <v>1529</v>
      </c>
      <c r="AA113" s="32" t="s">
        <v>202</v>
      </c>
      <c r="AB113" s="32" t="s">
        <v>203</v>
      </c>
      <c r="AC113" s="32" t="s">
        <v>204</v>
      </c>
      <c r="AD113" s="31" t="s">
        <v>205</v>
      </c>
      <c r="AE113" s="31" t="s">
        <v>206</v>
      </c>
      <c r="AF113" s="31" t="s">
        <v>207</v>
      </c>
      <c r="AG113" s="31"/>
      <c r="AH113" s="31"/>
      <c r="AI113" s="31"/>
      <c r="AJ113" s="31"/>
      <c r="AK113" s="31"/>
      <c r="AL113" s="31"/>
      <c r="AM113" s="71" t="s">
        <v>1530</v>
      </c>
      <c r="AN113" s="72" t="s">
        <v>1531</v>
      </c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>
        <v>515</v>
      </c>
      <c r="BH113" s="31" t="s">
        <v>1532</v>
      </c>
      <c r="BI113" s="31"/>
      <c r="BJ113" s="31"/>
      <c r="BK113" s="31"/>
      <c r="BL113" s="31"/>
      <c r="BM113" s="31"/>
      <c r="BN113" s="31"/>
      <c r="BO113" s="31"/>
      <c r="BP113" s="31"/>
      <c r="BQ113" s="31"/>
      <c r="BR113" s="31">
        <v>1</v>
      </c>
      <c r="BS113" s="31"/>
      <c r="BT113" s="128">
        <v>2</v>
      </c>
      <c r="BU113" s="128" t="s">
        <v>469</v>
      </c>
      <c r="BV113" s="33" t="s">
        <v>627</v>
      </c>
      <c r="BW113" s="33"/>
      <c r="BX113" s="31"/>
      <c r="BY113" s="31"/>
      <c r="BZ113" s="31"/>
      <c r="CA113" s="31" t="str">
        <f t="shared" si="2"/>
        <v/>
      </c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</row>
    <row r="114" spans="1:190" ht="15.75" customHeight="1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>
        <v>112</v>
      </c>
      <c r="U114" s="88" t="s">
        <v>360</v>
      </c>
      <c r="V114" s="88" t="s">
        <v>600</v>
      </c>
      <c r="W114" s="88" t="s">
        <v>829</v>
      </c>
      <c r="X114" s="71" t="s">
        <v>1533</v>
      </c>
      <c r="Y114" s="71" t="s">
        <v>1534</v>
      </c>
      <c r="Z114" s="72" t="s">
        <v>1535</v>
      </c>
      <c r="AA114" s="32" t="s">
        <v>418</v>
      </c>
      <c r="AB114" s="32" t="s">
        <v>605</v>
      </c>
      <c r="AC114" s="32" t="s">
        <v>830</v>
      </c>
      <c r="AD114" s="31" t="s">
        <v>1536</v>
      </c>
      <c r="AE114" s="31" t="s">
        <v>303</v>
      </c>
      <c r="AF114" s="31" t="s">
        <v>1011</v>
      </c>
      <c r="AG114" s="31"/>
      <c r="AH114" s="31"/>
      <c r="AI114" s="31"/>
      <c r="AJ114" s="31"/>
      <c r="AK114" s="31"/>
      <c r="AL114" s="31"/>
      <c r="AM114" s="71" t="s">
        <v>1537</v>
      </c>
      <c r="AN114" s="72" t="s">
        <v>1538</v>
      </c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>
        <v>516</v>
      </c>
      <c r="BH114" s="31" t="s">
        <v>1539</v>
      </c>
      <c r="BI114" s="31"/>
      <c r="BJ114" s="31"/>
      <c r="BK114" s="31"/>
      <c r="BL114" s="31"/>
      <c r="BM114" s="31"/>
      <c r="BN114" s="31"/>
      <c r="BO114" s="31"/>
      <c r="BP114" s="31"/>
      <c r="BQ114" s="31"/>
      <c r="BR114" s="31">
        <v>1</v>
      </c>
      <c r="BS114" s="31"/>
      <c r="BT114" s="31">
        <v>3</v>
      </c>
      <c r="BU114" s="31" t="s">
        <v>187</v>
      </c>
      <c r="BV114" s="33" t="s">
        <v>651</v>
      </c>
      <c r="BW114" s="33"/>
      <c r="BX114" s="31"/>
      <c r="BY114" s="31"/>
      <c r="BZ114" s="31"/>
      <c r="CA114" s="31" t="str">
        <f t="shared" si="2"/>
        <v/>
      </c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</row>
    <row r="115" spans="1:190" ht="15.75" customHeight="1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>
        <v>113</v>
      </c>
      <c r="U115" s="94" t="s">
        <v>194</v>
      </c>
      <c r="V115" s="94" t="s">
        <v>724</v>
      </c>
      <c r="W115" s="94" t="s">
        <v>809</v>
      </c>
      <c r="X115" s="71" t="s">
        <v>1540</v>
      </c>
      <c r="Y115" s="71" t="s">
        <v>1541</v>
      </c>
      <c r="Z115" s="75" t="s">
        <v>413</v>
      </c>
      <c r="AA115" s="32" t="s">
        <v>202</v>
      </c>
      <c r="AB115" s="32" t="s">
        <v>725</v>
      </c>
      <c r="AC115" s="32" t="s">
        <v>813</v>
      </c>
      <c r="AD115" s="31" t="s">
        <v>1078</v>
      </c>
      <c r="AE115" s="31" t="s">
        <v>303</v>
      </c>
      <c r="AF115" s="31" t="s">
        <v>847</v>
      </c>
      <c r="AG115" s="31"/>
      <c r="AH115" s="31"/>
      <c r="AI115" s="31"/>
      <c r="AJ115" s="31"/>
      <c r="AK115" s="31"/>
      <c r="AL115" s="31"/>
      <c r="AM115" s="71" t="s">
        <v>1448</v>
      </c>
      <c r="AN115" s="72" t="s">
        <v>1542</v>
      </c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>
        <v>517</v>
      </c>
      <c r="BH115" s="31" t="s">
        <v>1543</v>
      </c>
      <c r="BI115" s="31"/>
      <c r="BJ115" s="31"/>
      <c r="BK115" s="31"/>
      <c r="BL115" s="31"/>
      <c r="BM115" s="31"/>
      <c r="BN115" s="31"/>
      <c r="BO115" s="31"/>
      <c r="BP115" s="31"/>
      <c r="BQ115" s="31"/>
      <c r="BR115" s="31">
        <v>1</v>
      </c>
      <c r="BS115" s="31"/>
      <c r="BT115" s="129">
        <v>4</v>
      </c>
      <c r="BU115" s="129" t="s">
        <v>187</v>
      </c>
      <c r="BV115" s="33" t="s">
        <v>675</v>
      </c>
      <c r="BW115" s="33"/>
      <c r="BX115" s="31"/>
      <c r="BY115" s="31"/>
      <c r="BZ115" s="31"/>
      <c r="CA115" s="31" t="str">
        <f t="shared" si="2"/>
        <v/>
      </c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</row>
    <row r="116" spans="1:190" ht="15.75" customHeight="1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>
        <v>114</v>
      </c>
      <c r="U116" s="88" t="s">
        <v>287</v>
      </c>
      <c r="V116" s="88" t="s">
        <v>595</v>
      </c>
      <c r="W116" s="88" t="s">
        <v>807</v>
      </c>
      <c r="X116" s="71" t="s">
        <v>1544</v>
      </c>
      <c r="Y116" s="71" t="s">
        <v>1545</v>
      </c>
      <c r="Z116" s="75" t="s">
        <v>1546</v>
      </c>
      <c r="AA116" s="32" t="s">
        <v>359</v>
      </c>
      <c r="AB116" s="32" t="s">
        <v>598</v>
      </c>
      <c r="AC116" s="32" t="s">
        <v>808</v>
      </c>
      <c r="AD116" s="31" t="s">
        <v>1547</v>
      </c>
      <c r="AE116" s="31" t="s">
        <v>303</v>
      </c>
      <c r="AF116" s="31" t="s">
        <v>1282</v>
      </c>
      <c r="AG116" s="31"/>
      <c r="AH116" s="31"/>
      <c r="AI116" s="31"/>
      <c r="AJ116" s="31"/>
      <c r="AK116" s="31"/>
      <c r="AL116" s="31"/>
      <c r="AM116" s="71" t="s">
        <v>1455</v>
      </c>
      <c r="AN116" s="72" t="s">
        <v>1548</v>
      </c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>
        <v>518</v>
      </c>
      <c r="BH116" s="31" t="s">
        <v>1549</v>
      </c>
      <c r="BI116" s="31"/>
      <c r="BJ116" s="31"/>
      <c r="BK116" s="31"/>
      <c r="BL116" s="31"/>
      <c r="BM116" s="31"/>
      <c r="BN116" s="31"/>
      <c r="BO116" s="31"/>
      <c r="BP116" s="31"/>
      <c r="BQ116" s="31"/>
      <c r="BR116" s="31">
        <v>1</v>
      </c>
      <c r="BS116" s="31"/>
      <c r="BT116" s="129">
        <v>4</v>
      </c>
      <c r="BU116" s="129" t="s">
        <v>287</v>
      </c>
      <c r="BV116" s="33" t="s">
        <v>698</v>
      </c>
      <c r="BW116" s="33"/>
      <c r="BX116" s="31"/>
      <c r="BY116" s="31"/>
      <c r="BZ116" s="31"/>
      <c r="CA116" s="31" t="str">
        <f t="shared" si="2"/>
        <v/>
      </c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</row>
    <row r="117" spans="1:190" ht="15.75" customHeight="1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>
        <v>115</v>
      </c>
      <c r="U117" s="94" t="s">
        <v>194</v>
      </c>
      <c r="V117" s="94" t="s">
        <v>195</v>
      </c>
      <c r="W117" s="94" t="s">
        <v>196</v>
      </c>
      <c r="X117" s="71" t="s">
        <v>1550</v>
      </c>
      <c r="Y117" s="71" t="s">
        <v>1551</v>
      </c>
      <c r="Z117" s="75" t="s">
        <v>1552</v>
      </c>
      <c r="AA117" s="32" t="s">
        <v>202</v>
      </c>
      <c r="AB117" s="32" t="s">
        <v>203</v>
      </c>
      <c r="AC117" s="32" t="s">
        <v>204</v>
      </c>
      <c r="AD117" s="31" t="s">
        <v>205</v>
      </c>
      <c r="AE117" s="31" t="s">
        <v>897</v>
      </c>
      <c r="AF117" s="31" t="s">
        <v>207</v>
      </c>
      <c r="AG117" s="31"/>
      <c r="AH117" s="31"/>
      <c r="AI117" s="31"/>
      <c r="AJ117" s="31"/>
      <c r="AK117" s="31"/>
      <c r="AL117" s="31"/>
      <c r="AM117" s="71" t="s">
        <v>1462</v>
      </c>
      <c r="AN117" s="72" t="s">
        <v>1553</v>
      </c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 t="s">
        <v>1249</v>
      </c>
      <c r="BH117" s="31" t="s">
        <v>1554</v>
      </c>
      <c r="BI117" s="31"/>
      <c r="BJ117" s="31"/>
      <c r="BK117" s="31"/>
      <c r="BL117" s="31"/>
      <c r="BM117" s="31"/>
      <c r="BN117" s="31"/>
      <c r="BO117" s="31"/>
      <c r="BP117" s="31"/>
      <c r="BQ117" s="31"/>
      <c r="BR117" s="31">
        <v>1</v>
      </c>
      <c r="BS117" s="31"/>
      <c r="BT117" s="129">
        <v>4</v>
      </c>
      <c r="BU117" s="129" t="s">
        <v>360</v>
      </c>
      <c r="BV117" s="33" t="s">
        <v>728</v>
      </c>
      <c r="BW117" s="33"/>
      <c r="BX117" s="31"/>
      <c r="BY117" s="31"/>
      <c r="BZ117" s="31"/>
      <c r="CA117" s="31" t="str">
        <f t="shared" si="2"/>
        <v/>
      </c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</row>
    <row r="118" spans="1:190" ht="15.75" customHeight="1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>
        <v>116</v>
      </c>
      <c r="U118" s="88" t="s">
        <v>194</v>
      </c>
      <c r="V118" s="88" t="s">
        <v>729</v>
      </c>
      <c r="W118" s="88" t="s">
        <v>987</v>
      </c>
      <c r="X118" s="71" t="s">
        <v>1555</v>
      </c>
      <c r="Y118" s="71" t="s">
        <v>1556</v>
      </c>
      <c r="Z118" s="72" t="s">
        <v>416</v>
      </c>
      <c r="AA118" s="32" t="s">
        <v>202</v>
      </c>
      <c r="AB118" s="32" t="s">
        <v>736</v>
      </c>
      <c r="AC118" s="32" t="s">
        <v>901</v>
      </c>
      <c r="AD118" s="31" t="s">
        <v>303</v>
      </c>
      <c r="AE118" s="31"/>
      <c r="AF118" s="31" t="s">
        <v>1201</v>
      </c>
      <c r="AG118" s="31"/>
      <c r="AH118" s="31"/>
      <c r="AI118" s="31"/>
      <c r="AJ118" s="31"/>
      <c r="AK118" s="31"/>
      <c r="AL118" s="31"/>
      <c r="AM118" s="71" t="s">
        <v>1472</v>
      </c>
      <c r="AN118" s="72" t="s">
        <v>1557</v>
      </c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>
        <v>601</v>
      </c>
      <c r="BH118" s="31" t="s">
        <v>1558</v>
      </c>
      <c r="BI118" s="31"/>
      <c r="BJ118" s="31"/>
      <c r="BK118" s="31"/>
      <c r="BL118" s="31"/>
      <c r="BM118" s="31"/>
      <c r="BN118" s="31"/>
      <c r="BO118" s="31"/>
      <c r="BP118" s="31"/>
      <c r="BQ118" s="31"/>
      <c r="BR118" s="31">
        <v>1</v>
      </c>
      <c r="BS118" s="31"/>
      <c r="BT118" s="129">
        <v>4</v>
      </c>
      <c r="BU118" s="129" t="s">
        <v>194</v>
      </c>
      <c r="BV118" s="33" t="s">
        <v>747</v>
      </c>
      <c r="BW118" s="33"/>
      <c r="BX118" s="31"/>
      <c r="BY118" s="31"/>
      <c r="BZ118" s="31"/>
      <c r="CA118" s="31" t="str">
        <f t="shared" si="2"/>
        <v/>
      </c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</row>
    <row r="119" spans="1:190" ht="15.75" customHeight="1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>
        <v>117</v>
      </c>
      <c r="U119" s="94" t="s">
        <v>194</v>
      </c>
      <c r="V119" s="94" t="s">
        <v>195</v>
      </c>
      <c r="W119" s="94" t="s">
        <v>196</v>
      </c>
      <c r="X119" s="71" t="s">
        <v>1559</v>
      </c>
      <c r="Y119" s="71" t="s">
        <v>1560</v>
      </c>
      <c r="Z119" s="72" t="s">
        <v>1561</v>
      </c>
      <c r="AA119" s="32" t="s">
        <v>202</v>
      </c>
      <c r="AB119" s="32" t="s">
        <v>203</v>
      </c>
      <c r="AC119" s="32" t="s">
        <v>204</v>
      </c>
      <c r="AD119" s="31" t="s">
        <v>205</v>
      </c>
      <c r="AE119" s="31" t="s">
        <v>897</v>
      </c>
      <c r="AF119" s="31" t="s">
        <v>207</v>
      </c>
      <c r="AG119" s="31"/>
      <c r="AH119" s="31"/>
      <c r="AI119" s="31"/>
      <c r="AJ119" s="31"/>
      <c r="AK119" s="31"/>
      <c r="AL119" s="31"/>
      <c r="AM119" s="71" t="s">
        <v>1479</v>
      </c>
      <c r="AN119" s="72" t="s">
        <v>1562</v>
      </c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>
        <v>602</v>
      </c>
      <c r="BH119" s="31" t="s">
        <v>1563</v>
      </c>
      <c r="BI119" s="31"/>
      <c r="BJ119" s="31"/>
      <c r="BK119" s="31"/>
      <c r="BL119" s="31"/>
      <c r="BM119" s="31"/>
      <c r="BN119" s="31"/>
      <c r="BO119" s="31"/>
      <c r="BP119" s="31"/>
      <c r="BQ119" s="31"/>
      <c r="BR119" s="31">
        <v>1</v>
      </c>
      <c r="BS119" s="31"/>
      <c r="BT119" s="31">
        <v>5</v>
      </c>
      <c r="BU119" s="31" t="s">
        <v>187</v>
      </c>
      <c r="BV119" s="33" t="s">
        <v>480</v>
      </c>
      <c r="BW119" s="33"/>
      <c r="BX119" s="31"/>
      <c r="BY119" s="31"/>
      <c r="BZ119" s="31"/>
      <c r="CA119" s="31" t="str">
        <f t="shared" si="2"/>
        <v/>
      </c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</row>
    <row r="120" spans="1:190" ht="15.75" customHeight="1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>
        <v>118</v>
      </c>
      <c r="U120" s="88" t="s">
        <v>194</v>
      </c>
      <c r="V120" s="88" t="s">
        <v>729</v>
      </c>
      <c r="W120" s="88" t="s">
        <v>363</v>
      </c>
      <c r="X120" s="71" t="s">
        <v>1564</v>
      </c>
      <c r="Y120" s="71" t="s">
        <v>1565</v>
      </c>
      <c r="Z120" s="72" t="s">
        <v>283</v>
      </c>
      <c r="AA120" s="32" t="s">
        <v>202</v>
      </c>
      <c r="AB120" s="32" t="s">
        <v>736</v>
      </c>
      <c r="AC120" s="32" t="s">
        <v>303</v>
      </c>
      <c r="AD120" s="31"/>
      <c r="AE120" s="31"/>
      <c r="AF120" s="31" t="s">
        <v>736</v>
      </c>
      <c r="AG120" s="31"/>
      <c r="AH120" s="31"/>
      <c r="AI120" s="31"/>
      <c r="AJ120" s="31"/>
      <c r="AK120" s="31"/>
      <c r="AL120" s="31"/>
      <c r="AM120" s="71" t="s">
        <v>1489</v>
      </c>
      <c r="AN120" s="72" t="s">
        <v>1566</v>
      </c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>
        <v>603</v>
      </c>
      <c r="BH120" s="31" t="s">
        <v>1567</v>
      </c>
      <c r="BI120" s="31"/>
      <c r="BJ120" s="31"/>
      <c r="BK120" s="31"/>
      <c r="BL120" s="31"/>
      <c r="BM120" s="31"/>
      <c r="BN120" s="31"/>
      <c r="BO120" s="31"/>
      <c r="BP120" s="31"/>
      <c r="BQ120" s="31"/>
      <c r="BR120" s="31">
        <v>1</v>
      </c>
      <c r="BS120" s="31"/>
      <c r="BT120" s="33">
        <v>6</v>
      </c>
      <c r="BU120" s="33" t="s">
        <v>187</v>
      </c>
      <c r="BV120" s="33" t="s">
        <v>768</v>
      </c>
      <c r="BW120" s="33"/>
      <c r="BX120" s="31"/>
      <c r="BY120" s="31"/>
      <c r="BZ120" s="31"/>
      <c r="CA120" s="31" t="str">
        <f t="shared" si="2"/>
        <v/>
      </c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</row>
    <row r="121" spans="1:190" ht="15.75" customHeight="1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>
        <v>119</v>
      </c>
      <c r="U121" s="94" t="s">
        <v>187</v>
      </c>
      <c r="V121" s="94" t="s">
        <v>287</v>
      </c>
      <c r="W121" s="94" t="s">
        <v>469</v>
      </c>
      <c r="X121" s="71" t="s">
        <v>1568</v>
      </c>
      <c r="Y121" s="71" t="s">
        <v>1569</v>
      </c>
      <c r="Z121" s="72" t="s">
        <v>1570</v>
      </c>
      <c r="AA121" s="32" t="s">
        <v>286</v>
      </c>
      <c r="AB121" s="32" t="s">
        <v>290</v>
      </c>
      <c r="AC121" s="32" t="s">
        <v>473</v>
      </c>
      <c r="AD121" s="31" t="s">
        <v>1102</v>
      </c>
      <c r="AE121" s="31" t="s">
        <v>303</v>
      </c>
      <c r="AF121" s="31" t="s">
        <v>539</v>
      </c>
      <c r="AG121" s="31"/>
      <c r="AH121" s="31"/>
      <c r="AI121" s="31"/>
      <c r="AJ121" s="31"/>
      <c r="AK121" s="31"/>
      <c r="AL121" s="31"/>
      <c r="AM121" s="71" t="s">
        <v>1571</v>
      </c>
      <c r="AN121" s="72" t="s">
        <v>1572</v>
      </c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>
        <v>604</v>
      </c>
      <c r="BH121" s="31" t="s">
        <v>1573</v>
      </c>
      <c r="BI121" s="31"/>
      <c r="BJ121" s="31"/>
      <c r="BK121" s="31"/>
      <c r="BL121" s="31"/>
      <c r="BM121" s="31"/>
      <c r="BN121" s="31"/>
      <c r="BO121" s="31"/>
      <c r="BP121" s="31"/>
      <c r="BQ121" s="31"/>
      <c r="BR121" s="31">
        <v>1</v>
      </c>
      <c r="BS121" s="31"/>
      <c r="BT121" s="31">
        <v>7</v>
      </c>
      <c r="BU121" s="31" t="s">
        <v>187</v>
      </c>
      <c r="BV121" s="33" t="s">
        <v>632</v>
      </c>
      <c r="BW121" s="33"/>
      <c r="BX121" s="31"/>
      <c r="BY121" s="31"/>
      <c r="BZ121" s="31"/>
      <c r="CA121" s="31" t="str">
        <f t="shared" si="2"/>
        <v/>
      </c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</row>
    <row r="122" spans="1:190" ht="15.75" customHeight="1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>
        <v>120</v>
      </c>
      <c r="U122" s="88" t="s">
        <v>187</v>
      </c>
      <c r="V122" s="88" t="s">
        <v>287</v>
      </c>
      <c r="W122" s="88" t="s">
        <v>469</v>
      </c>
      <c r="X122" s="71" t="s">
        <v>1574</v>
      </c>
      <c r="Y122" s="71" t="s">
        <v>1575</v>
      </c>
      <c r="Z122" s="72" t="s">
        <v>1576</v>
      </c>
      <c r="AA122" s="32" t="s">
        <v>286</v>
      </c>
      <c r="AB122" s="32" t="s">
        <v>290</v>
      </c>
      <c r="AC122" s="32" t="s">
        <v>473</v>
      </c>
      <c r="AD122" s="31" t="s">
        <v>1577</v>
      </c>
      <c r="AE122" s="31" t="s">
        <v>303</v>
      </c>
      <c r="AF122" s="31" t="s">
        <v>755</v>
      </c>
      <c r="AG122" s="31"/>
      <c r="AH122" s="31"/>
      <c r="AI122" s="31"/>
      <c r="AJ122" s="31"/>
      <c r="AK122" s="31"/>
      <c r="AL122" s="31"/>
      <c r="AM122" s="71" t="s">
        <v>1578</v>
      </c>
      <c r="AN122" s="72" t="s">
        <v>1579</v>
      </c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>
        <v>605</v>
      </c>
      <c r="BH122" s="31" t="s">
        <v>1580</v>
      </c>
      <c r="BI122" s="31"/>
      <c r="BJ122" s="31"/>
      <c r="BK122" s="31"/>
      <c r="BL122" s="31"/>
      <c r="BM122" s="31"/>
      <c r="BN122" s="31"/>
      <c r="BO122" s="31"/>
      <c r="BP122" s="31"/>
      <c r="BQ122" s="31"/>
      <c r="BR122" s="31">
        <v>1</v>
      </c>
      <c r="BS122" s="31"/>
      <c r="BT122" s="31">
        <v>7</v>
      </c>
      <c r="BU122" s="31" t="s">
        <v>287</v>
      </c>
      <c r="BV122" s="33" t="s">
        <v>788</v>
      </c>
      <c r="BW122" s="33"/>
      <c r="BX122" s="31"/>
      <c r="BY122" s="31"/>
      <c r="BZ122" s="31"/>
      <c r="CA122" s="31" t="str">
        <f t="shared" si="2"/>
        <v/>
      </c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</row>
    <row r="123" spans="1:190" ht="15.75" customHeight="1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>
        <v>121</v>
      </c>
      <c r="U123" s="94" t="s">
        <v>187</v>
      </c>
      <c r="V123" s="94" t="s">
        <v>194</v>
      </c>
      <c r="W123" s="94" t="s">
        <v>195</v>
      </c>
      <c r="X123" s="71" t="s">
        <v>1581</v>
      </c>
      <c r="Y123" s="71" t="s">
        <v>1582</v>
      </c>
      <c r="Z123" s="72" t="s">
        <v>1583</v>
      </c>
      <c r="AA123" s="32" t="s">
        <v>286</v>
      </c>
      <c r="AB123" s="32" t="s">
        <v>419</v>
      </c>
      <c r="AC123" s="32" t="s">
        <v>675</v>
      </c>
      <c r="AD123" s="31" t="s">
        <v>303</v>
      </c>
      <c r="AE123" s="31"/>
      <c r="AF123" s="31" t="s">
        <v>640</v>
      </c>
      <c r="AG123" s="31"/>
      <c r="AH123" s="31"/>
      <c r="AI123" s="31"/>
      <c r="AJ123" s="31"/>
      <c r="AK123" s="31"/>
      <c r="AL123" s="31"/>
      <c r="AM123" s="71" t="s">
        <v>1584</v>
      </c>
      <c r="AN123" s="72" t="s">
        <v>1585</v>
      </c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>
        <v>606</v>
      </c>
      <c r="BH123" s="31" t="s">
        <v>1586</v>
      </c>
      <c r="BI123" s="31"/>
      <c r="BJ123" s="31"/>
      <c r="BK123" s="31"/>
      <c r="BL123" s="31"/>
      <c r="BM123" s="31"/>
      <c r="BN123" s="31"/>
      <c r="BO123" s="31"/>
      <c r="BP123" s="31"/>
      <c r="BQ123" s="31"/>
      <c r="BR123" s="31">
        <v>2</v>
      </c>
      <c r="BS123" s="31"/>
      <c r="BT123" s="31">
        <v>1</v>
      </c>
      <c r="BU123" s="31" t="s">
        <v>187</v>
      </c>
      <c r="BV123" s="37" t="s">
        <v>800</v>
      </c>
      <c r="BW123" s="31"/>
      <c r="BX123" s="31"/>
      <c r="BY123" s="31"/>
      <c r="BZ123" s="31"/>
      <c r="CA123" s="31" t="str">
        <f t="shared" si="2"/>
        <v/>
      </c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</row>
    <row r="124" spans="1:190" ht="15.75" customHeight="1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>
        <v>122</v>
      </c>
      <c r="U124" s="88" t="s">
        <v>194</v>
      </c>
      <c r="V124" s="88" t="s">
        <v>724</v>
      </c>
      <c r="W124" s="88" t="s">
        <v>363</v>
      </c>
      <c r="X124" s="71" t="s">
        <v>1587</v>
      </c>
      <c r="Y124" s="71" t="s">
        <v>1588</v>
      </c>
      <c r="Z124" s="72" t="s">
        <v>1589</v>
      </c>
      <c r="AA124" s="32" t="s">
        <v>202</v>
      </c>
      <c r="AB124" s="32" t="s">
        <v>725</v>
      </c>
      <c r="AC124" s="32" t="s">
        <v>303</v>
      </c>
      <c r="AD124" s="31"/>
      <c r="AE124" s="31"/>
      <c r="AF124" s="31" t="s">
        <v>760</v>
      </c>
      <c r="AG124" s="31"/>
      <c r="AH124" s="31"/>
      <c r="AI124" s="31"/>
      <c r="AJ124" s="31"/>
      <c r="AK124" s="31"/>
      <c r="AL124" s="31"/>
      <c r="AM124" s="71" t="s">
        <v>1590</v>
      </c>
      <c r="AN124" s="72" t="s">
        <v>1591</v>
      </c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>
        <v>607</v>
      </c>
      <c r="BH124" s="31" t="s">
        <v>1592</v>
      </c>
      <c r="BI124" s="31"/>
      <c r="BJ124" s="31"/>
      <c r="BK124" s="31"/>
      <c r="BL124" s="31"/>
      <c r="BM124" s="31"/>
      <c r="BN124" s="31"/>
      <c r="BO124" s="31"/>
      <c r="BP124" s="31"/>
      <c r="BQ124" s="31"/>
      <c r="BR124" s="31">
        <v>2</v>
      </c>
      <c r="BS124" s="31"/>
      <c r="BT124" s="31">
        <v>1</v>
      </c>
      <c r="BU124" s="31" t="s">
        <v>287</v>
      </c>
      <c r="BV124" s="37" t="s">
        <v>808</v>
      </c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</row>
    <row r="125" spans="1:190" ht="15.75" customHeight="1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>
        <v>123</v>
      </c>
      <c r="U125" s="94" t="s">
        <v>194</v>
      </c>
      <c r="V125" s="94" t="s">
        <v>724</v>
      </c>
      <c r="W125" s="94" t="s">
        <v>363</v>
      </c>
      <c r="X125" s="71" t="s">
        <v>1593</v>
      </c>
      <c r="Y125" s="71" t="s">
        <v>1594</v>
      </c>
      <c r="Z125" s="75" t="s">
        <v>1595</v>
      </c>
      <c r="AA125" s="32" t="s">
        <v>202</v>
      </c>
      <c r="AB125" s="32" t="s">
        <v>725</v>
      </c>
      <c r="AC125" s="32" t="s">
        <v>303</v>
      </c>
      <c r="AD125" s="31"/>
      <c r="AE125" s="31"/>
      <c r="AF125" s="31" t="s">
        <v>760</v>
      </c>
      <c r="AG125" s="31"/>
      <c r="AH125" s="31"/>
      <c r="AI125" s="31"/>
      <c r="AJ125" s="31"/>
      <c r="AK125" s="31"/>
      <c r="AL125" s="31"/>
      <c r="AM125" s="71" t="s">
        <v>1596</v>
      </c>
      <c r="AN125" s="72" t="s">
        <v>1597</v>
      </c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>
        <v>608</v>
      </c>
      <c r="BH125" s="31" t="s">
        <v>1598</v>
      </c>
      <c r="BI125" s="31"/>
      <c r="BJ125" s="31"/>
      <c r="BK125" s="31"/>
      <c r="BL125" s="31"/>
      <c r="BM125" s="31"/>
      <c r="BN125" s="31"/>
      <c r="BO125" s="31"/>
      <c r="BP125" s="31"/>
      <c r="BQ125" s="31"/>
      <c r="BR125" s="31">
        <v>3</v>
      </c>
      <c r="BS125" s="31"/>
      <c r="BT125" s="31">
        <v>1</v>
      </c>
      <c r="BU125" s="31" t="s">
        <v>187</v>
      </c>
      <c r="BV125" s="38" t="s">
        <v>606</v>
      </c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</row>
    <row r="126" spans="1:190" ht="15.75" customHeight="1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>
        <v>124</v>
      </c>
      <c r="U126" s="88" t="s">
        <v>194</v>
      </c>
      <c r="V126" s="88" t="s">
        <v>729</v>
      </c>
      <c r="W126" s="88" t="s">
        <v>363</v>
      </c>
      <c r="X126" s="71" t="s">
        <v>1599</v>
      </c>
      <c r="Y126" s="71" t="s">
        <v>1600</v>
      </c>
      <c r="Z126" s="72" t="s">
        <v>1601</v>
      </c>
      <c r="AA126" s="32" t="s">
        <v>202</v>
      </c>
      <c r="AB126" s="32" t="s">
        <v>736</v>
      </c>
      <c r="AC126" s="32" t="s">
        <v>303</v>
      </c>
      <c r="AD126" s="31"/>
      <c r="AE126" s="31"/>
      <c r="AF126" s="31" t="s">
        <v>738</v>
      </c>
      <c r="AG126" s="31"/>
      <c r="AH126" s="31"/>
      <c r="AI126" s="31"/>
      <c r="AJ126" s="31"/>
      <c r="AK126" s="31"/>
      <c r="AL126" s="31"/>
      <c r="AM126" s="71" t="s">
        <v>1602</v>
      </c>
      <c r="AN126" s="72" t="s">
        <v>1603</v>
      </c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>
        <v>609</v>
      </c>
      <c r="BH126" s="31" t="s">
        <v>1604</v>
      </c>
      <c r="BI126" s="31"/>
      <c r="BJ126" s="31"/>
      <c r="BK126" s="31"/>
      <c r="BL126" s="31"/>
      <c r="BM126" s="31"/>
      <c r="BN126" s="31"/>
      <c r="BO126" s="31"/>
      <c r="BP126" s="31"/>
      <c r="BQ126" s="31"/>
      <c r="BR126" s="31">
        <v>3</v>
      </c>
      <c r="BS126" s="31"/>
      <c r="BT126" s="31">
        <v>1</v>
      </c>
      <c r="BU126" s="31" t="s">
        <v>287</v>
      </c>
      <c r="BV126" s="38" t="s">
        <v>830</v>
      </c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</row>
    <row r="127" spans="1:190" ht="15.75" customHeight="1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>
        <v>125</v>
      </c>
      <c r="U127" s="94" t="s">
        <v>194</v>
      </c>
      <c r="V127" s="94" t="s">
        <v>195</v>
      </c>
      <c r="W127" s="94" t="s">
        <v>196</v>
      </c>
      <c r="X127" s="71" t="s">
        <v>1605</v>
      </c>
      <c r="Y127" s="71" t="s">
        <v>1606</v>
      </c>
      <c r="Z127" s="75" t="s">
        <v>1607</v>
      </c>
      <c r="AA127" s="32" t="s">
        <v>202</v>
      </c>
      <c r="AB127" s="32" t="s">
        <v>203</v>
      </c>
      <c r="AC127" s="32" t="s">
        <v>204</v>
      </c>
      <c r="AD127" s="31" t="s">
        <v>205</v>
      </c>
      <c r="AE127" s="31" t="s">
        <v>897</v>
      </c>
      <c r="AF127" s="31" t="s">
        <v>207</v>
      </c>
      <c r="AG127" s="31"/>
      <c r="AH127" s="31"/>
      <c r="AI127" s="31"/>
      <c r="AJ127" s="31"/>
      <c r="AK127" s="31"/>
      <c r="AL127" s="31"/>
      <c r="AM127" s="71" t="s">
        <v>1608</v>
      </c>
      <c r="AN127" s="72" t="s">
        <v>1609</v>
      </c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>
        <v>610</v>
      </c>
      <c r="BH127" s="31" t="s">
        <v>1610</v>
      </c>
      <c r="BI127" s="31"/>
      <c r="BJ127" s="31"/>
      <c r="BK127" s="31"/>
      <c r="BL127" s="31"/>
      <c r="BM127" s="31"/>
      <c r="BN127" s="31"/>
      <c r="BO127" s="31"/>
      <c r="BP127" s="31"/>
      <c r="BQ127" s="31"/>
      <c r="BR127" s="31">
        <v>3</v>
      </c>
      <c r="BS127" s="31"/>
      <c r="BT127" s="31">
        <v>1</v>
      </c>
      <c r="BU127" s="31" t="s">
        <v>360</v>
      </c>
      <c r="BV127" s="38" t="s">
        <v>840</v>
      </c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</row>
    <row r="128" spans="1:190" ht="15.75" customHeight="1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>
        <v>126</v>
      </c>
      <c r="U128" s="88" t="s">
        <v>194</v>
      </c>
      <c r="V128" s="88" t="s">
        <v>729</v>
      </c>
      <c r="W128" s="88" t="s">
        <v>730</v>
      </c>
      <c r="X128" s="71" t="s">
        <v>1611</v>
      </c>
      <c r="Y128" s="71" t="s">
        <v>1612</v>
      </c>
      <c r="Z128" s="72" t="s">
        <v>1613</v>
      </c>
      <c r="AA128" s="32" t="s">
        <v>202</v>
      </c>
      <c r="AB128" s="32" t="s">
        <v>736</v>
      </c>
      <c r="AC128" s="32" t="s">
        <v>737</v>
      </c>
      <c r="AD128" s="31" t="s">
        <v>303</v>
      </c>
      <c r="AE128" s="31"/>
      <c r="AF128" s="31" t="s">
        <v>738</v>
      </c>
      <c r="AG128" s="31"/>
      <c r="AH128" s="31"/>
      <c r="AI128" s="31"/>
      <c r="AJ128" s="31"/>
      <c r="AK128" s="31"/>
      <c r="AL128" s="31"/>
      <c r="AM128" s="71" t="s">
        <v>1614</v>
      </c>
      <c r="AN128" s="72" t="s">
        <v>1615</v>
      </c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>
        <v>611</v>
      </c>
      <c r="BH128" s="31" t="s">
        <v>1616</v>
      </c>
      <c r="BI128" s="31"/>
      <c r="BJ128" s="31"/>
      <c r="BK128" s="31"/>
      <c r="BL128" s="31"/>
      <c r="BM128" s="31"/>
      <c r="BN128" s="31"/>
      <c r="BO128" s="31"/>
      <c r="BP128" s="31"/>
      <c r="BQ128" s="31"/>
      <c r="BR128" s="31">
        <v>3</v>
      </c>
      <c r="BS128" s="31"/>
      <c r="BT128" s="31">
        <v>2</v>
      </c>
      <c r="BU128" s="31" t="s">
        <v>187</v>
      </c>
      <c r="BV128" s="38" t="s">
        <v>1617</v>
      </c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</row>
    <row r="129" spans="1:190" ht="15.75" customHeight="1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>
        <v>127</v>
      </c>
      <c r="U129" s="94" t="s">
        <v>194</v>
      </c>
      <c r="V129" s="94" t="s">
        <v>195</v>
      </c>
      <c r="W129" s="94" t="s">
        <v>196</v>
      </c>
      <c r="X129" s="71" t="s">
        <v>1618</v>
      </c>
      <c r="Y129" s="71" t="s">
        <v>1619</v>
      </c>
      <c r="Z129" s="75" t="s">
        <v>1620</v>
      </c>
      <c r="AA129" s="32" t="s">
        <v>202</v>
      </c>
      <c r="AB129" s="32" t="s">
        <v>203</v>
      </c>
      <c r="AC129" s="32" t="s">
        <v>204</v>
      </c>
      <c r="AD129" s="31" t="s">
        <v>205</v>
      </c>
      <c r="AE129" s="31" t="s">
        <v>897</v>
      </c>
      <c r="AF129" s="31" t="s">
        <v>207</v>
      </c>
      <c r="AG129" s="31"/>
      <c r="AH129" s="31"/>
      <c r="AI129" s="31"/>
      <c r="AJ129" s="31"/>
      <c r="AK129" s="31"/>
      <c r="AL129" s="31"/>
      <c r="AM129" s="71" t="s">
        <v>1621</v>
      </c>
      <c r="AN129" s="72" t="s">
        <v>1622</v>
      </c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>
        <v>612</v>
      </c>
      <c r="BH129" s="31" t="s">
        <v>1623</v>
      </c>
      <c r="BI129" s="31"/>
      <c r="BJ129" s="31"/>
      <c r="BK129" s="31"/>
      <c r="BL129" s="31"/>
      <c r="BM129" s="31"/>
      <c r="BN129" s="31"/>
      <c r="BO129" s="31"/>
      <c r="BP129" s="31"/>
      <c r="BQ129" s="31"/>
      <c r="BR129" s="31">
        <v>3</v>
      </c>
      <c r="BS129" s="31"/>
      <c r="BT129" s="31">
        <v>2</v>
      </c>
      <c r="BU129" s="31" t="s">
        <v>287</v>
      </c>
      <c r="BV129" s="38" t="s">
        <v>859</v>
      </c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</row>
    <row r="130" spans="1:190" ht="15.75" customHeight="1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>
        <v>128</v>
      </c>
      <c r="U130" s="88" t="s">
        <v>194</v>
      </c>
      <c r="V130" s="88" t="s">
        <v>724</v>
      </c>
      <c r="W130" s="88" t="s">
        <v>809</v>
      </c>
      <c r="X130" s="71" t="s">
        <v>1624</v>
      </c>
      <c r="Y130" s="71" t="s">
        <v>1625</v>
      </c>
      <c r="Z130" s="75" t="s">
        <v>462</v>
      </c>
      <c r="AA130" s="32" t="s">
        <v>202</v>
      </c>
      <c r="AB130" s="32" t="s">
        <v>725</v>
      </c>
      <c r="AC130" s="32" t="s">
        <v>813</v>
      </c>
      <c r="AD130" s="31" t="s">
        <v>1626</v>
      </c>
      <c r="AE130" s="31" t="s">
        <v>303</v>
      </c>
      <c r="AF130" s="31" t="s">
        <v>1245</v>
      </c>
      <c r="AG130" s="31"/>
      <c r="AH130" s="31"/>
      <c r="AI130" s="31"/>
      <c r="AJ130" s="31"/>
      <c r="AK130" s="31"/>
      <c r="AL130" s="31"/>
      <c r="AM130" s="71" t="s">
        <v>1627</v>
      </c>
      <c r="AN130" s="72" t="s">
        <v>1628</v>
      </c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>
        <v>613</v>
      </c>
      <c r="BH130" s="31" t="s">
        <v>1629</v>
      </c>
      <c r="BI130" s="31"/>
      <c r="BJ130" s="31"/>
      <c r="BK130" s="31"/>
      <c r="BL130" s="31"/>
      <c r="BM130" s="31"/>
      <c r="BN130" s="31"/>
      <c r="BO130" s="31"/>
      <c r="BP130" s="31"/>
      <c r="BQ130" s="31"/>
      <c r="BR130" s="31">
        <v>3</v>
      </c>
      <c r="BS130" s="31"/>
      <c r="BT130" s="31">
        <v>2</v>
      </c>
      <c r="BU130" s="31" t="s">
        <v>360</v>
      </c>
      <c r="BV130" s="38" t="s">
        <v>868</v>
      </c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</row>
    <row r="131" spans="1:190" ht="15.75" customHeight="1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>
        <v>129</v>
      </c>
      <c r="U131" s="94" t="s">
        <v>187</v>
      </c>
      <c r="V131" s="94" t="s">
        <v>520</v>
      </c>
      <c r="W131" s="94" t="s">
        <v>767</v>
      </c>
      <c r="X131" s="71" t="s">
        <v>1630</v>
      </c>
      <c r="Y131" s="71" t="s">
        <v>1631</v>
      </c>
      <c r="Z131" s="72" t="s">
        <v>1632</v>
      </c>
      <c r="AA131" s="32" t="s">
        <v>286</v>
      </c>
      <c r="AB131" s="32" t="s">
        <v>521</v>
      </c>
      <c r="AC131" s="32" t="s">
        <v>768</v>
      </c>
      <c r="AD131" s="31" t="s">
        <v>303</v>
      </c>
      <c r="AE131" s="31"/>
      <c r="AF131" s="31" t="s">
        <v>853</v>
      </c>
      <c r="AG131" s="31"/>
      <c r="AH131" s="31"/>
      <c r="AI131" s="31"/>
      <c r="AJ131" s="31"/>
      <c r="AK131" s="31"/>
      <c r="AL131" s="31"/>
      <c r="AM131" s="71" t="s">
        <v>1633</v>
      </c>
      <c r="AN131" s="72" t="s">
        <v>1634</v>
      </c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>
        <v>614</v>
      </c>
      <c r="BH131" s="31" t="s">
        <v>1635</v>
      </c>
      <c r="BI131" s="31"/>
      <c r="BJ131" s="31"/>
      <c r="BK131" s="31"/>
      <c r="BL131" s="31"/>
      <c r="BM131" s="31"/>
      <c r="BN131" s="31"/>
      <c r="BO131" s="31"/>
      <c r="BP131" s="31"/>
      <c r="BQ131" s="31"/>
      <c r="BR131" s="31">
        <v>3</v>
      </c>
      <c r="BS131" s="31"/>
      <c r="BT131" s="31">
        <v>2</v>
      </c>
      <c r="BU131" s="31" t="s">
        <v>194</v>
      </c>
      <c r="BV131" s="38" t="s">
        <v>878</v>
      </c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</row>
    <row r="132" spans="1:190" ht="15.75" customHeight="1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>
        <v>130</v>
      </c>
      <c r="U132" s="88" t="s">
        <v>194</v>
      </c>
      <c r="V132" s="88" t="s">
        <v>195</v>
      </c>
      <c r="W132" s="88" t="s">
        <v>196</v>
      </c>
      <c r="X132" s="71" t="s">
        <v>1636</v>
      </c>
      <c r="Y132" s="71" t="s">
        <v>1637</v>
      </c>
      <c r="Z132" s="75" t="s">
        <v>1638</v>
      </c>
      <c r="AA132" s="32" t="s">
        <v>202</v>
      </c>
      <c r="AB132" s="32" t="s">
        <v>203</v>
      </c>
      <c r="AC132" s="32" t="s">
        <v>204</v>
      </c>
      <c r="AD132" s="31" t="s">
        <v>205</v>
      </c>
      <c r="AE132" s="31" t="s">
        <v>897</v>
      </c>
      <c r="AF132" s="31" t="s">
        <v>207</v>
      </c>
      <c r="AG132" s="31"/>
      <c r="AH132" s="31"/>
      <c r="AI132" s="31"/>
      <c r="AJ132" s="31"/>
      <c r="AK132" s="31"/>
      <c r="AL132" s="31"/>
      <c r="AM132" s="71" t="s">
        <v>1639</v>
      </c>
      <c r="AN132" s="72" t="s">
        <v>1640</v>
      </c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>
        <v>615</v>
      </c>
      <c r="BH132" s="31" t="s">
        <v>1641</v>
      </c>
      <c r="BI132" s="31"/>
      <c r="BJ132" s="31"/>
      <c r="BK132" s="31"/>
      <c r="BL132" s="31"/>
      <c r="BM132" s="31"/>
      <c r="BN132" s="31"/>
      <c r="BO132" s="31"/>
      <c r="BP132" s="31"/>
      <c r="BQ132" s="31"/>
      <c r="BR132" s="31">
        <v>4</v>
      </c>
      <c r="BS132" s="31"/>
      <c r="BT132" s="31">
        <v>1</v>
      </c>
      <c r="BU132" s="31" t="s">
        <v>187</v>
      </c>
      <c r="BV132" s="40" t="s">
        <v>1642</v>
      </c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</row>
    <row r="133" spans="1:190" ht="15.75" customHeight="1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>
        <v>131</v>
      </c>
      <c r="U133" s="94" t="s">
        <v>187</v>
      </c>
      <c r="V133" s="94" t="s">
        <v>287</v>
      </c>
      <c r="W133" s="94" t="s">
        <v>469</v>
      </c>
      <c r="X133" s="71" t="s">
        <v>1643</v>
      </c>
      <c r="Y133" s="71" t="s">
        <v>1644</v>
      </c>
      <c r="Z133" s="75" t="s">
        <v>1645</v>
      </c>
      <c r="AA133" s="32" t="s">
        <v>286</v>
      </c>
      <c r="AB133" s="32" t="s">
        <v>290</v>
      </c>
      <c r="AC133" s="32" t="s">
        <v>473</v>
      </c>
      <c r="AD133" s="31" t="s">
        <v>1646</v>
      </c>
      <c r="AE133" s="31" t="s">
        <v>303</v>
      </c>
      <c r="AF133" s="31" t="s">
        <v>489</v>
      </c>
      <c r="AG133" s="31"/>
      <c r="AH133" s="31"/>
      <c r="AI133" s="31"/>
      <c r="AJ133" s="31"/>
      <c r="AK133" s="31"/>
      <c r="AL133" s="31"/>
      <c r="AM133" s="71" t="s">
        <v>1647</v>
      </c>
      <c r="AN133" s="72" t="s">
        <v>1648</v>
      </c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>
        <v>616</v>
      </c>
      <c r="BH133" s="31" t="s">
        <v>1649</v>
      </c>
      <c r="BI133" s="31"/>
      <c r="BJ133" s="31"/>
      <c r="BK133" s="31"/>
      <c r="BL133" s="31"/>
      <c r="BM133" s="31"/>
      <c r="BN133" s="31"/>
      <c r="BO133" s="31"/>
      <c r="BP133" s="31"/>
      <c r="BQ133" s="31"/>
      <c r="BR133" s="31">
        <v>4</v>
      </c>
      <c r="BS133" s="31"/>
      <c r="BT133" s="31">
        <v>2</v>
      </c>
      <c r="BU133" s="31" t="s">
        <v>187</v>
      </c>
      <c r="BV133" s="40" t="s">
        <v>903</v>
      </c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</row>
    <row r="134" spans="1:190" ht="15.75" customHeight="1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>
        <v>132</v>
      </c>
      <c r="U134" s="88" t="s">
        <v>187</v>
      </c>
      <c r="V134" s="88" t="s">
        <v>194</v>
      </c>
      <c r="W134" s="88" t="s">
        <v>195</v>
      </c>
      <c r="X134" s="71" t="s">
        <v>1650</v>
      </c>
      <c r="Y134" s="71" t="s">
        <v>1651</v>
      </c>
      <c r="Z134" s="72" t="s">
        <v>1652</v>
      </c>
      <c r="AA134" s="32" t="s">
        <v>286</v>
      </c>
      <c r="AB134" s="32" t="s">
        <v>419</v>
      </c>
      <c r="AC134" s="32" t="s">
        <v>675</v>
      </c>
      <c r="AD134" s="31" t="s">
        <v>1134</v>
      </c>
      <c r="AE134" s="31" t="s">
        <v>1135</v>
      </c>
      <c r="AF134" s="31" t="s">
        <v>640</v>
      </c>
      <c r="AG134" s="31"/>
      <c r="AH134" s="31"/>
      <c r="AI134" s="31"/>
      <c r="AJ134" s="31"/>
      <c r="AK134" s="31"/>
      <c r="AL134" s="31"/>
      <c r="AM134" s="71" t="s">
        <v>1653</v>
      </c>
      <c r="AN134" s="72" t="s">
        <v>1654</v>
      </c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>
        <v>617</v>
      </c>
      <c r="BH134" s="31" t="s">
        <v>1655</v>
      </c>
      <c r="BI134" s="31"/>
      <c r="BJ134" s="31"/>
      <c r="BK134" s="31"/>
      <c r="BL134" s="31"/>
      <c r="BM134" s="31"/>
      <c r="BN134" s="31"/>
      <c r="BO134" s="31"/>
      <c r="BP134" s="31"/>
      <c r="BQ134" s="31"/>
      <c r="BR134" s="31">
        <v>4</v>
      </c>
      <c r="BS134" s="31"/>
      <c r="BT134" s="31">
        <v>2</v>
      </c>
      <c r="BU134" s="41" t="s">
        <v>287</v>
      </c>
      <c r="BV134" s="40" t="s">
        <v>912</v>
      </c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</row>
    <row r="135" spans="1:190" ht="15.75" customHeight="1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>
        <v>133</v>
      </c>
      <c r="U135" s="73" t="s">
        <v>194</v>
      </c>
      <c r="V135" s="73" t="s">
        <v>294</v>
      </c>
      <c r="W135" s="73" t="s">
        <v>776</v>
      </c>
      <c r="X135" s="71" t="s">
        <v>1656</v>
      </c>
      <c r="Y135" s="71" t="s">
        <v>1657</v>
      </c>
      <c r="Z135" s="75" t="s">
        <v>509</v>
      </c>
      <c r="AA135" s="32" t="s">
        <v>202</v>
      </c>
      <c r="AB135" s="32" t="s">
        <v>300</v>
      </c>
      <c r="AC135" s="32" t="s">
        <v>779</v>
      </c>
      <c r="AD135" s="31" t="s">
        <v>1658</v>
      </c>
      <c r="AE135" s="31" t="s">
        <v>303</v>
      </c>
      <c r="AF135" s="31" t="s">
        <v>1174</v>
      </c>
      <c r="AG135" s="31"/>
      <c r="AH135" s="31"/>
      <c r="AI135" s="31"/>
      <c r="AJ135" s="31"/>
      <c r="AK135" s="31"/>
      <c r="AL135" s="31"/>
      <c r="AM135" s="71" t="s">
        <v>1659</v>
      </c>
      <c r="AN135" s="72" t="s">
        <v>1660</v>
      </c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>
        <v>618</v>
      </c>
      <c r="BH135" s="31" t="s">
        <v>1661</v>
      </c>
      <c r="BI135" s="31"/>
      <c r="BJ135" s="31"/>
      <c r="BK135" s="31"/>
      <c r="BL135" s="31"/>
      <c r="BM135" s="31"/>
      <c r="BN135" s="31"/>
      <c r="BO135" s="31"/>
      <c r="BP135" s="31"/>
      <c r="BQ135" s="31"/>
      <c r="BR135" s="31">
        <v>4</v>
      </c>
      <c r="BS135" s="31"/>
      <c r="BT135" s="31">
        <v>2</v>
      </c>
      <c r="BU135" s="31" t="s">
        <v>360</v>
      </c>
      <c r="BV135" s="40" t="s">
        <v>301</v>
      </c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</row>
    <row r="136" spans="1:190" ht="15.75" customHeight="1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>
        <v>134</v>
      </c>
      <c r="U136" s="94" t="s">
        <v>194</v>
      </c>
      <c r="V136" s="94" t="s">
        <v>195</v>
      </c>
      <c r="W136" s="94" t="s">
        <v>196</v>
      </c>
      <c r="X136" s="71" t="s">
        <v>1662</v>
      </c>
      <c r="Y136" s="71" t="s">
        <v>1663</v>
      </c>
      <c r="Z136" s="75" t="s">
        <v>1664</v>
      </c>
      <c r="AA136" s="32" t="s">
        <v>202</v>
      </c>
      <c r="AB136" s="32" t="s">
        <v>203</v>
      </c>
      <c r="AC136" s="32" t="s">
        <v>204</v>
      </c>
      <c r="AD136" s="31" t="s">
        <v>303</v>
      </c>
      <c r="AE136" s="31"/>
      <c r="AF136" s="31" t="s">
        <v>956</v>
      </c>
      <c r="AG136" s="31"/>
      <c r="AH136" s="31"/>
      <c r="AI136" s="31"/>
      <c r="AJ136" s="31"/>
      <c r="AK136" s="31"/>
      <c r="AL136" s="31"/>
      <c r="AM136" s="71" t="s">
        <v>1665</v>
      </c>
      <c r="AN136" s="72" t="s">
        <v>1666</v>
      </c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>
        <v>619</v>
      </c>
      <c r="BH136" s="31" t="s">
        <v>1667</v>
      </c>
      <c r="BI136" s="31"/>
      <c r="BJ136" s="31"/>
      <c r="BK136" s="31"/>
      <c r="BL136" s="31"/>
      <c r="BM136" s="31"/>
      <c r="BN136" s="31"/>
      <c r="BO136" s="31"/>
      <c r="BP136" s="31"/>
      <c r="BQ136" s="31"/>
      <c r="BR136" s="31">
        <v>4</v>
      </c>
      <c r="BS136" s="31"/>
      <c r="BT136" s="31">
        <v>2</v>
      </c>
      <c r="BU136" s="31" t="s">
        <v>194</v>
      </c>
      <c r="BV136" s="40" t="s">
        <v>779</v>
      </c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</row>
    <row r="137" spans="1:190" ht="15.75" customHeight="1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>
        <v>135</v>
      </c>
      <c r="U137" s="88" t="s">
        <v>194</v>
      </c>
      <c r="V137" s="88" t="s">
        <v>724</v>
      </c>
      <c r="W137" s="88" t="s">
        <v>809</v>
      </c>
      <c r="X137" s="71" t="s">
        <v>1668</v>
      </c>
      <c r="Y137" s="71" t="s">
        <v>1669</v>
      </c>
      <c r="Z137" s="72" t="s">
        <v>1670</v>
      </c>
      <c r="AA137" s="32" t="s">
        <v>202</v>
      </c>
      <c r="AB137" s="32" t="s">
        <v>725</v>
      </c>
      <c r="AC137" s="32" t="s">
        <v>813</v>
      </c>
      <c r="AD137" s="31" t="s">
        <v>303</v>
      </c>
      <c r="AE137" s="31"/>
      <c r="AF137" s="31" t="s">
        <v>929</v>
      </c>
      <c r="AG137" s="31"/>
      <c r="AH137" s="31"/>
      <c r="AI137" s="31"/>
      <c r="AJ137" s="31"/>
      <c r="AK137" s="31"/>
      <c r="AL137" s="31"/>
      <c r="AM137" s="71" t="s">
        <v>1671</v>
      </c>
      <c r="AN137" s="72" t="s">
        <v>1672</v>
      </c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>
        <v>620</v>
      </c>
      <c r="BH137" s="31" t="s">
        <v>1673</v>
      </c>
      <c r="BI137" s="31"/>
      <c r="BJ137" s="31"/>
      <c r="BK137" s="31"/>
      <c r="BL137" s="31"/>
      <c r="BM137" s="31"/>
      <c r="BN137" s="31"/>
      <c r="BO137" s="31"/>
      <c r="BP137" s="31"/>
      <c r="BQ137" s="31"/>
      <c r="BR137" s="31">
        <v>4</v>
      </c>
      <c r="BS137" s="31"/>
      <c r="BT137" s="31">
        <v>2</v>
      </c>
      <c r="BU137" s="31" t="s">
        <v>469</v>
      </c>
      <c r="BV137" s="40" t="s">
        <v>425</v>
      </c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</row>
    <row r="138" spans="1:190" ht="15.75" customHeight="1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>
        <v>136</v>
      </c>
      <c r="U138" s="94" t="s">
        <v>194</v>
      </c>
      <c r="V138" s="94" t="s">
        <v>729</v>
      </c>
      <c r="W138" s="94" t="s">
        <v>730</v>
      </c>
      <c r="X138" s="71" t="s">
        <v>1674</v>
      </c>
      <c r="Y138" s="71" t="s">
        <v>1675</v>
      </c>
      <c r="Z138" s="72" t="s">
        <v>1676</v>
      </c>
      <c r="AA138" s="32" t="s">
        <v>202</v>
      </c>
      <c r="AB138" s="32" t="s">
        <v>736</v>
      </c>
      <c r="AC138" s="32" t="s">
        <v>737</v>
      </c>
      <c r="AD138" s="31" t="s">
        <v>303</v>
      </c>
      <c r="AE138" s="31"/>
      <c r="AF138" s="31" t="s">
        <v>738</v>
      </c>
      <c r="AG138" s="31"/>
      <c r="AH138" s="31"/>
      <c r="AI138" s="31"/>
      <c r="AJ138" s="31"/>
      <c r="AK138" s="31"/>
      <c r="AL138" s="31"/>
      <c r="AM138" s="71" t="s">
        <v>1677</v>
      </c>
      <c r="AN138" s="72" t="s">
        <v>1678</v>
      </c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 t="s">
        <v>1322</v>
      </c>
      <c r="BH138" s="31" t="s">
        <v>1679</v>
      </c>
      <c r="BI138" s="31"/>
      <c r="BJ138" s="31"/>
      <c r="BK138" s="31"/>
      <c r="BL138" s="31"/>
      <c r="BM138" s="31"/>
      <c r="BN138" s="31"/>
      <c r="BO138" s="31"/>
      <c r="BP138" s="31"/>
      <c r="BQ138" s="31"/>
      <c r="BR138" s="31">
        <v>4</v>
      </c>
      <c r="BS138" s="31"/>
      <c r="BT138" s="31">
        <v>3</v>
      </c>
      <c r="BU138" s="31" t="s">
        <v>187</v>
      </c>
      <c r="BV138" s="40" t="s">
        <v>1680</v>
      </c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</row>
    <row r="139" spans="1:190" ht="15.75" customHeight="1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>
        <v>137</v>
      </c>
      <c r="U139" s="88" t="s">
        <v>187</v>
      </c>
      <c r="V139" s="88" t="s">
        <v>194</v>
      </c>
      <c r="W139" s="88" t="s">
        <v>294</v>
      </c>
      <c r="X139" s="71" t="s">
        <v>1681</v>
      </c>
      <c r="Y139" s="71" t="s">
        <v>1682</v>
      </c>
      <c r="Z139" s="72" t="s">
        <v>1683</v>
      </c>
      <c r="AA139" s="32" t="s">
        <v>286</v>
      </c>
      <c r="AB139" s="32" t="s">
        <v>419</v>
      </c>
      <c r="AC139" s="32" t="s">
        <v>698</v>
      </c>
      <c r="AD139" s="31" t="s">
        <v>1219</v>
      </c>
      <c r="AE139" s="31" t="s">
        <v>303</v>
      </c>
      <c r="AF139" s="31" t="s">
        <v>665</v>
      </c>
      <c r="AG139" s="31"/>
      <c r="AH139" s="31"/>
      <c r="AI139" s="31"/>
      <c r="AJ139" s="31"/>
      <c r="AK139" s="31"/>
      <c r="AL139" s="31"/>
      <c r="AM139" s="71" t="s">
        <v>1684</v>
      </c>
      <c r="AN139" s="72" t="s">
        <v>1685</v>
      </c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>
        <v>701</v>
      </c>
      <c r="BH139" s="31" t="s">
        <v>1686</v>
      </c>
      <c r="BI139" s="31"/>
      <c r="BJ139" s="31"/>
      <c r="BK139" s="31"/>
      <c r="BL139" s="31"/>
      <c r="BM139" s="31"/>
      <c r="BN139" s="31"/>
      <c r="BO139" s="31"/>
      <c r="BP139" s="31"/>
      <c r="BQ139" s="31"/>
      <c r="BR139" s="31">
        <v>4</v>
      </c>
      <c r="BS139" s="31"/>
      <c r="BT139" s="31">
        <v>3</v>
      </c>
      <c r="BU139" s="31" t="s">
        <v>287</v>
      </c>
      <c r="BV139" s="40" t="s">
        <v>793</v>
      </c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</row>
    <row r="140" spans="1:190" ht="15.75" customHeight="1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>
        <v>138</v>
      </c>
      <c r="U140" s="94" t="s">
        <v>194</v>
      </c>
      <c r="V140" s="94" t="s">
        <v>729</v>
      </c>
      <c r="W140" s="94" t="s">
        <v>363</v>
      </c>
      <c r="X140" s="71" t="s">
        <v>1687</v>
      </c>
      <c r="Y140" s="71" t="s">
        <v>1688</v>
      </c>
      <c r="Z140" s="72" t="s">
        <v>358</v>
      </c>
      <c r="AA140" s="32" t="s">
        <v>202</v>
      </c>
      <c r="AB140" s="32" t="s">
        <v>736</v>
      </c>
      <c r="AC140" s="32" t="s">
        <v>303</v>
      </c>
      <c r="AD140" s="31"/>
      <c r="AE140" s="31"/>
      <c r="AF140" s="31" t="s">
        <v>738</v>
      </c>
      <c r="AG140" s="31"/>
      <c r="AH140" s="31"/>
      <c r="AI140" s="31"/>
      <c r="AJ140" s="31"/>
      <c r="AK140" s="31"/>
      <c r="AL140" s="31"/>
      <c r="AM140" s="71" t="s">
        <v>1689</v>
      </c>
      <c r="AN140" s="72" t="s">
        <v>1690</v>
      </c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>
        <v>702</v>
      </c>
      <c r="BH140" s="31" t="s">
        <v>1691</v>
      </c>
      <c r="BI140" s="31"/>
      <c r="BJ140" s="31"/>
      <c r="BK140" s="31"/>
      <c r="BL140" s="31"/>
      <c r="BM140" s="31"/>
      <c r="BN140" s="31"/>
      <c r="BO140" s="31"/>
      <c r="BP140" s="31"/>
      <c r="BQ140" s="31"/>
      <c r="BR140" s="31">
        <v>4</v>
      </c>
      <c r="BS140" s="31"/>
      <c r="BT140" s="31">
        <v>3</v>
      </c>
      <c r="BU140" s="31" t="s">
        <v>360</v>
      </c>
      <c r="BV140" s="40" t="s">
        <v>952</v>
      </c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</row>
    <row r="141" spans="1:190" ht="15.75" customHeight="1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>
        <v>139</v>
      </c>
      <c r="U141" s="88" t="s">
        <v>194</v>
      </c>
      <c r="V141" s="88" t="s">
        <v>195</v>
      </c>
      <c r="W141" s="88" t="s">
        <v>196</v>
      </c>
      <c r="X141" s="71" t="s">
        <v>1692</v>
      </c>
      <c r="Y141" s="71" t="s">
        <v>1693</v>
      </c>
      <c r="Z141" s="72" t="s">
        <v>1694</v>
      </c>
      <c r="AA141" s="32" t="s">
        <v>202</v>
      </c>
      <c r="AB141" s="32" t="s">
        <v>203</v>
      </c>
      <c r="AC141" s="32" t="s">
        <v>204</v>
      </c>
      <c r="AD141" s="31" t="s">
        <v>205</v>
      </c>
      <c r="AE141" s="31" t="s">
        <v>206</v>
      </c>
      <c r="AF141" s="31" t="s">
        <v>207</v>
      </c>
      <c r="AG141" s="31"/>
      <c r="AH141" s="31"/>
      <c r="AI141" s="31"/>
      <c r="AJ141" s="31"/>
      <c r="AK141" s="31"/>
      <c r="AL141" s="31"/>
      <c r="AM141" s="71" t="s">
        <v>1695</v>
      </c>
      <c r="AN141" s="72" t="s">
        <v>1696</v>
      </c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>
        <v>703</v>
      </c>
      <c r="BH141" s="31" t="s">
        <v>1697</v>
      </c>
      <c r="BI141" s="31"/>
      <c r="BJ141" s="31"/>
      <c r="BK141" s="31"/>
      <c r="BL141" s="31"/>
      <c r="BM141" s="31"/>
      <c r="BN141" s="31"/>
      <c r="BO141" s="31"/>
      <c r="BP141" s="31"/>
      <c r="BQ141" s="31"/>
      <c r="BR141" s="31">
        <v>4</v>
      </c>
      <c r="BS141" s="31"/>
      <c r="BT141" s="31">
        <v>3</v>
      </c>
      <c r="BU141" s="31" t="s">
        <v>194</v>
      </c>
      <c r="BV141" s="40" t="s">
        <v>961</v>
      </c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</row>
    <row r="142" spans="1:190" ht="15.75" customHeight="1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>
        <v>140</v>
      </c>
      <c r="U142" s="94" t="s">
        <v>194</v>
      </c>
      <c r="V142" s="94" t="s">
        <v>724</v>
      </c>
      <c r="W142" s="94" t="s">
        <v>789</v>
      </c>
      <c r="X142" s="71" t="s">
        <v>1698</v>
      </c>
      <c r="Y142" s="71" t="s">
        <v>1699</v>
      </c>
      <c r="Z142" s="75" t="s">
        <v>1700</v>
      </c>
      <c r="AA142" s="32" t="s">
        <v>202</v>
      </c>
      <c r="AB142" s="32" t="s">
        <v>725</v>
      </c>
      <c r="AC142" s="32" t="s">
        <v>793</v>
      </c>
      <c r="AD142" s="31" t="s">
        <v>794</v>
      </c>
      <c r="AE142" s="31" t="s">
        <v>303</v>
      </c>
      <c r="AF142" s="31" t="s">
        <v>688</v>
      </c>
      <c r="AG142" s="31"/>
      <c r="AH142" s="31"/>
      <c r="AI142" s="31"/>
      <c r="AJ142" s="31"/>
      <c r="AK142" s="31"/>
      <c r="AL142" s="31"/>
      <c r="AM142" s="71" t="s">
        <v>1701</v>
      </c>
      <c r="AN142" s="72" t="s">
        <v>1702</v>
      </c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>
        <v>704</v>
      </c>
      <c r="BH142" s="31" t="s">
        <v>1703</v>
      </c>
      <c r="BI142" s="31"/>
      <c r="BJ142" s="31"/>
      <c r="BK142" s="31"/>
      <c r="BL142" s="31"/>
      <c r="BM142" s="31"/>
      <c r="BN142" s="31"/>
      <c r="BO142" s="31"/>
      <c r="BP142" s="31"/>
      <c r="BQ142" s="31"/>
      <c r="BR142" s="31">
        <v>4</v>
      </c>
      <c r="BS142" s="31"/>
      <c r="BT142" s="31">
        <v>4</v>
      </c>
      <c r="BU142" s="31" t="s">
        <v>187</v>
      </c>
      <c r="BV142" s="40" t="s">
        <v>885</v>
      </c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</row>
    <row r="143" spans="1:190" ht="15.75" customHeight="1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>
        <v>141</v>
      </c>
      <c r="U143" s="88" t="s">
        <v>187</v>
      </c>
      <c r="V143" s="88" t="s">
        <v>287</v>
      </c>
      <c r="W143" s="88" t="s">
        <v>469</v>
      </c>
      <c r="X143" s="71" t="s">
        <v>1704</v>
      </c>
      <c r="Y143" s="71" t="s">
        <v>1705</v>
      </c>
      <c r="Z143" s="72" t="s">
        <v>1706</v>
      </c>
      <c r="AA143" s="32" t="s">
        <v>286</v>
      </c>
      <c r="AB143" s="32" t="s">
        <v>290</v>
      </c>
      <c r="AC143" s="32" t="s">
        <v>473</v>
      </c>
      <c r="AD143" s="31" t="s">
        <v>1102</v>
      </c>
      <c r="AE143" s="31" t="s">
        <v>303</v>
      </c>
      <c r="AF143" s="31" t="s">
        <v>539</v>
      </c>
      <c r="AG143" s="31"/>
      <c r="AH143" s="31"/>
      <c r="AI143" s="31"/>
      <c r="AJ143" s="31"/>
      <c r="AK143" s="31"/>
      <c r="AL143" s="31"/>
      <c r="AM143" s="71" t="s">
        <v>1707</v>
      </c>
      <c r="AN143" s="72" t="s">
        <v>1708</v>
      </c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>
        <v>705</v>
      </c>
      <c r="BH143" s="31" t="s">
        <v>1709</v>
      </c>
      <c r="BI143" s="31"/>
      <c r="BJ143" s="31"/>
      <c r="BK143" s="31"/>
      <c r="BL143" s="31"/>
      <c r="BM143" s="31"/>
      <c r="BN143" s="31"/>
      <c r="BO143" s="31"/>
      <c r="BP143" s="31"/>
      <c r="BQ143" s="31"/>
      <c r="BR143" s="31">
        <v>4</v>
      </c>
      <c r="BS143" s="31"/>
      <c r="BT143" s="31">
        <v>4</v>
      </c>
      <c r="BU143" s="31" t="s">
        <v>287</v>
      </c>
      <c r="BV143" s="40" t="s">
        <v>737</v>
      </c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</row>
    <row r="144" spans="1:190" ht="15.75" customHeight="1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>
        <v>142</v>
      </c>
      <c r="U144" s="94" t="s">
        <v>360</v>
      </c>
      <c r="V144" s="94" t="s">
        <v>600</v>
      </c>
      <c r="W144" s="94" t="s">
        <v>839</v>
      </c>
      <c r="X144" s="71" t="s">
        <v>1710</v>
      </c>
      <c r="Y144" s="71" t="s">
        <v>1711</v>
      </c>
      <c r="Z144" s="127" t="s">
        <v>1712</v>
      </c>
      <c r="AA144" s="32" t="s">
        <v>418</v>
      </c>
      <c r="AB144" s="32" t="s">
        <v>605</v>
      </c>
      <c r="AC144" s="130" t="s">
        <v>840</v>
      </c>
      <c r="AD144" s="31" t="s">
        <v>303</v>
      </c>
      <c r="AE144" s="31"/>
      <c r="AF144" s="31" t="s">
        <v>1274</v>
      </c>
      <c r="AG144" s="31"/>
      <c r="AH144" s="31"/>
      <c r="AI144" s="31"/>
      <c r="AJ144" s="31"/>
      <c r="AK144" s="31"/>
      <c r="AL144" s="31"/>
      <c r="AM144" s="71" t="s">
        <v>1713</v>
      </c>
      <c r="AN144" s="93" t="s">
        <v>1714</v>
      </c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>
        <v>706</v>
      </c>
      <c r="BH144" s="31" t="s">
        <v>1715</v>
      </c>
      <c r="BI144" s="31"/>
      <c r="BJ144" s="31"/>
      <c r="BK144" s="31"/>
      <c r="BL144" s="31"/>
      <c r="BM144" s="31"/>
      <c r="BN144" s="31"/>
      <c r="BO144" s="31"/>
      <c r="BP144" s="31"/>
      <c r="BQ144" s="31"/>
      <c r="BR144" s="31">
        <v>4</v>
      </c>
      <c r="BS144" s="31"/>
      <c r="BT144" s="31">
        <v>4</v>
      </c>
      <c r="BU144" s="31" t="s">
        <v>360</v>
      </c>
      <c r="BV144" s="40" t="s">
        <v>901</v>
      </c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</row>
    <row r="145" spans="1:190" ht="15.75" customHeight="1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>
        <v>143</v>
      </c>
      <c r="U145" s="88" t="s">
        <v>194</v>
      </c>
      <c r="V145" s="88" t="s">
        <v>195</v>
      </c>
      <c r="W145" s="88" t="s">
        <v>196</v>
      </c>
      <c r="X145" s="71" t="s">
        <v>1716</v>
      </c>
      <c r="Y145" s="71" t="s">
        <v>1717</v>
      </c>
      <c r="Z145" s="72" t="s">
        <v>1718</v>
      </c>
      <c r="AA145" s="32" t="s">
        <v>202</v>
      </c>
      <c r="AB145" s="32" t="s">
        <v>203</v>
      </c>
      <c r="AC145" s="32" t="s">
        <v>204</v>
      </c>
      <c r="AD145" s="31" t="s">
        <v>205</v>
      </c>
      <c r="AE145" s="31" t="s">
        <v>206</v>
      </c>
      <c r="AF145" s="31" t="s">
        <v>207</v>
      </c>
      <c r="AG145" s="31"/>
      <c r="AH145" s="31"/>
      <c r="AI145" s="31"/>
      <c r="AJ145" s="31"/>
      <c r="AK145" s="31"/>
      <c r="AL145" s="31"/>
      <c r="AM145" s="71" t="s">
        <v>1719</v>
      </c>
      <c r="AN145" s="93" t="s">
        <v>1720</v>
      </c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>
        <v>707</v>
      </c>
      <c r="BH145" s="31" t="s">
        <v>1721</v>
      </c>
      <c r="BI145" s="31"/>
      <c r="BJ145" s="31"/>
      <c r="BK145" s="31"/>
      <c r="BL145" s="31"/>
      <c r="BM145" s="31"/>
      <c r="BN145" s="31"/>
      <c r="BO145" s="31"/>
      <c r="BP145" s="31"/>
      <c r="BQ145" s="31"/>
      <c r="BR145" s="31">
        <v>4</v>
      </c>
      <c r="BS145" s="31"/>
      <c r="BT145" s="31">
        <v>4</v>
      </c>
      <c r="BU145" s="31" t="s">
        <v>469</v>
      </c>
      <c r="BV145" s="40" t="s">
        <v>736</v>
      </c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</row>
    <row r="146" spans="1:190" ht="15.75" customHeight="1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>
        <v>144</v>
      </c>
      <c r="U146" s="94" t="s">
        <v>187</v>
      </c>
      <c r="V146" s="94" t="s">
        <v>561</v>
      </c>
      <c r="W146" s="94" t="s">
        <v>787</v>
      </c>
      <c r="X146" s="71" t="s">
        <v>1722</v>
      </c>
      <c r="Y146" s="71" t="s">
        <v>1723</v>
      </c>
      <c r="Z146" s="72" t="s">
        <v>1724</v>
      </c>
      <c r="AA146" s="32" t="s">
        <v>286</v>
      </c>
      <c r="AB146" s="32" t="s">
        <v>562</v>
      </c>
      <c r="AC146" s="32" t="s">
        <v>788</v>
      </c>
      <c r="AD146" s="31" t="s">
        <v>1725</v>
      </c>
      <c r="AE146" s="31" t="s">
        <v>303</v>
      </c>
      <c r="AF146" s="31" t="s">
        <v>1463</v>
      </c>
      <c r="AG146" s="31"/>
      <c r="AH146" s="31"/>
      <c r="AI146" s="31"/>
      <c r="AJ146" s="31"/>
      <c r="AK146" s="31"/>
      <c r="AL146" s="31"/>
      <c r="AM146" s="71" t="s">
        <v>1726</v>
      </c>
      <c r="AN146" s="93" t="s">
        <v>1727</v>
      </c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>
        <v>708</v>
      </c>
      <c r="BH146" s="31" t="s">
        <v>1728</v>
      </c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</row>
    <row r="147" spans="1:190" ht="15.75" customHeight="1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>
        <v>145</v>
      </c>
      <c r="U147" s="88" t="s">
        <v>194</v>
      </c>
      <c r="V147" s="88" t="s">
        <v>294</v>
      </c>
      <c r="W147" s="88" t="s">
        <v>911</v>
      </c>
      <c r="X147" s="71" t="s">
        <v>1729</v>
      </c>
      <c r="Y147" s="71" t="s">
        <v>1730</v>
      </c>
      <c r="Z147" s="72" t="s">
        <v>1481</v>
      </c>
      <c r="AA147" s="32" t="s">
        <v>202</v>
      </c>
      <c r="AB147" s="32" t="s">
        <v>300</v>
      </c>
      <c r="AC147" s="32" t="s">
        <v>912</v>
      </c>
      <c r="AD147" s="31" t="s">
        <v>303</v>
      </c>
      <c r="AE147" s="31"/>
      <c r="AF147" s="31" t="s">
        <v>1122</v>
      </c>
      <c r="AG147" s="31"/>
      <c r="AH147" s="31"/>
      <c r="AI147" s="31"/>
      <c r="AJ147" s="31"/>
      <c r="AK147" s="31"/>
      <c r="AL147" s="31"/>
      <c r="AM147" s="71" t="s">
        <v>1731</v>
      </c>
      <c r="AN147" s="75" t="s">
        <v>1732</v>
      </c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>
        <v>709</v>
      </c>
      <c r="BH147" s="31" t="s">
        <v>1733</v>
      </c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</row>
    <row r="148" spans="1:190" ht="15.75" customHeight="1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>
        <v>146</v>
      </c>
      <c r="U148" s="94" t="s">
        <v>187</v>
      </c>
      <c r="V148" s="94" t="s">
        <v>469</v>
      </c>
      <c r="W148" s="94" t="s">
        <v>474</v>
      </c>
      <c r="X148" s="71" t="s">
        <v>1734</v>
      </c>
      <c r="Y148" s="71" t="s">
        <v>1735</v>
      </c>
      <c r="Z148" s="72" t="s">
        <v>1736</v>
      </c>
      <c r="AA148" s="32" t="s">
        <v>286</v>
      </c>
      <c r="AB148" s="32" t="s">
        <v>470</v>
      </c>
      <c r="AC148" s="32" t="s">
        <v>480</v>
      </c>
      <c r="AD148" s="31" t="s">
        <v>947</v>
      </c>
      <c r="AE148" s="31" t="s">
        <v>303</v>
      </c>
      <c r="AF148" s="31" t="s">
        <v>798</v>
      </c>
      <c r="AG148" s="31"/>
      <c r="AH148" s="31"/>
      <c r="AI148" s="31"/>
      <c r="AJ148" s="31"/>
      <c r="AK148" s="31"/>
      <c r="AL148" s="31"/>
      <c r="AM148" s="121"/>
      <c r="AN148" s="75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>
        <v>710</v>
      </c>
      <c r="BH148" s="31" t="s">
        <v>1737</v>
      </c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</row>
    <row r="149" spans="1:190" ht="15.75" customHeight="1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>
        <v>147</v>
      </c>
      <c r="U149" s="88" t="s">
        <v>187</v>
      </c>
      <c r="V149" s="88" t="s">
        <v>561</v>
      </c>
      <c r="W149" s="88" t="s">
        <v>787</v>
      </c>
      <c r="X149" s="71" t="s">
        <v>1738</v>
      </c>
      <c r="Y149" s="71" t="s">
        <v>1739</v>
      </c>
      <c r="Z149" s="75" t="s">
        <v>1740</v>
      </c>
      <c r="AA149" s="32" t="s">
        <v>286</v>
      </c>
      <c r="AB149" s="32" t="s">
        <v>562</v>
      </c>
      <c r="AC149" s="32" t="s">
        <v>788</v>
      </c>
      <c r="AD149" s="31" t="s">
        <v>303</v>
      </c>
      <c r="AE149" s="31"/>
      <c r="AF149" s="31" t="s">
        <v>922</v>
      </c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>
        <v>711</v>
      </c>
      <c r="BH149" s="31" t="s">
        <v>1741</v>
      </c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</row>
    <row r="150" spans="1:190" ht="15.75" customHeight="1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>
        <v>148</v>
      </c>
      <c r="U150" s="94" t="s">
        <v>187</v>
      </c>
      <c r="V150" s="94" t="s">
        <v>194</v>
      </c>
      <c r="W150" s="94" t="s">
        <v>294</v>
      </c>
      <c r="X150" s="71" t="s">
        <v>1742</v>
      </c>
      <c r="Y150" s="71" t="s">
        <v>1743</v>
      </c>
      <c r="Z150" s="75" t="s">
        <v>1744</v>
      </c>
      <c r="AA150" s="32" t="s">
        <v>286</v>
      </c>
      <c r="AB150" s="32" t="s">
        <v>419</v>
      </c>
      <c r="AC150" s="32" t="s">
        <v>698</v>
      </c>
      <c r="AD150" s="31" t="s">
        <v>1745</v>
      </c>
      <c r="AE150" s="31" t="s">
        <v>1746</v>
      </c>
      <c r="AF150" s="31" t="s">
        <v>994</v>
      </c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>
        <v>712</v>
      </c>
      <c r="BH150" s="31" t="s">
        <v>1747</v>
      </c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</row>
    <row r="151" spans="1:190" ht="15.75" customHeight="1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>
        <v>149</v>
      </c>
      <c r="U151" s="88" t="s">
        <v>187</v>
      </c>
      <c r="V151" s="88" t="s">
        <v>287</v>
      </c>
      <c r="W151" s="88" t="s">
        <v>595</v>
      </c>
      <c r="X151" s="71" t="s">
        <v>1748</v>
      </c>
      <c r="Y151" s="71" t="s">
        <v>1749</v>
      </c>
      <c r="Z151" s="75" t="s">
        <v>1750</v>
      </c>
      <c r="AA151" s="32" t="s">
        <v>286</v>
      </c>
      <c r="AB151" s="32" t="s">
        <v>290</v>
      </c>
      <c r="AC151" s="32" t="s">
        <v>599</v>
      </c>
      <c r="AD151" s="31" t="s">
        <v>303</v>
      </c>
      <c r="AE151" s="31"/>
      <c r="AF151" s="31" t="s">
        <v>1051</v>
      </c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>
        <v>713</v>
      </c>
      <c r="BH151" s="31" t="s">
        <v>1751</v>
      </c>
      <c r="BI151" s="31"/>
      <c r="BJ151" s="31"/>
      <c r="BK151" s="31"/>
      <c r="BL151" s="31"/>
      <c r="BM151" s="31"/>
      <c r="BN151" s="31"/>
      <c r="BO151" s="31"/>
      <c r="BP151" s="31"/>
      <c r="BQ151" s="31"/>
      <c r="BR151" s="42" t="s">
        <v>1752</v>
      </c>
      <c r="BS151" s="31"/>
      <c r="BT151" s="42" t="s">
        <v>1753</v>
      </c>
      <c r="BU151" s="42" t="s">
        <v>1754</v>
      </c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</row>
    <row r="152" spans="1:190" ht="15.75" customHeight="1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>
        <v>150</v>
      </c>
      <c r="U152" s="31" t="s">
        <v>194</v>
      </c>
      <c r="V152" s="31" t="s">
        <v>195</v>
      </c>
      <c r="W152" s="31" t="s">
        <v>196</v>
      </c>
      <c r="X152" s="75" t="s">
        <v>1755</v>
      </c>
      <c r="Y152" s="71" t="s">
        <v>1756</v>
      </c>
      <c r="Z152" s="75" t="s">
        <v>1757</v>
      </c>
      <c r="AA152" s="32" t="s">
        <v>202</v>
      </c>
      <c r="AB152" s="32" t="s">
        <v>203</v>
      </c>
      <c r="AC152" s="32" t="s">
        <v>204</v>
      </c>
      <c r="AD152" s="31" t="s">
        <v>205</v>
      </c>
      <c r="AE152" s="31" t="s">
        <v>206</v>
      </c>
      <c r="AF152" s="31" t="s">
        <v>207</v>
      </c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>
        <v>714</v>
      </c>
      <c r="BH152" s="31" t="s">
        <v>1758</v>
      </c>
      <c r="BI152" s="31"/>
      <c r="BJ152" s="31"/>
      <c r="BK152" s="31"/>
      <c r="BL152" s="31"/>
      <c r="BM152" s="31"/>
      <c r="BN152" s="31"/>
      <c r="BO152" s="31"/>
      <c r="BP152" s="31"/>
      <c r="BQ152" s="31"/>
      <c r="BR152" s="75" t="s">
        <v>1753</v>
      </c>
      <c r="BS152" s="31"/>
      <c r="BT152" s="75">
        <v>1</v>
      </c>
      <c r="BU152" s="75">
        <v>11</v>
      </c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</row>
    <row r="153" spans="1:190" ht="15.75" customHeight="1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>
        <v>151</v>
      </c>
      <c r="U153" s="31" t="s">
        <v>187</v>
      </c>
      <c r="V153" s="31" t="s">
        <v>363</v>
      </c>
      <c r="W153" s="31" t="s">
        <v>363</v>
      </c>
      <c r="X153" s="71" t="s">
        <v>1759</v>
      </c>
      <c r="Y153" s="71" t="s">
        <v>1760</v>
      </c>
      <c r="Z153" s="75" t="s">
        <v>1761</v>
      </c>
      <c r="AA153" s="32" t="s">
        <v>286</v>
      </c>
      <c r="AB153" s="32" t="s">
        <v>303</v>
      </c>
      <c r="AC153" s="32"/>
      <c r="AD153" s="31"/>
      <c r="AE153" s="31"/>
      <c r="AF153" s="31" t="s">
        <v>286</v>
      </c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>
        <v>715</v>
      </c>
      <c r="BH153" s="31" t="s">
        <v>1762</v>
      </c>
      <c r="BI153" s="31"/>
      <c r="BJ153" s="31"/>
      <c r="BK153" s="31"/>
      <c r="BL153" s="31"/>
      <c r="BM153" s="31"/>
      <c r="BN153" s="31"/>
      <c r="BO153" s="31"/>
      <c r="BP153" s="31"/>
      <c r="BQ153" s="31"/>
      <c r="BR153" s="75" t="s">
        <v>1754</v>
      </c>
      <c r="BS153" s="31"/>
      <c r="BT153" s="75">
        <v>2</v>
      </c>
      <c r="BU153" s="75">
        <v>12</v>
      </c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</row>
    <row r="154" spans="1:190" ht="15.75" customHeight="1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>
        <v>152</v>
      </c>
      <c r="U154" s="31" t="s">
        <v>187</v>
      </c>
      <c r="V154" s="31" t="s">
        <v>287</v>
      </c>
      <c r="W154" s="31" t="s">
        <v>469</v>
      </c>
      <c r="X154" s="71" t="s">
        <v>1763</v>
      </c>
      <c r="Y154" s="71" t="s">
        <v>1764</v>
      </c>
      <c r="Z154" s="75" t="s">
        <v>1765</v>
      </c>
      <c r="AA154" s="32" t="s">
        <v>286</v>
      </c>
      <c r="AB154" s="32" t="s">
        <v>290</v>
      </c>
      <c r="AC154" s="32" t="s">
        <v>473</v>
      </c>
      <c r="AD154" s="31" t="s">
        <v>1102</v>
      </c>
      <c r="AE154" s="31" t="s">
        <v>303</v>
      </c>
      <c r="AF154" s="31" t="s">
        <v>539</v>
      </c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>
        <v>716</v>
      </c>
      <c r="BH154" s="31" t="s">
        <v>1766</v>
      </c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75">
        <v>3</v>
      </c>
      <c r="BU154" s="75">
        <v>13</v>
      </c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</row>
    <row r="155" spans="1:190" ht="15.75" customHeight="1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>
        <v>153</v>
      </c>
      <c r="U155" s="31" t="s">
        <v>360</v>
      </c>
      <c r="V155" s="31" t="s">
        <v>647</v>
      </c>
      <c r="W155" s="31" t="s">
        <v>848</v>
      </c>
      <c r="X155" s="71" t="s">
        <v>1767</v>
      </c>
      <c r="Y155" s="71" t="s">
        <v>1768</v>
      </c>
      <c r="Z155" s="75" t="s">
        <v>1769</v>
      </c>
      <c r="AA155" s="32" t="s">
        <v>418</v>
      </c>
      <c r="AB155" s="32" t="s">
        <v>648</v>
      </c>
      <c r="AC155" s="32" t="s">
        <v>849</v>
      </c>
      <c r="AD155" s="31" t="s">
        <v>303</v>
      </c>
      <c r="AE155" s="31"/>
      <c r="AF155" s="31" t="s">
        <v>1152</v>
      </c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>
        <v>717</v>
      </c>
      <c r="BH155" s="31" t="s">
        <v>1770</v>
      </c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75">
        <v>4</v>
      </c>
      <c r="BU155" s="75">
        <v>14</v>
      </c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</row>
    <row r="156" spans="1:190" ht="15.75" customHeight="1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>
        <v>154</v>
      </c>
      <c r="U156" s="31" t="s">
        <v>194</v>
      </c>
      <c r="V156" s="31" t="s">
        <v>729</v>
      </c>
      <c r="W156" s="31" t="s">
        <v>970</v>
      </c>
      <c r="X156" s="76" t="s">
        <v>1771</v>
      </c>
      <c r="Y156" s="73" t="s">
        <v>1772</v>
      </c>
      <c r="Z156" s="31" t="s">
        <v>415</v>
      </c>
      <c r="AA156" s="32" t="s">
        <v>202</v>
      </c>
      <c r="AB156" s="32" t="s">
        <v>736</v>
      </c>
      <c r="AC156" s="32" t="s">
        <v>885</v>
      </c>
      <c r="AD156" s="31" t="s">
        <v>1451</v>
      </c>
      <c r="AE156" s="31" t="s">
        <v>303</v>
      </c>
      <c r="AF156" s="31" t="s">
        <v>1384</v>
      </c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>
        <v>718</v>
      </c>
      <c r="BH156" s="31" t="s">
        <v>1773</v>
      </c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75">
        <v>15</v>
      </c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</row>
    <row r="157" spans="1:190" ht="15.75" customHeight="1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>
        <v>155</v>
      </c>
      <c r="U157" s="31" t="s">
        <v>187</v>
      </c>
      <c r="V157" s="31" t="s">
        <v>287</v>
      </c>
      <c r="W157" s="31" t="s">
        <v>469</v>
      </c>
      <c r="X157" s="31" t="s">
        <v>1774</v>
      </c>
      <c r="Y157" s="31" t="s">
        <v>1775</v>
      </c>
      <c r="Z157" s="31" t="s">
        <v>1776</v>
      </c>
      <c r="AA157" s="32" t="s">
        <v>286</v>
      </c>
      <c r="AB157" s="32" t="s">
        <v>290</v>
      </c>
      <c r="AC157" s="32" t="s">
        <v>473</v>
      </c>
      <c r="AD157" s="31" t="s">
        <v>1102</v>
      </c>
      <c r="AE157" s="31" t="s">
        <v>303</v>
      </c>
      <c r="AF157" s="31" t="s">
        <v>539</v>
      </c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>
        <v>719</v>
      </c>
      <c r="BH157" s="31" t="s">
        <v>1777</v>
      </c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</row>
    <row r="158" spans="1:190" ht="15.75" customHeight="1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>
        <v>156</v>
      </c>
      <c r="U158" s="31" t="s">
        <v>194</v>
      </c>
      <c r="V158" s="31" t="s">
        <v>294</v>
      </c>
      <c r="W158" s="31" t="s">
        <v>363</v>
      </c>
      <c r="X158" s="31" t="s">
        <v>1778</v>
      </c>
      <c r="Y158" s="31" t="s">
        <v>1779</v>
      </c>
      <c r="Z158" s="31" t="s">
        <v>1780</v>
      </c>
      <c r="AA158" s="32" t="s">
        <v>202</v>
      </c>
      <c r="AB158" s="32" t="s">
        <v>300</v>
      </c>
      <c r="AC158" s="32" t="s">
        <v>303</v>
      </c>
      <c r="AD158" s="31"/>
      <c r="AE158" s="31"/>
      <c r="AF158" s="31" t="s">
        <v>1206</v>
      </c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>
        <v>720</v>
      </c>
      <c r="BH158" s="31" t="s">
        <v>1781</v>
      </c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</row>
    <row r="159" spans="1:190" ht="15.75" customHeight="1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>
        <v>157</v>
      </c>
      <c r="U159" s="31" t="s">
        <v>194</v>
      </c>
      <c r="V159" s="31" t="s">
        <v>724</v>
      </c>
      <c r="W159" s="31" t="s">
        <v>363</v>
      </c>
      <c r="X159" s="31" t="s">
        <v>1782</v>
      </c>
      <c r="Y159" s="31" t="s">
        <v>1783</v>
      </c>
      <c r="Z159" s="31" t="s">
        <v>1784</v>
      </c>
      <c r="AA159" s="32" t="s">
        <v>202</v>
      </c>
      <c r="AB159" s="32" t="s">
        <v>725</v>
      </c>
      <c r="AC159" s="32" t="s">
        <v>303</v>
      </c>
      <c r="AD159" s="31"/>
      <c r="AE159" s="31"/>
      <c r="AF159" s="31" t="s">
        <v>725</v>
      </c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>
        <v>721</v>
      </c>
      <c r="BH159" s="31" t="s">
        <v>1785</v>
      </c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</row>
    <row r="160" spans="1:190" ht="15.75" customHeight="1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>
        <v>158</v>
      </c>
      <c r="U160" s="31" t="s">
        <v>360</v>
      </c>
      <c r="V160" s="31" t="s">
        <v>647</v>
      </c>
      <c r="W160" s="31" t="s">
        <v>848</v>
      </c>
      <c r="X160" s="31" t="s">
        <v>1786</v>
      </c>
      <c r="Y160" s="31" t="s">
        <v>1787</v>
      </c>
      <c r="Z160" s="31" t="s">
        <v>1788</v>
      </c>
      <c r="AA160" s="32" t="s">
        <v>418</v>
      </c>
      <c r="AB160" s="32" t="s">
        <v>648</v>
      </c>
      <c r="AC160" s="32" t="s">
        <v>849</v>
      </c>
      <c r="AD160" s="31" t="s">
        <v>303</v>
      </c>
      <c r="AE160" s="31"/>
      <c r="AF160" s="31" t="s">
        <v>1152</v>
      </c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>
        <v>722</v>
      </c>
      <c r="BH160" s="31" t="s">
        <v>1789</v>
      </c>
      <c r="BI160" s="31"/>
      <c r="BJ160" s="31"/>
      <c r="BK160" s="31"/>
      <c r="BL160" s="31"/>
      <c r="BM160" s="31"/>
      <c r="BN160" s="31"/>
      <c r="BO160" s="31"/>
      <c r="BP160" s="31"/>
      <c r="BQ160" s="31"/>
      <c r="BR160" s="31" t="s">
        <v>1754</v>
      </c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</row>
    <row r="161" spans="1:190" ht="15.75" customHeight="1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>
        <v>159</v>
      </c>
      <c r="U161" s="31" t="s">
        <v>187</v>
      </c>
      <c r="V161" s="31" t="s">
        <v>194</v>
      </c>
      <c r="W161" s="31" t="s">
        <v>363</v>
      </c>
      <c r="X161" s="31" t="s">
        <v>1790</v>
      </c>
      <c r="Y161" s="31" t="s">
        <v>1791</v>
      </c>
      <c r="Z161" s="31" t="s">
        <v>1792</v>
      </c>
      <c r="AA161" s="32" t="s">
        <v>286</v>
      </c>
      <c r="AB161" s="32" t="s">
        <v>419</v>
      </c>
      <c r="AC161" s="32" t="s">
        <v>303</v>
      </c>
      <c r="AD161" s="31"/>
      <c r="AE161" s="31"/>
      <c r="AF161" s="31" t="s">
        <v>1304</v>
      </c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>
        <v>723</v>
      </c>
      <c r="BH161" s="31" t="s">
        <v>1793</v>
      </c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</row>
    <row r="162" spans="1:190" ht="15.75" customHeight="1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>
        <v>160</v>
      </c>
      <c r="U162" s="31" t="s">
        <v>187</v>
      </c>
      <c r="V162" s="31" t="s">
        <v>287</v>
      </c>
      <c r="W162" s="31" t="s">
        <v>469</v>
      </c>
      <c r="X162" s="31" t="s">
        <v>1794</v>
      </c>
      <c r="Y162" s="31" t="s">
        <v>1795</v>
      </c>
      <c r="Z162" s="31" t="s">
        <v>1796</v>
      </c>
      <c r="AA162" s="32" t="s">
        <v>286</v>
      </c>
      <c r="AB162" s="32" t="s">
        <v>290</v>
      </c>
      <c r="AC162" s="32" t="s">
        <v>473</v>
      </c>
      <c r="AD162" s="31" t="s">
        <v>1646</v>
      </c>
      <c r="AE162" s="31" t="s">
        <v>303</v>
      </c>
      <c r="AF162" s="31" t="s">
        <v>489</v>
      </c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>
        <v>724</v>
      </c>
      <c r="BH162" s="31" t="s">
        <v>1797</v>
      </c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</row>
    <row r="163" spans="1:190" ht="15.75" customHeight="1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>
        <v>161</v>
      </c>
      <c r="U163" s="31" t="s">
        <v>194</v>
      </c>
      <c r="V163" s="31" t="s">
        <v>294</v>
      </c>
      <c r="W163" s="31" t="s">
        <v>902</v>
      </c>
      <c r="X163" s="31" t="s">
        <v>1798</v>
      </c>
      <c r="Y163" s="31" t="s">
        <v>1799</v>
      </c>
      <c r="Z163" s="31" t="s">
        <v>1800</v>
      </c>
      <c r="AA163" s="32" t="s">
        <v>202</v>
      </c>
      <c r="AB163" s="32" t="s">
        <v>300</v>
      </c>
      <c r="AC163" s="32" t="s">
        <v>903</v>
      </c>
      <c r="AD163" s="31" t="s">
        <v>1801</v>
      </c>
      <c r="AE163" s="31" t="s">
        <v>303</v>
      </c>
      <c r="AF163" s="31" t="s">
        <v>1130</v>
      </c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>
        <v>725</v>
      </c>
      <c r="BH163" s="31" t="s">
        <v>1802</v>
      </c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</row>
    <row r="164" spans="1:190" ht="15.75" customHeight="1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>
        <v>162</v>
      </c>
      <c r="U164" s="31" t="s">
        <v>194</v>
      </c>
      <c r="V164" s="31" t="s">
        <v>195</v>
      </c>
      <c r="W164" s="31" t="s">
        <v>196</v>
      </c>
      <c r="X164" s="31" t="s">
        <v>1803</v>
      </c>
      <c r="Y164" s="31" t="s">
        <v>1804</v>
      </c>
      <c r="Z164" s="31" t="s">
        <v>1805</v>
      </c>
      <c r="AA164" s="32" t="s">
        <v>202</v>
      </c>
      <c r="AB164" s="32" t="s">
        <v>203</v>
      </c>
      <c r="AC164" s="32" t="s">
        <v>204</v>
      </c>
      <c r="AD164" s="31" t="s">
        <v>205</v>
      </c>
      <c r="AE164" s="31" t="s">
        <v>897</v>
      </c>
      <c r="AF164" s="31" t="s">
        <v>207</v>
      </c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>
        <v>726</v>
      </c>
      <c r="BH164" s="31" t="s">
        <v>1806</v>
      </c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</row>
    <row r="165" spans="1:190" ht="15.75" customHeight="1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>
        <v>163</v>
      </c>
      <c r="U165" s="31" t="s">
        <v>187</v>
      </c>
      <c r="V165" s="31" t="s">
        <v>194</v>
      </c>
      <c r="W165" s="31" t="s">
        <v>294</v>
      </c>
      <c r="X165" s="31" t="s">
        <v>1807</v>
      </c>
      <c r="Y165" s="31" t="s">
        <v>1808</v>
      </c>
      <c r="Z165" s="31" t="s">
        <v>1809</v>
      </c>
      <c r="AA165" s="32" t="s">
        <v>286</v>
      </c>
      <c r="AB165" s="32" t="s">
        <v>419</v>
      </c>
      <c r="AC165" s="32" t="s">
        <v>698</v>
      </c>
      <c r="AD165" s="31" t="s">
        <v>834</v>
      </c>
      <c r="AE165" s="31" t="s">
        <v>303</v>
      </c>
      <c r="AF165" s="31" t="s">
        <v>786</v>
      </c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 t="s">
        <v>1395</v>
      </c>
      <c r="BH165" s="31" t="s">
        <v>1810</v>
      </c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</row>
    <row r="166" spans="1:190" ht="15.75" customHeight="1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>
        <v>164</v>
      </c>
      <c r="U166" s="31" t="s">
        <v>287</v>
      </c>
      <c r="V166" s="31" t="s">
        <v>595</v>
      </c>
      <c r="W166" s="31" t="s">
        <v>807</v>
      </c>
      <c r="X166" s="31" t="s">
        <v>1811</v>
      </c>
      <c r="Y166" s="31" t="s">
        <v>1812</v>
      </c>
      <c r="Z166" s="31" t="s">
        <v>1813</v>
      </c>
      <c r="AA166" s="32" t="s">
        <v>359</v>
      </c>
      <c r="AB166" s="32" t="s">
        <v>598</v>
      </c>
      <c r="AC166" s="32" t="s">
        <v>808</v>
      </c>
      <c r="AD166" s="31" t="s">
        <v>303</v>
      </c>
      <c r="AE166" s="31"/>
      <c r="AF166" s="31" t="s">
        <v>1036</v>
      </c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>
        <v>801</v>
      </c>
      <c r="BH166" s="31" t="s">
        <v>1814</v>
      </c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</row>
    <row r="167" spans="1:190" ht="15.75" customHeight="1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>
        <v>165</v>
      </c>
      <c r="U167" s="31" t="s">
        <v>194</v>
      </c>
      <c r="V167" s="31" t="s">
        <v>195</v>
      </c>
      <c r="W167" s="31" t="s">
        <v>196</v>
      </c>
      <c r="X167" s="31" t="s">
        <v>1815</v>
      </c>
      <c r="Y167" s="31" t="s">
        <v>1816</v>
      </c>
      <c r="Z167" s="31" t="s">
        <v>1817</v>
      </c>
      <c r="AA167" s="32" t="s">
        <v>202</v>
      </c>
      <c r="AB167" s="32" t="s">
        <v>203</v>
      </c>
      <c r="AC167" s="32" t="s">
        <v>204</v>
      </c>
      <c r="AD167" s="31" t="s">
        <v>205</v>
      </c>
      <c r="AE167" s="31" t="s">
        <v>206</v>
      </c>
      <c r="AF167" s="31" t="s">
        <v>207</v>
      </c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>
        <v>802</v>
      </c>
      <c r="BH167" s="31" t="s">
        <v>1818</v>
      </c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</row>
    <row r="168" spans="1:190" ht="15.75" customHeight="1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>
        <v>166</v>
      </c>
      <c r="U168" s="31" t="s">
        <v>194</v>
      </c>
      <c r="V168" s="31" t="s">
        <v>294</v>
      </c>
      <c r="W168" s="31" t="s">
        <v>422</v>
      </c>
      <c r="X168" s="31" t="s">
        <v>1819</v>
      </c>
      <c r="Y168" s="31" t="s">
        <v>1820</v>
      </c>
      <c r="Z168" s="31" t="s">
        <v>349</v>
      </c>
      <c r="AA168" s="32" t="s">
        <v>202</v>
      </c>
      <c r="AB168" s="32" t="s">
        <v>300</v>
      </c>
      <c r="AC168" s="32" t="s">
        <v>425</v>
      </c>
      <c r="AD168" s="31" t="s">
        <v>303</v>
      </c>
      <c r="AE168" s="31"/>
      <c r="AF168" s="31" t="s">
        <v>426</v>
      </c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>
        <v>803</v>
      </c>
      <c r="BH168" s="31" t="s">
        <v>1821</v>
      </c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</row>
    <row r="169" spans="1:190" ht="15.75" customHeight="1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>
        <v>167</v>
      </c>
      <c r="U169" s="31" t="s">
        <v>194</v>
      </c>
      <c r="V169" s="31" t="s">
        <v>724</v>
      </c>
      <c r="W169" s="31" t="s">
        <v>951</v>
      </c>
      <c r="X169" s="31" t="s">
        <v>1822</v>
      </c>
      <c r="Y169" s="31" t="s">
        <v>1823</v>
      </c>
      <c r="Z169" s="31" t="s">
        <v>1824</v>
      </c>
      <c r="AA169" s="32" t="s">
        <v>202</v>
      </c>
      <c r="AB169" s="32" t="s">
        <v>725</v>
      </c>
      <c r="AC169" s="32" t="s">
        <v>952</v>
      </c>
      <c r="AD169" s="31" t="s">
        <v>303</v>
      </c>
      <c r="AE169" s="31"/>
      <c r="AF169" s="31" t="s">
        <v>990</v>
      </c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>
        <v>804</v>
      </c>
      <c r="BH169" s="31" t="s">
        <v>1825</v>
      </c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</row>
    <row r="170" spans="1:190" ht="15.75" customHeight="1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>
        <v>168</v>
      </c>
      <c r="U170" s="31" t="s">
        <v>187</v>
      </c>
      <c r="V170" s="31" t="s">
        <v>287</v>
      </c>
      <c r="W170" s="31" t="s">
        <v>469</v>
      </c>
      <c r="X170" s="31" t="s">
        <v>1826</v>
      </c>
      <c r="Y170" s="31" t="s">
        <v>1827</v>
      </c>
      <c r="Z170" s="31" t="s">
        <v>1828</v>
      </c>
      <c r="AA170" s="32" t="s">
        <v>286</v>
      </c>
      <c r="AB170" s="32" t="s">
        <v>290</v>
      </c>
      <c r="AC170" s="32" t="s">
        <v>473</v>
      </c>
      <c r="AD170" s="31" t="s">
        <v>1646</v>
      </c>
      <c r="AE170" s="31" t="s">
        <v>303</v>
      </c>
      <c r="AF170" s="31" t="s">
        <v>489</v>
      </c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>
        <v>805</v>
      </c>
      <c r="BH170" s="31" t="s">
        <v>1829</v>
      </c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</row>
    <row r="171" spans="1:190" ht="15.75" customHeight="1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>
        <v>169</v>
      </c>
      <c r="U171" s="31" t="s">
        <v>194</v>
      </c>
      <c r="V171" s="31" t="s">
        <v>294</v>
      </c>
      <c r="W171" s="31" t="s">
        <v>295</v>
      </c>
      <c r="X171" s="31" t="s">
        <v>1830</v>
      </c>
      <c r="Y171" s="31" t="s">
        <v>1831</v>
      </c>
      <c r="Z171" s="31" t="s">
        <v>411</v>
      </c>
      <c r="AA171" s="32" t="s">
        <v>202</v>
      </c>
      <c r="AB171" s="32" t="s">
        <v>300</v>
      </c>
      <c r="AC171" s="32" t="s">
        <v>301</v>
      </c>
      <c r="AD171" s="31" t="s">
        <v>1832</v>
      </c>
      <c r="AE171" s="31" t="s">
        <v>303</v>
      </c>
      <c r="AF171" s="31" t="s">
        <v>1140</v>
      </c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>
        <v>806</v>
      </c>
      <c r="BH171" s="31" t="s">
        <v>1833</v>
      </c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</row>
    <row r="172" spans="1:190" ht="15.75" customHeight="1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>
        <v>170</v>
      </c>
      <c r="U172" s="31" t="s">
        <v>194</v>
      </c>
      <c r="V172" s="31" t="s">
        <v>729</v>
      </c>
      <c r="W172" s="31" t="s">
        <v>987</v>
      </c>
      <c r="X172" s="31" t="s">
        <v>1834</v>
      </c>
      <c r="Y172" s="31" t="s">
        <v>1835</v>
      </c>
      <c r="Z172" s="31" t="s">
        <v>1836</v>
      </c>
      <c r="AA172" s="32" t="s">
        <v>202</v>
      </c>
      <c r="AB172" s="32" t="s">
        <v>736</v>
      </c>
      <c r="AC172" s="32" t="s">
        <v>901</v>
      </c>
      <c r="AD172" s="31" t="s">
        <v>303</v>
      </c>
      <c r="AE172" s="31"/>
      <c r="AF172" s="31" t="s">
        <v>1201</v>
      </c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>
        <v>807</v>
      </c>
      <c r="BH172" s="31" t="s">
        <v>1837</v>
      </c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</row>
    <row r="173" spans="1:190" ht="15.75" customHeight="1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>
        <v>171</v>
      </c>
      <c r="U173" s="31" t="s">
        <v>194</v>
      </c>
      <c r="V173" s="31" t="s">
        <v>724</v>
      </c>
      <c r="W173" s="31" t="s">
        <v>789</v>
      </c>
      <c r="X173" s="31" t="s">
        <v>1838</v>
      </c>
      <c r="Y173" s="31" t="s">
        <v>1839</v>
      </c>
      <c r="Z173" s="31" t="s">
        <v>414</v>
      </c>
      <c r="AA173" s="32" t="s">
        <v>202</v>
      </c>
      <c r="AB173" s="32" t="s">
        <v>725</v>
      </c>
      <c r="AC173" s="32" t="s">
        <v>793</v>
      </c>
      <c r="AD173" s="31" t="s">
        <v>303</v>
      </c>
      <c r="AE173" s="31"/>
      <c r="AF173" s="31" t="s">
        <v>760</v>
      </c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>
        <v>808</v>
      </c>
      <c r="BH173" s="31" t="s">
        <v>1840</v>
      </c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</row>
    <row r="174" spans="1:190" ht="15.75" customHeight="1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>
        <v>172</v>
      </c>
      <c r="U174" s="31" t="s">
        <v>194</v>
      </c>
      <c r="V174" s="31" t="s">
        <v>195</v>
      </c>
      <c r="W174" s="31" t="s">
        <v>363</v>
      </c>
      <c r="X174" s="31" t="s">
        <v>1841</v>
      </c>
      <c r="Y174" s="31" t="s">
        <v>1842</v>
      </c>
      <c r="Z174" s="31" t="s">
        <v>1843</v>
      </c>
      <c r="AA174" s="32" t="s">
        <v>202</v>
      </c>
      <c r="AB174" s="32" t="s">
        <v>203</v>
      </c>
      <c r="AC174" s="32" t="s">
        <v>303</v>
      </c>
      <c r="AD174" s="31"/>
      <c r="AE174" s="31"/>
      <c r="AF174" s="31" t="s">
        <v>203</v>
      </c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>
        <v>809</v>
      </c>
      <c r="BH174" s="31" t="s">
        <v>1844</v>
      </c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</row>
    <row r="175" spans="1:190" ht="15.75" customHeight="1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>
        <v>173</v>
      </c>
      <c r="U175" s="31" t="s">
        <v>194</v>
      </c>
      <c r="V175" s="31" t="s">
        <v>195</v>
      </c>
      <c r="W175" s="31" t="s">
        <v>196</v>
      </c>
      <c r="X175" s="31" t="s">
        <v>1845</v>
      </c>
      <c r="Y175" s="31" t="s">
        <v>1846</v>
      </c>
      <c r="Z175" s="31" t="s">
        <v>1847</v>
      </c>
      <c r="AA175" s="32" t="s">
        <v>202</v>
      </c>
      <c r="AB175" s="32" t="s">
        <v>203</v>
      </c>
      <c r="AC175" s="32" t="s">
        <v>204</v>
      </c>
      <c r="AD175" s="31" t="s">
        <v>1517</v>
      </c>
      <c r="AE175" s="31" t="s">
        <v>303</v>
      </c>
      <c r="AF175" s="31" t="s">
        <v>1198</v>
      </c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>
        <v>810</v>
      </c>
      <c r="BH175" s="31" t="s">
        <v>1848</v>
      </c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</row>
    <row r="176" spans="1:190" ht="15.75" customHeight="1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>
        <v>174</v>
      </c>
      <c r="U176" s="31" t="s">
        <v>187</v>
      </c>
      <c r="V176" s="31" t="s">
        <v>360</v>
      </c>
      <c r="W176" s="31" t="s">
        <v>647</v>
      </c>
      <c r="X176" s="31" t="s">
        <v>1849</v>
      </c>
      <c r="Y176" s="31" t="s">
        <v>1850</v>
      </c>
      <c r="Z176" s="31" t="s">
        <v>1851</v>
      </c>
      <c r="AA176" s="32" t="s">
        <v>286</v>
      </c>
      <c r="AB176" s="32" t="s">
        <v>361</v>
      </c>
      <c r="AC176" s="32" t="s">
        <v>651</v>
      </c>
      <c r="AD176" s="31" t="s">
        <v>303</v>
      </c>
      <c r="AE176" s="31"/>
      <c r="AF176" s="31" t="s">
        <v>1237</v>
      </c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>
        <v>811</v>
      </c>
      <c r="BH176" s="31" t="s">
        <v>1852</v>
      </c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</row>
    <row r="177" spans="1:190" ht="15.75" customHeight="1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>
        <v>175</v>
      </c>
      <c r="U177" s="31" t="s">
        <v>194</v>
      </c>
      <c r="V177" s="31" t="s">
        <v>195</v>
      </c>
      <c r="W177" s="31" t="s">
        <v>196</v>
      </c>
      <c r="X177" s="31" t="s">
        <v>1853</v>
      </c>
      <c r="Y177" s="31" t="s">
        <v>1854</v>
      </c>
      <c r="Z177" s="31" t="s">
        <v>1855</v>
      </c>
      <c r="AA177" s="32" t="s">
        <v>202</v>
      </c>
      <c r="AB177" s="32" t="s">
        <v>203</v>
      </c>
      <c r="AC177" s="32" t="s">
        <v>204</v>
      </c>
      <c r="AD177" s="31" t="s">
        <v>205</v>
      </c>
      <c r="AE177" s="31" t="s">
        <v>897</v>
      </c>
      <c r="AF177" s="31" t="s">
        <v>207</v>
      </c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>
        <v>812</v>
      </c>
      <c r="BH177" s="31" t="s">
        <v>1856</v>
      </c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</row>
    <row r="178" spans="1:190" ht="15.75" customHeight="1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>
        <v>176</v>
      </c>
      <c r="U178" s="31" t="s">
        <v>194</v>
      </c>
      <c r="V178" s="31" t="s">
        <v>294</v>
      </c>
      <c r="W178" s="31" t="s">
        <v>902</v>
      </c>
      <c r="X178" s="31" t="s">
        <v>1857</v>
      </c>
      <c r="Y178" s="31" t="s">
        <v>1858</v>
      </c>
      <c r="Z178" s="31" t="s">
        <v>1859</v>
      </c>
      <c r="AA178" s="32" t="s">
        <v>202</v>
      </c>
      <c r="AB178" s="32" t="s">
        <v>300</v>
      </c>
      <c r="AC178" s="32" t="s">
        <v>903</v>
      </c>
      <c r="AD178" s="31" t="s">
        <v>303</v>
      </c>
      <c r="AE178" s="31"/>
      <c r="AF178" s="31" t="s">
        <v>999</v>
      </c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>
        <v>813</v>
      </c>
      <c r="BH178" s="31" t="s">
        <v>1860</v>
      </c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</row>
    <row r="179" spans="1:190" ht="15.75" customHeight="1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>
        <v>177</v>
      </c>
      <c r="U179" s="31" t="s">
        <v>194</v>
      </c>
      <c r="V179" s="31" t="s">
        <v>729</v>
      </c>
      <c r="W179" s="31" t="s">
        <v>730</v>
      </c>
      <c r="X179" s="31" t="s">
        <v>1861</v>
      </c>
      <c r="Y179" s="31" t="s">
        <v>1862</v>
      </c>
      <c r="Z179" s="31" t="s">
        <v>1863</v>
      </c>
      <c r="AA179" s="32" t="s">
        <v>202</v>
      </c>
      <c r="AB179" s="32" t="s">
        <v>736</v>
      </c>
      <c r="AC179" s="32" t="s">
        <v>737</v>
      </c>
      <c r="AD179" s="31" t="s">
        <v>303</v>
      </c>
      <c r="AE179" s="31"/>
      <c r="AF179" s="31" t="s">
        <v>738</v>
      </c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>
        <v>814</v>
      </c>
      <c r="BH179" s="31" t="s">
        <v>1864</v>
      </c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</row>
    <row r="180" spans="1:190" ht="15.75" customHeight="1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>
        <v>178</v>
      </c>
      <c r="U180" s="31" t="s">
        <v>187</v>
      </c>
      <c r="V180" s="31" t="s">
        <v>561</v>
      </c>
      <c r="W180" s="31" t="s">
        <v>787</v>
      </c>
      <c r="X180" s="31" t="s">
        <v>1865</v>
      </c>
      <c r="Y180" s="31" t="s">
        <v>1866</v>
      </c>
      <c r="Z180" s="31" t="s">
        <v>1867</v>
      </c>
      <c r="AA180" s="32" t="s">
        <v>286</v>
      </c>
      <c r="AB180" s="32" t="s">
        <v>562</v>
      </c>
      <c r="AC180" s="32" t="s">
        <v>788</v>
      </c>
      <c r="AD180" s="31" t="s">
        <v>1725</v>
      </c>
      <c r="AE180" s="31" t="s">
        <v>303</v>
      </c>
      <c r="AF180" s="31" t="s">
        <v>1463</v>
      </c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>
        <v>815</v>
      </c>
      <c r="BH180" s="31" t="s">
        <v>1868</v>
      </c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</row>
    <row r="181" spans="1:190" ht="15.75" customHeight="1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>
        <v>179</v>
      </c>
      <c r="U181" s="31" t="s">
        <v>187</v>
      </c>
      <c r="V181" s="31" t="s">
        <v>520</v>
      </c>
      <c r="W181" s="31" t="s">
        <v>767</v>
      </c>
      <c r="X181" s="31" t="s">
        <v>1869</v>
      </c>
      <c r="Y181" s="31" t="s">
        <v>1870</v>
      </c>
      <c r="Z181" s="31" t="s">
        <v>1871</v>
      </c>
      <c r="AA181" s="32" t="s">
        <v>286</v>
      </c>
      <c r="AB181" s="32" t="s">
        <v>521</v>
      </c>
      <c r="AC181" s="32" t="s">
        <v>768</v>
      </c>
      <c r="AD181" s="31" t="s">
        <v>303</v>
      </c>
      <c r="AE181" s="31"/>
      <c r="AF181" s="31" t="s">
        <v>853</v>
      </c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>
        <v>816</v>
      </c>
      <c r="BH181" s="31" t="s">
        <v>1872</v>
      </c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</row>
    <row r="182" spans="1:190" ht="15.75" customHeight="1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>
        <v>180</v>
      </c>
      <c r="U182" s="31" t="s">
        <v>187</v>
      </c>
      <c r="V182" s="31" t="s">
        <v>520</v>
      </c>
      <c r="W182" s="31" t="s">
        <v>767</v>
      </c>
      <c r="X182" s="31" t="s">
        <v>1873</v>
      </c>
      <c r="Y182" s="31" t="s">
        <v>1874</v>
      </c>
      <c r="Z182" s="31" t="s">
        <v>1875</v>
      </c>
      <c r="AA182" s="32" t="s">
        <v>286</v>
      </c>
      <c r="AB182" s="32" t="s">
        <v>521</v>
      </c>
      <c r="AC182" s="32" t="s">
        <v>768</v>
      </c>
      <c r="AD182" s="31" t="s">
        <v>303</v>
      </c>
      <c r="AE182" s="31"/>
      <c r="AF182" s="31" t="s">
        <v>853</v>
      </c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>
        <v>817</v>
      </c>
      <c r="BH182" s="31" t="s">
        <v>1876</v>
      </c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</row>
    <row r="183" spans="1:190" ht="15.75" customHeight="1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>
        <v>181</v>
      </c>
      <c r="U183" s="31" t="s">
        <v>194</v>
      </c>
      <c r="V183" s="31" t="s">
        <v>195</v>
      </c>
      <c r="W183" s="31" t="s">
        <v>196</v>
      </c>
      <c r="X183" s="31" t="s">
        <v>1877</v>
      </c>
      <c r="Y183" s="31" t="s">
        <v>1878</v>
      </c>
      <c r="Z183" s="31" t="s">
        <v>1879</v>
      </c>
      <c r="AA183" s="32" t="s">
        <v>202</v>
      </c>
      <c r="AB183" s="32" t="s">
        <v>203</v>
      </c>
      <c r="AC183" s="32" t="s">
        <v>204</v>
      </c>
      <c r="AD183" s="31" t="s">
        <v>205</v>
      </c>
      <c r="AE183" s="31" t="s">
        <v>897</v>
      </c>
      <c r="AF183" s="31" t="s">
        <v>207</v>
      </c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>
        <v>818</v>
      </c>
      <c r="BH183" s="31" t="s">
        <v>1880</v>
      </c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</row>
    <row r="184" spans="1:190" ht="15.75" customHeight="1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>
        <v>182</v>
      </c>
      <c r="U184" s="31" t="s">
        <v>360</v>
      </c>
      <c r="V184" s="31" t="s">
        <v>647</v>
      </c>
      <c r="W184" s="31" t="s">
        <v>867</v>
      </c>
      <c r="X184" s="31" t="s">
        <v>1881</v>
      </c>
      <c r="Y184" s="31" t="s">
        <v>1882</v>
      </c>
      <c r="Z184" s="31" t="s">
        <v>1883</v>
      </c>
      <c r="AA184" s="32" t="s">
        <v>418</v>
      </c>
      <c r="AB184" s="32" t="s">
        <v>648</v>
      </c>
      <c r="AC184" s="32" t="s">
        <v>868</v>
      </c>
      <c r="AD184" s="31" t="s">
        <v>1161</v>
      </c>
      <c r="AE184" s="31" t="s">
        <v>303</v>
      </c>
      <c r="AF184" s="31" t="s">
        <v>1162</v>
      </c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>
        <v>819</v>
      </c>
      <c r="BH184" s="31" t="s">
        <v>1884</v>
      </c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</row>
    <row r="185" spans="1:190" ht="15.75" customHeight="1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>
        <v>183</v>
      </c>
      <c r="U185" s="31" t="s">
        <v>194</v>
      </c>
      <c r="V185" s="31" t="s">
        <v>195</v>
      </c>
      <c r="W185" s="31" t="s">
        <v>196</v>
      </c>
      <c r="X185" s="31" t="s">
        <v>1885</v>
      </c>
      <c r="Y185" s="31" t="s">
        <v>1886</v>
      </c>
      <c r="Z185" s="31" t="s">
        <v>1887</v>
      </c>
      <c r="AA185" s="32" t="s">
        <v>202</v>
      </c>
      <c r="AB185" s="32" t="s">
        <v>203</v>
      </c>
      <c r="AC185" s="32" t="s">
        <v>204</v>
      </c>
      <c r="AD185" s="31" t="s">
        <v>1888</v>
      </c>
      <c r="AE185" s="31" t="s">
        <v>1889</v>
      </c>
      <c r="AF185" s="31" t="s">
        <v>1216</v>
      </c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>
        <v>820</v>
      </c>
      <c r="BH185" s="31" t="s">
        <v>1890</v>
      </c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</row>
    <row r="186" spans="1:190" ht="15.75" customHeight="1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>
        <v>184</v>
      </c>
      <c r="U186" s="31" t="s">
        <v>187</v>
      </c>
      <c r="V186" s="31" t="s">
        <v>520</v>
      </c>
      <c r="W186" s="31" t="s">
        <v>767</v>
      </c>
      <c r="X186" s="31" t="s">
        <v>1891</v>
      </c>
      <c r="Y186" s="31" t="s">
        <v>1892</v>
      </c>
      <c r="Z186" s="31" t="s">
        <v>1893</v>
      </c>
      <c r="AA186" s="32" t="s">
        <v>286</v>
      </c>
      <c r="AB186" s="32" t="s">
        <v>521</v>
      </c>
      <c r="AC186" s="32" t="s">
        <v>768</v>
      </c>
      <c r="AD186" s="31" t="s">
        <v>303</v>
      </c>
      <c r="AE186" s="31"/>
      <c r="AF186" s="31" t="s">
        <v>853</v>
      </c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>
        <v>821</v>
      </c>
      <c r="BH186" s="31" t="s">
        <v>1894</v>
      </c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</row>
    <row r="187" spans="1:190" ht="15.75" customHeight="1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>
        <v>185</v>
      </c>
      <c r="U187" s="31" t="s">
        <v>187</v>
      </c>
      <c r="V187" s="31" t="s">
        <v>194</v>
      </c>
      <c r="W187" s="31" t="s">
        <v>195</v>
      </c>
      <c r="X187" s="31" t="s">
        <v>1895</v>
      </c>
      <c r="Y187" s="31" t="s">
        <v>1896</v>
      </c>
      <c r="Z187" s="31" t="s">
        <v>1897</v>
      </c>
      <c r="AA187" s="32" t="s">
        <v>286</v>
      </c>
      <c r="AB187" s="32" t="s">
        <v>419</v>
      </c>
      <c r="AC187" s="32" t="s">
        <v>675</v>
      </c>
      <c r="AD187" s="31" t="s">
        <v>1134</v>
      </c>
      <c r="AE187" s="31" t="s">
        <v>1898</v>
      </c>
      <c r="AF187" s="31" t="s">
        <v>640</v>
      </c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>
        <v>822</v>
      </c>
      <c r="BH187" s="31" t="s">
        <v>1899</v>
      </c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</row>
    <row r="188" spans="1:190" ht="15.75" customHeight="1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>
        <v>186</v>
      </c>
      <c r="U188" s="31" t="s">
        <v>187</v>
      </c>
      <c r="V188" s="31" t="s">
        <v>287</v>
      </c>
      <c r="W188" s="31" t="s">
        <v>469</v>
      </c>
      <c r="X188" s="31" t="s">
        <v>1900</v>
      </c>
      <c r="Y188" s="31" t="s">
        <v>1901</v>
      </c>
      <c r="Z188" s="31" t="s">
        <v>1902</v>
      </c>
      <c r="AA188" s="32" t="s">
        <v>286</v>
      </c>
      <c r="AB188" s="32" t="s">
        <v>290</v>
      </c>
      <c r="AC188" s="32" t="s">
        <v>473</v>
      </c>
      <c r="AD188" s="31" t="s">
        <v>1646</v>
      </c>
      <c r="AE188" s="31" t="s">
        <v>303</v>
      </c>
      <c r="AF188" s="31" t="s">
        <v>489</v>
      </c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>
        <v>823</v>
      </c>
      <c r="BH188" s="31" t="s">
        <v>1903</v>
      </c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</row>
    <row r="189" spans="1:190" ht="15.75" customHeight="1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>
        <v>187</v>
      </c>
      <c r="U189" s="31" t="s">
        <v>194</v>
      </c>
      <c r="V189" s="31" t="s">
        <v>294</v>
      </c>
      <c r="W189" s="31" t="s">
        <v>295</v>
      </c>
      <c r="X189" s="31" t="s">
        <v>1904</v>
      </c>
      <c r="Y189" s="31" t="s">
        <v>1905</v>
      </c>
      <c r="Z189" s="31" t="s">
        <v>1906</v>
      </c>
      <c r="AA189" s="32" t="s">
        <v>202</v>
      </c>
      <c r="AB189" s="32" t="s">
        <v>300</v>
      </c>
      <c r="AC189" s="32" t="s">
        <v>301</v>
      </c>
      <c r="AD189" s="31" t="s">
        <v>1495</v>
      </c>
      <c r="AE189" s="31" t="s">
        <v>303</v>
      </c>
      <c r="AF189" s="31" t="s">
        <v>1157</v>
      </c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>
        <v>825</v>
      </c>
      <c r="BH189" s="31" t="s">
        <v>1907</v>
      </c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</row>
    <row r="190" spans="1:190" ht="15.75" customHeight="1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>
        <v>188</v>
      </c>
      <c r="U190" s="31" t="s">
        <v>187</v>
      </c>
      <c r="V190" s="31" t="s">
        <v>187</v>
      </c>
      <c r="W190" s="31" t="s">
        <v>187</v>
      </c>
      <c r="X190" s="31" t="s">
        <v>1908</v>
      </c>
      <c r="Y190" s="31" t="s">
        <v>1909</v>
      </c>
      <c r="Z190" s="31" t="s">
        <v>1910</v>
      </c>
      <c r="AA190" s="32" t="s">
        <v>286</v>
      </c>
      <c r="AB190" s="32" t="s">
        <v>190</v>
      </c>
      <c r="AC190" s="32" t="s">
        <v>193</v>
      </c>
      <c r="AD190" s="31" t="s">
        <v>1911</v>
      </c>
      <c r="AE190" s="31" t="s">
        <v>303</v>
      </c>
      <c r="AF190" s="31" t="s">
        <v>436</v>
      </c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>
        <v>826</v>
      </c>
      <c r="BH190" s="31" t="s">
        <v>1912</v>
      </c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</row>
    <row r="191" spans="1:190" ht="15.75" customHeight="1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>
        <v>189</v>
      </c>
      <c r="U191" s="31" t="s">
        <v>194</v>
      </c>
      <c r="V191" s="31" t="s">
        <v>724</v>
      </c>
      <c r="W191" s="31" t="s">
        <v>363</v>
      </c>
      <c r="X191" s="31" t="s">
        <v>1913</v>
      </c>
      <c r="Y191" s="31" t="s">
        <v>1914</v>
      </c>
      <c r="Z191" s="31" t="s">
        <v>1915</v>
      </c>
      <c r="AA191" s="32" t="s">
        <v>202</v>
      </c>
      <c r="AB191" s="32" t="s">
        <v>725</v>
      </c>
      <c r="AC191" s="32" t="s">
        <v>303</v>
      </c>
      <c r="AD191" s="31"/>
      <c r="AE191" s="31"/>
      <c r="AF191" s="31" t="s">
        <v>760</v>
      </c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>
        <v>827</v>
      </c>
      <c r="BH191" s="31" t="s">
        <v>1916</v>
      </c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</row>
    <row r="192" spans="1:190" ht="15.75" customHeight="1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>
        <v>190</v>
      </c>
      <c r="U192" s="31" t="s">
        <v>187</v>
      </c>
      <c r="V192" s="31" t="s">
        <v>287</v>
      </c>
      <c r="W192" s="31" t="s">
        <v>520</v>
      </c>
      <c r="X192" s="31" t="s">
        <v>1917</v>
      </c>
      <c r="Y192" s="31" t="s">
        <v>1918</v>
      </c>
      <c r="Z192" s="31" t="s">
        <v>1919</v>
      </c>
      <c r="AA192" s="32" t="s">
        <v>286</v>
      </c>
      <c r="AB192" s="32" t="s">
        <v>290</v>
      </c>
      <c r="AC192" s="32" t="s">
        <v>524</v>
      </c>
      <c r="AD192" s="31" t="s">
        <v>303</v>
      </c>
      <c r="AE192" s="31"/>
      <c r="AF192" s="31" t="s">
        <v>828</v>
      </c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>
        <v>828</v>
      </c>
      <c r="BH192" s="31" t="s">
        <v>1920</v>
      </c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</row>
    <row r="193" spans="1:190" ht="15.75" customHeight="1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>
        <v>191</v>
      </c>
      <c r="U193" s="31" t="s">
        <v>194</v>
      </c>
      <c r="V193" s="31" t="s">
        <v>294</v>
      </c>
      <c r="W193" s="31" t="s">
        <v>363</v>
      </c>
      <c r="X193" s="31" t="s">
        <v>1921</v>
      </c>
      <c r="Y193" s="31" t="s">
        <v>1922</v>
      </c>
      <c r="Z193" s="31" t="s">
        <v>1923</v>
      </c>
      <c r="AA193" s="32" t="s">
        <v>202</v>
      </c>
      <c r="AB193" s="32" t="s">
        <v>300</v>
      </c>
      <c r="AC193" s="32" t="s">
        <v>303</v>
      </c>
      <c r="AD193" s="31"/>
      <c r="AE193" s="31"/>
      <c r="AF193" s="31" t="s">
        <v>300</v>
      </c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 t="s">
        <v>741</v>
      </c>
      <c r="BH193" s="31" t="s">
        <v>1924</v>
      </c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</row>
    <row r="194" spans="1:190" ht="15.75" customHeight="1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>
        <v>192</v>
      </c>
      <c r="U194" s="31" t="s">
        <v>194</v>
      </c>
      <c r="V194" s="31" t="s">
        <v>294</v>
      </c>
      <c r="W194" s="31" t="s">
        <v>422</v>
      </c>
      <c r="X194" s="31" t="s">
        <v>1925</v>
      </c>
      <c r="Y194" s="31" t="s">
        <v>1926</v>
      </c>
      <c r="Z194" s="31" t="s">
        <v>1927</v>
      </c>
      <c r="AA194" s="32" t="s">
        <v>202</v>
      </c>
      <c r="AB194" s="32" t="s">
        <v>300</v>
      </c>
      <c r="AC194" s="32" t="s">
        <v>425</v>
      </c>
      <c r="AD194" s="31" t="s">
        <v>303</v>
      </c>
      <c r="AE194" s="31"/>
      <c r="AF194" s="31" t="s">
        <v>426</v>
      </c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 t="s">
        <v>1476</v>
      </c>
      <c r="BH194" s="31" t="s">
        <v>1928</v>
      </c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</row>
    <row r="195" spans="1:190" ht="15.75" customHeight="1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>
        <v>193</v>
      </c>
      <c r="U195" s="31" t="s">
        <v>194</v>
      </c>
      <c r="V195" s="31" t="s">
        <v>294</v>
      </c>
      <c r="W195" s="31" t="s">
        <v>911</v>
      </c>
      <c r="X195" s="31" t="s">
        <v>1929</v>
      </c>
      <c r="Y195" s="31" t="s">
        <v>1930</v>
      </c>
      <c r="Z195" s="31" t="s">
        <v>1491</v>
      </c>
      <c r="AA195" s="32" t="s">
        <v>202</v>
      </c>
      <c r="AB195" s="32" t="s">
        <v>300</v>
      </c>
      <c r="AC195" s="32" t="s">
        <v>912</v>
      </c>
      <c r="AD195" s="31" t="s">
        <v>303</v>
      </c>
      <c r="AE195" s="31"/>
      <c r="AF195" s="31" t="s">
        <v>1122</v>
      </c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 t="s">
        <v>1486</v>
      </c>
      <c r="BH195" s="31" t="s">
        <v>1931</v>
      </c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</row>
    <row r="196" spans="1:190" ht="15.75" customHeight="1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>
        <v>194</v>
      </c>
      <c r="U196" s="31" t="s">
        <v>194</v>
      </c>
      <c r="V196" s="31" t="s">
        <v>294</v>
      </c>
      <c r="W196" s="31" t="s">
        <v>776</v>
      </c>
      <c r="X196" s="31" t="s">
        <v>1932</v>
      </c>
      <c r="Y196" s="31" t="s">
        <v>1933</v>
      </c>
      <c r="Z196" s="31" t="s">
        <v>1934</v>
      </c>
      <c r="AA196" s="32" t="s">
        <v>202</v>
      </c>
      <c r="AB196" s="32" t="s">
        <v>300</v>
      </c>
      <c r="AC196" s="32" t="s">
        <v>779</v>
      </c>
      <c r="AD196" s="31" t="s">
        <v>1186</v>
      </c>
      <c r="AE196" s="31" t="s">
        <v>303</v>
      </c>
      <c r="AF196" s="31" t="s">
        <v>1107</v>
      </c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</row>
    <row r="197" spans="1:190" ht="15.75" customHeight="1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>
        <v>195</v>
      </c>
      <c r="U197" s="31" t="s">
        <v>194</v>
      </c>
      <c r="V197" s="31" t="s">
        <v>195</v>
      </c>
      <c r="W197" s="31" t="s">
        <v>196</v>
      </c>
      <c r="X197" s="31" t="s">
        <v>1935</v>
      </c>
      <c r="Y197" s="31" t="s">
        <v>1936</v>
      </c>
      <c r="Z197" s="31" t="s">
        <v>1937</v>
      </c>
      <c r="AA197" s="32" t="s">
        <v>202</v>
      </c>
      <c r="AB197" s="32" t="s">
        <v>203</v>
      </c>
      <c r="AC197" s="32" t="s">
        <v>204</v>
      </c>
      <c r="AD197" s="31" t="s">
        <v>982</v>
      </c>
      <c r="AE197" s="31" t="s">
        <v>303</v>
      </c>
      <c r="AF197" s="31" t="s">
        <v>983</v>
      </c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</row>
    <row r="198" spans="1:190" ht="15.75" customHeight="1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>
        <v>196</v>
      </c>
      <c r="U198" s="31" t="s">
        <v>194</v>
      </c>
      <c r="V198" s="31" t="s">
        <v>195</v>
      </c>
      <c r="W198" s="31" t="s">
        <v>196</v>
      </c>
      <c r="X198" s="31" t="s">
        <v>1938</v>
      </c>
      <c r="Y198" s="31" t="s">
        <v>1939</v>
      </c>
      <c r="Z198" s="31" t="s">
        <v>1940</v>
      </c>
      <c r="AA198" s="32" t="s">
        <v>202</v>
      </c>
      <c r="AB198" s="32" t="s">
        <v>203</v>
      </c>
      <c r="AC198" s="32" t="s">
        <v>204</v>
      </c>
      <c r="AD198" s="31" t="s">
        <v>205</v>
      </c>
      <c r="AE198" s="31" t="s">
        <v>1941</v>
      </c>
      <c r="AF198" s="31" t="s">
        <v>207</v>
      </c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</row>
    <row r="199" spans="1:190" ht="15.75" customHeight="1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>
        <v>197</v>
      </c>
      <c r="U199" s="31" t="s">
        <v>194</v>
      </c>
      <c r="V199" s="31" t="s">
        <v>724</v>
      </c>
      <c r="W199" s="31" t="s">
        <v>809</v>
      </c>
      <c r="X199" s="31" t="s">
        <v>1942</v>
      </c>
      <c r="Y199" s="31" t="s">
        <v>1943</v>
      </c>
      <c r="Z199" s="31" t="s">
        <v>512</v>
      </c>
      <c r="AA199" s="32" t="s">
        <v>202</v>
      </c>
      <c r="AB199" s="32" t="s">
        <v>725</v>
      </c>
      <c r="AC199" s="32" t="s">
        <v>813</v>
      </c>
      <c r="AD199" s="31" t="s">
        <v>814</v>
      </c>
      <c r="AE199" s="31" t="s">
        <v>303</v>
      </c>
      <c r="AF199" s="31" t="s">
        <v>815</v>
      </c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</row>
    <row r="200" spans="1:190" ht="15.75" customHeight="1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>
        <v>198</v>
      </c>
      <c r="U200" s="31" t="s">
        <v>194</v>
      </c>
      <c r="V200" s="31" t="s">
        <v>294</v>
      </c>
      <c r="W200" s="31" t="s">
        <v>776</v>
      </c>
      <c r="X200" s="31" t="s">
        <v>1944</v>
      </c>
      <c r="Y200" s="31" t="s">
        <v>1945</v>
      </c>
      <c r="Z200" s="31" t="s">
        <v>1946</v>
      </c>
      <c r="AA200" s="32" t="s">
        <v>202</v>
      </c>
      <c r="AB200" s="32" t="s">
        <v>300</v>
      </c>
      <c r="AC200" s="32" t="s">
        <v>779</v>
      </c>
      <c r="AD200" s="31" t="s">
        <v>780</v>
      </c>
      <c r="AE200" s="31" t="s">
        <v>303</v>
      </c>
      <c r="AF200" s="31" t="s">
        <v>781</v>
      </c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</row>
    <row r="201" spans="1:190" ht="15.75" customHeight="1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>
        <v>199</v>
      </c>
      <c r="U201" s="31" t="s">
        <v>194</v>
      </c>
      <c r="V201" s="31" t="s">
        <v>294</v>
      </c>
      <c r="W201" s="31" t="s">
        <v>911</v>
      </c>
      <c r="X201" s="31" t="s">
        <v>1947</v>
      </c>
      <c r="Y201" s="31" t="s">
        <v>1948</v>
      </c>
      <c r="Z201" s="31" t="s">
        <v>1499</v>
      </c>
      <c r="AA201" s="32" t="s">
        <v>202</v>
      </c>
      <c r="AB201" s="32" t="s">
        <v>300</v>
      </c>
      <c r="AC201" s="32" t="s">
        <v>912</v>
      </c>
      <c r="AD201" s="31" t="s">
        <v>1949</v>
      </c>
      <c r="AE201" s="31" t="s">
        <v>303</v>
      </c>
      <c r="AF201" s="31" t="s">
        <v>1090</v>
      </c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</row>
    <row r="202" spans="1:190" ht="15.75" customHeight="1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>
        <v>200</v>
      </c>
      <c r="U202" s="31" t="s">
        <v>194</v>
      </c>
      <c r="V202" s="31" t="s">
        <v>294</v>
      </c>
      <c r="W202" s="31" t="s">
        <v>902</v>
      </c>
      <c r="X202" s="31" t="s">
        <v>1950</v>
      </c>
      <c r="Y202" s="31" t="s">
        <v>1951</v>
      </c>
      <c r="Z202" s="31" t="s">
        <v>1952</v>
      </c>
      <c r="AA202" s="32" t="s">
        <v>202</v>
      </c>
      <c r="AB202" s="32" t="s">
        <v>300</v>
      </c>
      <c r="AC202" s="32" t="s">
        <v>903</v>
      </c>
      <c r="AD202" s="31" t="s">
        <v>1801</v>
      </c>
      <c r="AE202" s="31" t="s">
        <v>303</v>
      </c>
      <c r="AF202" s="31" t="s">
        <v>1130</v>
      </c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</row>
    <row r="203" spans="1:190" ht="15.75" customHeight="1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>
        <v>201</v>
      </c>
      <c r="U203" s="31" t="s">
        <v>194</v>
      </c>
      <c r="V203" s="31" t="s">
        <v>195</v>
      </c>
      <c r="W203" s="31" t="s">
        <v>196</v>
      </c>
      <c r="X203" s="31" t="s">
        <v>1953</v>
      </c>
      <c r="Y203" s="31" t="s">
        <v>1954</v>
      </c>
      <c r="Z203" s="31" t="s">
        <v>1955</v>
      </c>
      <c r="AA203" s="32" t="s">
        <v>202</v>
      </c>
      <c r="AB203" s="32" t="s">
        <v>203</v>
      </c>
      <c r="AC203" s="32" t="s">
        <v>204</v>
      </c>
      <c r="AD203" s="31" t="s">
        <v>982</v>
      </c>
      <c r="AE203" s="31" t="s">
        <v>303</v>
      </c>
      <c r="AF203" s="31" t="s">
        <v>983</v>
      </c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</row>
    <row r="204" spans="1:190" ht="15.75" customHeight="1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>
        <v>202</v>
      </c>
      <c r="U204" s="31" t="s">
        <v>187</v>
      </c>
      <c r="V204" s="31" t="s">
        <v>187</v>
      </c>
      <c r="W204" s="31" t="s">
        <v>363</v>
      </c>
      <c r="X204" s="31" t="s">
        <v>1956</v>
      </c>
      <c r="Y204" s="31" t="s">
        <v>1957</v>
      </c>
      <c r="Z204" s="31" t="s">
        <v>1464</v>
      </c>
      <c r="AA204" s="32" t="s">
        <v>286</v>
      </c>
      <c r="AB204" s="32" t="s">
        <v>190</v>
      </c>
      <c r="AC204" s="32" t="s">
        <v>303</v>
      </c>
      <c r="AD204" s="31"/>
      <c r="AE204" s="31"/>
      <c r="AF204" s="31" t="s">
        <v>571</v>
      </c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</row>
    <row r="205" spans="1:190" ht="15.75" customHeight="1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>
        <v>203</v>
      </c>
      <c r="U205" s="31" t="s">
        <v>194</v>
      </c>
      <c r="V205" s="31" t="s">
        <v>729</v>
      </c>
      <c r="W205" s="31" t="s">
        <v>730</v>
      </c>
      <c r="X205" s="31" t="s">
        <v>1958</v>
      </c>
      <c r="Y205" s="31" t="s">
        <v>1959</v>
      </c>
      <c r="Z205" s="31" t="s">
        <v>282</v>
      </c>
      <c r="AA205" s="32" t="s">
        <v>202</v>
      </c>
      <c r="AB205" s="32" t="s">
        <v>736</v>
      </c>
      <c r="AC205" s="32" t="s">
        <v>737</v>
      </c>
      <c r="AD205" s="31" t="s">
        <v>303</v>
      </c>
      <c r="AE205" s="31"/>
      <c r="AF205" s="31" t="s">
        <v>738</v>
      </c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</row>
    <row r="206" spans="1:190" ht="15.75" customHeight="1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>
        <v>204</v>
      </c>
      <c r="U206" s="31" t="s">
        <v>360</v>
      </c>
      <c r="V206" s="31" t="s">
        <v>647</v>
      </c>
      <c r="W206" s="31" t="s">
        <v>858</v>
      </c>
      <c r="X206" s="31" t="s">
        <v>1960</v>
      </c>
      <c r="Y206" s="31" t="s">
        <v>1961</v>
      </c>
      <c r="Z206" s="31" t="s">
        <v>1962</v>
      </c>
      <c r="AA206" s="32" t="s">
        <v>418</v>
      </c>
      <c r="AB206" s="32" t="s">
        <v>648</v>
      </c>
      <c r="AC206" s="32" t="s">
        <v>859</v>
      </c>
      <c r="AD206" s="31" t="s">
        <v>1963</v>
      </c>
      <c r="AE206" s="31" t="s">
        <v>303</v>
      </c>
      <c r="AF206" s="31" t="s">
        <v>1020</v>
      </c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</row>
    <row r="207" spans="1:190" ht="15.75" customHeight="1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>
        <v>205</v>
      </c>
      <c r="U207" s="31" t="s">
        <v>194</v>
      </c>
      <c r="V207" s="31" t="s">
        <v>363</v>
      </c>
      <c r="W207" s="31" t="s">
        <v>363</v>
      </c>
      <c r="X207" s="31" t="s">
        <v>1964</v>
      </c>
      <c r="Y207" s="31" t="s">
        <v>1965</v>
      </c>
      <c r="Z207" s="31" t="s">
        <v>1966</v>
      </c>
      <c r="AA207" s="32" t="s">
        <v>202</v>
      </c>
      <c r="AB207" s="32" t="s">
        <v>303</v>
      </c>
      <c r="AC207" s="32"/>
      <c r="AD207" s="31"/>
      <c r="AE207" s="31"/>
      <c r="AF207" s="31" t="s">
        <v>1490</v>
      </c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</row>
    <row r="208" spans="1:190" ht="15.75" customHeight="1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>
        <v>206</v>
      </c>
      <c r="U208" s="31" t="s">
        <v>194</v>
      </c>
      <c r="V208" s="31" t="s">
        <v>195</v>
      </c>
      <c r="W208" s="31" t="s">
        <v>196</v>
      </c>
      <c r="X208" s="31" t="s">
        <v>1967</v>
      </c>
      <c r="Y208" s="31" t="s">
        <v>1968</v>
      </c>
      <c r="Z208" s="31" t="s">
        <v>1969</v>
      </c>
      <c r="AA208" s="32" t="s">
        <v>202</v>
      </c>
      <c r="AB208" s="32" t="s">
        <v>203</v>
      </c>
      <c r="AC208" s="32" t="s">
        <v>204</v>
      </c>
      <c r="AD208" s="31" t="s">
        <v>1888</v>
      </c>
      <c r="AE208" s="31" t="s">
        <v>1889</v>
      </c>
      <c r="AF208" s="31" t="s">
        <v>1216</v>
      </c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</row>
    <row r="209" spans="1:190" ht="15.75" customHeight="1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>
        <v>207</v>
      </c>
      <c r="U209" s="31" t="s">
        <v>187</v>
      </c>
      <c r="V209" s="31" t="s">
        <v>194</v>
      </c>
      <c r="W209" s="31" t="s">
        <v>724</v>
      </c>
      <c r="X209" s="31" t="s">
        <v>1970</v>
      </c>
      <c r="Y209" s="31" t="s">
        <v>1971</v>
      </c>
      <c r="Z209" s="31" t="s">
        <v>1972</v>
      </c>
      <c r="AA209" s="32" t="s">
        <v>286</v>
      </c>
      <c r="AB209" s="32" t="s">
        <v>419</v>
      </c>
      <c r="AC209" s="32" t="s">
        <v>728</v>
      </c>
      <c r="AD209" s="31" t="s">
        <v>303</v>
      </c>
      <c r="AE209" s="31"/>
      <c r="AF209" s="31" t="s">
        <v>863</v>
      </c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</row>
    <row r="210" spans="1:190" ht="15.75" customHeight="1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>
        <v>208</v>
      </c>
      <c r="U210" s="31" t="s">
        <v>194</v>
      </c>
      <c r="V210" s="31" t="s">
        <v>294</v>
      </c>
      <c r="W210" s="31" t="s">
        <v>422</v>
      </c>
      <c r="X210" s="31" t="s">
        <v>1973</v>
      </c>
      <c r="Y210" s="31" t="s">
        <v>1974</v>
      </c>
      <c r="Z210" s="31" t="s">
        <v>1975</v>
      </c>
      <c r="AA210" s="32" t="s">
        <v>202</v>
      </c>
      <c r="AB210" s="32" t="s">
        <v>300</v>
      </c>
      <c r="AC210" s="32" t="s">
        <v>425</v>
      </c>
      <c r="AD210" s="31" t="s">
        <v>303</v>
      </c>
      <c r="AE210" s="31"/>
      <c r="AF210" s="31" t="s">
        <v>426</v>
      </c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</row>
    <row r="211" spans="1:190" ht="15.75" customHeight="1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>
        <v>209</v>
      </c>
      <c r="U211" s="31" t="s">
        <v>194</v>
      </c>
      <c r="V211" s="31" t="s">
        <v>195</v>
      </c>
      <c r="W211" s="31" t="s">
        <v>196</v>
      </c>
      <c r="X211" s="31" t="s">
        <v>1976</v>
      </c>
      <c r="Y211" s="31" t="s">
        <v>1977</v>
      </c>
      <c r="Z211" s="31" t="s">
        <v>1978</v>
      </c>
      <c r="AA211" s="32" t="s">
        <v>202</v>
      </c>
      <c r="AB211" s="32" t="s">
        <v>203</v>
      </c>
      <c r="AC211" s="32" t="s">
        <v>204</v>
      </c>
      <c r="AD211" s="31" t="s">
        <v>303</v>
      </c>
      <c r="AE211" s="31"/>
      <c r="AF211" s="31" t="s">
        <v>956</v>
      </c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</row>
    <row r="212" spans="1:190" ht="15.75" customHeight="1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>
        <v>210</v>
      </c>
      <c r="U212" s="31" t="s">
        <v>194</v>
      </c>
      <c r="V212" s="31" t="s">
        <v>729</v>
      </c>
      <c r="W212" s="31" t="s">
        <v>987</v>
      </c>
      <c r="X212" s="31" t="s">
        <v>1979</v>
      </c>
      <c r="Y212" s="31" t="s">
        <v>1980</v>
      </c>
      <c r="Z212" s="31" t="s">
        <v>1981</v>
      </c>
      <c r="AA212" s="32" t="s">
        <v>202</v>
      </c>
      <c r="AB212" s="32" t="s">
        <v>736</v>
      </c>
      <c r="AC212" s="32" t="s">
        <v>901</v>
      </c>
      <c r="AD212" s="31" t="s">
        <v>303</v>
      </c>
      <c r="AE212" s="31"/>
      <c r="AF212" s="31" t="s">
        <v>1201</v>
      </c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</row>
    <row r="213" spans="1:190" ht="15.75" customHeight="1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>
        <v>211</v>
      </c>
      <c r="U213" s="31" t="s">
        <v>194</v>
      </c>
      <c r="V213" s="31" t="s">
        <v>294</v>
      </c>
      <c r="W213" s="31" t="s">
        <v>911</v>
      </c>
      <c r="X213" s="31" t="s">
        <v>1982</v>
      </c>
      <c r="Y213" s="31" t="s">
        <v>1983</v>
      </c>
      <c r="Z213" s="31" t="s">
        <v>1505</v>
      </c>
      <c r="AA213" s="32" t="s">
        <v>202</v>
      </c>
      <c r="AB213" s="32" t="s">
        <v>300</v>
      </c>
      <c r="AC213" s="32" t="s">
        <v>912</v>
      </c>
      <c r="AD213" s="31" t="s">
        <v>303</v>
      </c>
      <c r="AE213" s="31"/>
      <c r="AF213" s="31" t="s">
        <v>1122</v>
      </c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</row>
    <row r="214" spans="1:190" ht="15.75" customHeight="1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>
        <v>212</v>
      </c>
      <c r="U214" s="31" t="s">
        <v>187</v>
      </c>
      <c r="V214" s="31" t="s">
        <v>194</v>
      </c>
      <c r="W214" s="31" t="s">
        <v>195</v>
      </c>
      <c r="X214" s="31" t="s">
        <v>1984</v>
      </c>
      <c r="Y214" s="31" t="s">
        <v>1985</v>
      </c>
      <c r="Z214" s="31" t="s">
        <v>1986</v>
      </c>
      <c r="AA214" s="32" t="s">
        <v>286</v>
      </c>
      <c r="AB214" s="32" t="s">
        <v>419</v>
      </c>
      <c r="AC214" s="32" t="s">
        <v>675</v>
      </c>
      <c r="AD214" s="31" t="s">
        <v>1134</v>
      </c>
      <c r="AE214" s="31" t="s">
        <v>1135</v>
      </c>
      <c r="AF214" s="31" t="s">
        <v>640</v>
      </c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</row>
    <row r="215" spans="1:190" ht="15.75" customHeight="1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>
        <v>213</v>
      </c>
      <c r="U215" s="31" t="s">
        <v>194</v>
      </c>
      <c r="V215" s="31" t="s">
        <v>724</v>
      </c>
      <c r="W215" s="31" t="s">
        <v>789</v>
      </c>
      <c r="X215" s="31" t="s">
        <v>1987</v>
      </c>
      <c r="Y215" s="31" t="s">
        <v>1988</v>
      </c>
      <c r="Z215" s="31" t="s">
        <v>1989</v>
      </c>
      <c r="AA215" s="32" t="s">
        <v>202</v>
      </c>
      <c r="AB215" s="32" t="s">
        <v>725</v>
      </c>
      <c r="AC215" s="32" t="s">
        <v>793</v>
      </c>
      <c r="AD215" s="31" t="s">
        <v>794</v>
      </c>
      <c r="AE215" s="31" t="s">
        <v>303</v>
      </c>
      <c r="AF215" s="31" t="s">
        <v>688</v>
      </c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</row>
    <row r="216" spans="1:190" ht="15.75" customHeight="1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>
        <v>214</v>
      </c>
      <c r="U216" s="31" t="s">
        <v>187</v>
      </c>
      <c r="V216" s="31" t="s">
        <v>194</v>
      </c>
      <c r="W216" s="31" t="s">
        <v>729</v>
      </c>
      <c r="X216" s="31" t="s">
        <v>1990</v>
      </c>
      <c r="Y216" s="31" t="s">
        <v>1991</v>
      </c>
      <c r="Z216" s="31" t="s">
        <v>1992</v>
      </c>
      <c r="AA216" s="32" t="s">
        <v>286</v>
      </c>
      <c r="AB216" s="32" t="s">
        <v>419</v>
      </c>
      <c r="AC216" s="32" t="s">
        <v>747</v>
      </c>
      <c r="AD216" s="31" t="s">
        <v>1210</v>
      </c>
      <c r="AE216" s="31" t="s">
        <v>303</v>
      </c>
      <c r="AF216" s="31" t="s">
        <v>1211</v>
      </c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</row>
    <row r="217" spans="1:190" ht="15.75" customHeight="1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>
        <v>215</v>
      </c>
      <c r="U217" s="31" t="s">
        <v>194</v>
      </c>
      <c r="V217" s="31" t="s">
        <v>294</v>
      </c>
      <c r="W217" s="31" t="s">
        <v>776</v>
      </c>
      <c r="X217" s="31" t="s">
        <v>1993</v>
      </c>
      <c r="Y217" s="31" t="s">
        <v>1994</v>
      </c>
      <c r="Z217" s="31" t="s">
        <v>1995</v>
      </c>
      <c r="AA217" s="32" t="s">
        <v>202</v>
      </c>
      <c r="AB217" s="32" t="s">
        <v>300</v>
      </c>
      <c r="AC217" s="32" t="s">
        <v>779</v>
      </c>
      <c r="AD217" s="31" t="s">
        <v>780</v>
      </c>
      <c r="AE217" s="31" t="s">
        <v>303</v>
      </c>
      <c r="AF217" s="31" t="s">
        <v>781</v>
      </c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</row>
    <row r="218" spans="1:190" ht="15.75" customHeight="1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>
        <v>216</v>
      </c>
      <c r="U218" s="31" t="s">
        <v>194</v>
      </c>
      <c r="V218" s="31" t="s">
        <v>195</v>
      </c>
      <c r="W218" s="31" t="s">
        <v>196</v>
      </c>
      <c r="X218" s="31" t="s">
        <v>1996</v>
      </c>
      <c r="Y218" s="31" t="s">
        <v>1997</v>
      </c>
      <c r="Z218" s="31" t="s">
        <v>1998</v>
      </c>
      <c r="AA218" s="32" t="s">
        <v>202</v>
      </c>
      <c r="AB218" s="32" t="s">
        <v>203</v>
      </c>
      <c r="AC218" s="32" t="s">
        <v>204</v>
      </c>
      <c r="AD218" s="31" t="s">
        <v>205</v>
      </c>
      <c r="AE218" s="31" t="s">
        <v>897</v>
      </c>
      <c r="AF218" s="31" t="s">
        <v>207</v>
      </c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</row>
    <row r="219" spans="1:190" ht="15.75" customHeight="1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>
        <v>217</v>
      </c>
      <c r="U219" s="31" t="s">
        <v>194</v>
      </c>
      <c r="V219" s="31" t="s">
        <v>729</v>
      </c>
      <c r="W219" s="31" t="s">
        <v>363</v>
      </c>
      <c r="X219" s="31" t="s">
        <v>1999</v>
      </c>
      <c r="Y219" s="31" t="s">
        <v>2000</v>
      </c>
      <c r="Z219" s="31" t="s">
        <v>465</v>
      </c>
      <c r="AA219" s="32" t="s">
        <v>202</v>
      </c>
      <c r="AB219" s="32" t="s">
        <v>736</v>
      </c>
      <c r="AC219" s="32" t="s">
        <v>303</v>
      </c>
      <c r="AD219" s="31"/>
      <c r="AE219" s="31"/>
      <c r="AF219" s="31" t="s">
        <v>738</v>
      </c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  <c r="DY219" s="31"/>
      <c r="DZ219" s="31"/>
      <c r="EA219" s="31"/>
      <c r="EB219" s="31"/>
      <c r="EC219" s="31"/>
      <c r="ED219" s="31"/>
      <c r="EE219" s="31"/>
      <c r="EF219" s="31"/>
      <c r="EG219" s="31"/>
      <c r="EH219" s="31"/>
      <c r="EI219" s="31"/>
      <c r="EJ219" s="31"/>
      <c r="EK219" s="31"/>
      <c r="EL219" s="31"/>
      <c r="EM219" s="31"/>
      <c r="EN219" s="31"/>
      <c r="EO219" s="31"/>
      <c r="EP219" s="31"/>
      <c r="EQ219" s="31"/>
      <c r="ER219" s="31"/>
      <c r="ES219" s="31"/>
      <c r="ET219" s="31"/>
      <c r="EU219" s="31"/>
      <c r="EV219" s="31"/>
      <c r="EW219" s="31"/>
      <c r="EX219" s="31"/>
      <c r="EY219" s="31"/>
      <c r="EZ219" s="31"/>
      <c r="FA219" s="31"/>
      <c r="FB219" s="31"/>
      <c r="FC219" s="31"/>
      <c r="FD219" s="31"/>
      <c r="FE219" s="31"/>
      <c r="FF219" s="31"/>
      <c r="FG219" s="31"/>
      <c r="FH219" s="31"/>
      <c r="FI219" s="31"/>
      <c r="FJ219" s="31"/>
      <c r="FK219" s="31"/>
      <c r="FL219" s="31"/>
      <c r="FM219" s="31"/>
      <c r="FN219" s="31"/>
      <c r="FO219" s="31"/>
      <c r="FP219" s="31"/>
      <c r="FQ219" s="31"/>
      <c r="FR219" s="31"/>
      <c r="FS219" s="31"/>
      <c r="FT219" s="31"/>
      <c r="FU219" s="31"/>
      <c r="FV219" s="31"/>
      <c r="FW219" s="31"/>
      <c r="FX219" s="31"/>
      <c r="FY219" s="31"/>
      <c r="FZ219" s="31"/>
      <c r="GA219" s="31"/>
      <c r="GB219" s="31"/>
      <c r="GC219" s="31"/>
      <c r="GD219" s="31"/>
      <c r="GE219" s="31"/>
      <c r="GF219" s="31"/>
      <c r="GG219" s="31"/>
      <c r="GH219" s="31"/>
    </row>
    <row r="220" spans="1:190" ht="15.75" customHeight="1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>
        <v>218</v>
      </c>
      <c r="U220" s="31" t="s">
        <v>187</v>
      </c>
      <c r="V220" s="31" t="s">
        <v>187</v>
      </c>
      <c r="W220" s="31" t="s">
        <v>360</v>
      </c>
      <c r="X220" s="31" t="s">
        <v>2001</v>
      </c>
      <c r="Y220" s="31" t="s">
        <v>2002</v>
      </c>
      <c r="Z220" s="31" t="s">
        <v>2003</v>
      </c>
      <c r="AA220" s="32" t="s">
        <v>286</v>
      </c>
      <c r="AB220" s="32" t="s">
        <v>190</v>
      </c>
      <c r="AC220" s="32" t="s">
        <v>362</v>
      </c>
      <c r="AD220" s="31" t="s">
        <v>303</v>
      </c>
      <c r="AE220" s="31"/>
      <c r="AF220" s="31" t="s">
        <v>907</v>
      </c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  <c r="FH220" s="31"/>
      <c r="FI220" s="31"/>
      <c r="FJ220" s="31"/>
      <c r="FK220" s="31"/>
      <c r="FL220" s="31"/>
      <c r="FM220" s="31"/>
      <c r="FN220" s="31"/>
      <c r="FO220" s="31"/>
      <c r="FP220" s="31"/>
      <c r="FQ220" s="31"/>
      <c r="FR220" s="31"/>
      <c r="FS220" s="31"/>
      <c r="FT220" s="31"/>
      <c r="FU220" s="31"/>
      <c r="FV220" s="31"/>
      <c r="FW220" s="31"/>
      <c r="FX220" s="31"/>
      <c r="FY220" s="31"/>
      <c r="FZ220" s="31"/>
      <c r="GA220" s="31"/>
      <c r="GB220" s="31"/>
      <c r="GC220" s="31"/>
      <c r="GD220" s="31"/>
      <c r="GE220" s="31"/>
      <c r="GF220" s="31"/>
      <c r="GG220" s="31"/>
      <c r="GH220" s="31"/>
    </row>
    <row r="221" spans="1:190" ht="15.75" customHeight="1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>
        <v>219</v>
      </c>
      <c r="U221" s="31" t="s">
        <v>187</v>
      </c>
      <c r="V221" s="31" t="s">
        <v>287</v>
      </c>
      <c r="W221" s="31" t="s">
        <v>469</v>
      </c>
      <c r="X221" s="31" t="s">
        <v>2004</v>
      </c>
      <c r="Y221" s="31" t="s">
        <v>2005</v>
      </c>
      <c r="Z221" s="31" t="s">
        <v>2006</v>
      </c>
      <c r="AA221" s="32" t="s">
        <v>286</v>
      </c>
      <c r="AB221" s="32" t="s">
        <v>290</v>
      </c>
      <c r="AC221" s="32" t="s">
        <v>473</v>
      </c>
      <c r="AD221" s="31" t="s">
        <v>1577</v>
      </c>
      <c r="AE221" s="31" t="s">
        <v>303</v>
      </c>
      <c r="AF221" s="31" t="s">
        <v>755</v>
      </c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  <c r="DY221" s="31"/>
      <c r="DZ221" s="31"/>
      <c r="EA221" s="31"/>
      <c r="EB221" s="31"/>
      <c r="EC221" s="31"/>
      <c r="ED221" s="31"/>
      <c r="EE221" s="31"/>
      <c r="EF221" s="31"/>
      <c r="EG221" s="31"/>
      <c r="EH221" s="31"/>
      <c r="EI221" s="31"/>
      <c r="EJ221" s="31"/>
      <c r="EK221" s="31"/>
      <c r="EL221" s="31"/>
      <c r="EM221" s="31"/>
      <c r="EN221" s="31"/>
      <c r="EO221" s="31"/>
      <c r="EP221" s="31"/>
      <c r="EQ221" s="31"/>
      <c r="ER221" s="31"/>
      <c r="ES221" s="31"/>
      <c r="ET221" s="31"/>
      <c r="EU221" s="31"/>
      <c r="EV221" s="31"/>
      <c r="EW221" s="31"/>
      <c r="EX221" s="31"/>
      <c r="EY221" s="31"/>
      <c r="EZ221" s="31"/>
      <c r="FA221" s="31"/>
      <c r="FB221" s="31"/>
      <c r="FC221" s="31"/>
      <c r="FD221" s="31"/>
      <c r="FE221" s="31"/>
      <c r="FF221" s="31"/>
      <c r="FG221" s="31"/>
      <c r="FH221" s="31"/>
      <c r="FI221" s="31"/>
      <c r="FJ221" s="31"/>
      <c r="FK221" s="31"/>
      <c r="FL221" s="31"/>
      <c r="FM221" s="31"/>
      <c r="FN221" s="31"/>
      <c r="FO221" s="31"/>
      <c r="FP221" s="31"/>
      <c r="FQ221" s="31"/>
      <c r="FR221" s="31"/>
      <c r="FS221" s="31"/>
      <c r="FT221" s="31"/>
      <c r="FU221" s="31"/>
      <c r="FV221" s="31"/>
      <c r="FW221" s="31"/>
      <c r="FX221" s="31"/>
      <c r="FY221" s="31"/>
      <c r="FZ221" s="31"/>
      <c r="GA221" s="31"/>
      <c r="GB221" s="31"/>
      <c r="GC221" s="31"/>
      <c r="GD221" s="31"/>
      <c r="GE221" s="31"/>
      <c r="GF221" s="31"/>
      <c r="GG221" s="31"/>
      <c r="GH221" s="31"/>
    </row>
    <row r="222" spans="1:190" ht="15.75" customHeight="1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>
        <v>220</v>
      </c>
      <c r="U222" s="31" t="s">
        <v>194</v>
      </c>
      <c r="V222" s="31" t="s">
        <v>195</v>
      </c>
      <c r="W222" s="31" t="s">
        <v>196</v>
      </c>
      <c r="X222" s="31" t="s">
        <v>2007</v>
      </c>
      <c r="Y222" s="31" t="s">
        <v>2008</v>
      </c>
      <c r="Z222" s="31" t="s">
        <v>2009</v>
      </c>
      <c r="AA222" s="32" t="s">
        <v>202</v>
      </c>
      <c r="AB222" s="32" t="s">
        <v>203</v>
      </c>
      <c r="AC222" s="32" t="s">
        <v>204</v>
      </c>
      <c r="AD222" s="31" t="s">
        <v>982</v>
      </c>
      <c r="AE222" s="31" t="s">
        <v>303</v>
      </c>
      <c r="AF222" s="31" t="s">
        <v>983</v>
      </c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1"/>
      <c r="EH222" s="31"/>
      <c r="EI222" s="31"/>
      <c r="EJ222" s="31"/>
      <c r="EK222" s="31"/>
      <c r="EL222" s="31"/>
      <c r="EM222" s="31"/>
      <c r="EN222" s="31"/>
      <c r="EO222" s="31"/>
      <c r="EP222" s="31"/>
      <c r="EQ222" s="31"/>
      <c r="ER222" s="31"/>
      <c r="ES222" s="31"/>
      <c r="ET222" s="31"/>
      <c r="EU222" s="31"/>
      <c r="EV222" s="31"/>
      <c r="EW222" s="31"/>
      <c r="EX222" s="31"/>
      <c r="EY222" s="31"/>
      <c r="EZ222" s="31"/>
      <c r="FA222" s="31"/>
      <c r="FB222" s="31"/>
      <c r="FC222" s="31"/>
      <c r="FD222" s="31"/>
      <c r="FE222" s="31"/>
      <c r="FF222" s="31"/>
      <c r="FG222" s="31"/>
      <c r="FH222" s="31"/>
      <c r="FI222" s="31"/>
      <c r="FJ222" s="31"/>
      <c r="FK222" s="31"/>
      <c r="FL222" s="31"/>
      <c r="FM222" s="31"/>
      <c r="FN222" s="31"/>
      <c r="FO222" s="31"/>
      <c r="FP222" s="31"/>
      <c r="FQ222" s="31"/>
      <c r="FR222" s="31"/>
      <c r="FS222" s="31"/>
      <c r="FT222" s="31"/>
      <c r="FU222" s="31"/>
      <c r="FV222" s="31"/>
      <c r="FW222" s="31"/>
      <c r="FX222" s="31"/>
      <c r="FY222" s="31"/>
      <c r="FZ222" s="31"/>
      <c r="GA222" s="31"/>
      <c r="GB222" s="31"/>
      <c r="GC222" s="31"/>
      <c r="GD222" s="31"/>
      <c r="GE222" s="31"/>
      <c r="GF222" s="31"/>
      <c r="GG222" s="31"/>
      <c r="GH222" s="31"/>
    </row>
    <row r="223" spans="1:190" ht="15.75" customHeight="1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>
        <v>221</v>
      </c>
      <c r="U223" s="31" t="s">
        <v>194</v>
      </c>
      <c r="V223" s="31" t="s">
        <v>294</v>
      </c>
      <c r="W223" s="31" t="s">
        <v>776</v>
      </c>
      <c r="X223" s="31" t="s">
        <v>2010</v>
      </c>
      <c r="Y223" s="31" t="s">
        <v>2011</v>
      </c>
      <c r="Z223" s="31" t="s">
        <v>551</v>
      </c>
      <c r="AA223" s="32" t="s">
        <v>202</v>
      </c>
      <c r="AB223" s="32" t="s">
        <v>300</v>
      </c>
      <c r="AC223" s="32" t="s">
        <v>779</v>
      </c>
      <c r="AD223" s="31" t="s">
        <v>2012</v>
      </c>
      <c r="AE223" s="31" t="s">
        <v>303</v>
      </c>
      <c r="AF223" s="31" t="s">
        <v>1182</v>
      </c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  <c r="DY223" s="31"/>
      <c r="DZ223" s="31"/>
      <c r="EA223" s="31"/>
      <c r="EB223" s="31"/>
      <c r="EC223" s="31"/>
      <c r="ED223" s="31"/>
      <c r="EE223" s="31"/>
      <c r="EF223" s="31"/>
      <c r="EG223" s="31"/>
      <c r="EH223" s="31"/>
      <c r="EI223" s="31"/>
      <c r="EJ223" s="31"/>
      <c r="EK223" s="31"/>
      <c r="EL223" s="31"/>
      <c r="EM223" s="31"/>
      <c r="EN223" s="31"/>
      <c r="EO223" s="31"/>
      <c r="EP223" s="31"/>
      <c r="EQ223" s="31"/>
      <c r="ER223" s="31"/>
      <c r="ES223" s="31"/>
      <c r="ET223" s="31"/>
      <c r="EU223" s="31"/>
      <c r="EV223" s="31"/>
      <c r="EW223" s="31"/>
      <c r="EX223" s="31"/>
      <c r="EY223" s="31"/>
      <c r="EZ223" s="31"/>
      <c r="FA223" s="31"/>
      <c r="FB223" s="31"/>
      <c r="FC223" s="31"/>
      <c r="FD223" s="31"/>
      <c r="FE223" s="31"/>
      <c r="FF223" s="31"/>
      <c r="FG223" s="31"/>
      <c r="FH223" s="31"/>
      <c r="FI223" s="31"/>
      <c r="FJ223" s="31"/>
      <c r="FK223" s="31"/>
      <c r="FL223" s="31"/>
      <c r="FM223" s="31"/>
      <c r="FN223" s="31"/>
      <c r="FO223" s="31"/>
      <c r="FP223" s="31"/>
      <c r="FQ223" s="31"/>
      <c r="FR223" s="31"/>
      <c r="FS223" s="31"/>
      <c r="FT223" s="31"/>
      <c r="FU223" s="31"/>
      <c r="FV223" s="31"/>
      <c r="FW223" s="31"/>
      <c r="FX223" s="31"/>
      <c r="FY223" s="31"/>
      <c r="FZ223" s="31"/>
      <c r="GA223" s="31"/>
      <c r="GB223" s="31"/>
      <c r="GC223" s="31"/>
      <c r="GD223" s="31"/>
      <c r="GE223" s="31"/>
      <c r="GF223" s="31"/>
      <c r="GG223" s="31"/>
      <c r="GH223" s="31"/>
    </row>
    <row r="224" spans="1:190" ht="15.75" customHeight="1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>
        <v>222</v>
      </c>
      <c r="U224" s="31" t="s">
        <v>187</v>
      </c>
      <c r="V224" s="31" t="s">
        <v>520</v>
      </c>
      <c r="W224" s="31" t="s">
        <v>767</v>
      </c>
      <c r="X224" s="31" t="s">
        <v>2013</v>
      </c>
      <c r="Y224" s="31" t="s">
        <v>2014</v>
      </c>
      <c r="Z224" s="31" t="s">
        <v>2015</v>
      </c>
      <c r="AA224" s="32" t="s">
        <v>286</v>
      </c>
      <c r="AB224" s="32" t="s">
        <v>521</v>
      </c>
      <c r="AC224" s="32" t="s">
        <v>768</v>
      </c>
      <c r="AD224" s="31" t="s">
        <v>303</v>
      </c>
      <c r="AE224" s="31"/>
      <c r="AF224" s="31" t="s">
        <v>853</v>
      </c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  <c r="FN224" s="31"/>
      <c r="FO224" s="31"/>
      <c r="FP224" s="31"/>
      <c r="FQ224" s="31"/>
      <c r="FR224" s="31"/>
      <c r="FS224" s="31"/>
      <c r="FT224" s="31"/>
      <c r="FU224" s="31"/>
      <c r="FV224" s="31"/>
      <c r="FW224" s="31"/>
      <c r="FX224" s="31"/>
      <c r="FY224" s="31"/>
      <c r="FZ224" s="31"/>
      <c r="GA224" s="31"/>
      <c r="GB224" s="31"/>
      <c r="GC224" s="31"/>
      <c r="GD224" s="31"/>
      <c r="GE224" s="31"/>
      <c r="GF224" s="31"/>
      <c r="GG224" s="31"/>
      <c r="GH224" s="31"/>
    </row>
    <row r="225" spans="1:190" ht="15.75" customHeight="1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>
        <v>223</v>
      </c>
      <c r="U225" s="31" t="s">
        <v>194</v>
      </c>
      <c r="V225" s="31" t="s">
        <v>724</v>
      </c>
      <c r="W225" s="31" t="s">
        <v>809</v>
      </c>
      <c r="X225" s="31" t="s">
        <v>2016</v>
      </c>
      <c r="Y225" s="31" t="s">
        <v>2017</v>
      </c>
      <c r="Z225" s="31" t="s">
        <v>2018</v>
      </c>
      <c r="AA225" s="32" t="s">
        <v>202</v>
      </c>
      <c r="AB225" s="32" t="s">
        <v>725</v>
      </c>
      <c r="AC225" s="32" t="s">
        <v>813</v>
      </c>
      <c r="AD225" s="31" t="s">
        <v>1078</v>
      </c>
      <c r="AE225" s="31" t="s">
        <v>303</v>
      </c>
      <c r="AF225" s="31" t="s">
        <v>847</v>
      </c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</row>
    <row r="226" spans="1:190" ht="15.75" customHeight="1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>
        <v>224</v>
      </c>
      <c r="U226" s="31" t="s">
        <v>194</v>
      </c>
      <c r="V226" s="31" t="s">
        <v>724</v>
      </c>
      <c r="W226" s="31" t="s">
        <v>809</v>
      </c>
      <c r="X226" s="31" t="s">
        <v>2019</v>
      </c>
      <c r="Y226" s="31" t="s">
        <v>2020</v>
      </c>
      <c r="Z226" s="31" t="s">
        <v>2021</v>
      </c>
      <c r="AA226" s="32" t="s">
        <v>202</v>
      </c>
      <c r="AB226" s="32" t="s">
        <v>725</v>
      </c>
      <c r="AC226" s="32" t="s">
        <v>813</v>
      </c>
      <c r="AD226" s="31" t="s">
        <v>303</v>
      </c>
      <c r="AE226" s="31"/>
      <c r="AF226" s="31" t="s">
        <v>929</v>
      </c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1"/>
      <c r="EH226" s="31"/>
      <c r="EI226" s="31"/>
      <c r="EJ226" s="31"/>
      <c r="EK226" s="31"/>
      <c r="EL226" s="31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1"/>
      <c r="EZ226" s="31"/>
      <c r="FA226" s="31"/>
      <c r="FB226" s="31"/>
      <c r="FC226" s="31"/>
      <c r="FD226" s="31"/>
      <c r="FE226" s="31"/>
      <c r="FF226" s="31"/>
      <c r="FG226" s="31"/>
      <c r="FH226" s="31"/>
      <c r="FI226" s="31"/>
      <c r="FJ226" s="31"/>
      <c r="FK226" s="31"/>
      <c r="FL226" s="31"/>
      <c r="FM226" s="31"/>
      <c r="FN226" s="31"/>
      <c r="FO226" s="31"/>
      <c r="FP226" s="31"/>
      <c r="FQ226" s="31"/>
      <c r="FR226" s="31"/>
      <c r="FS226" s="31"/>
      <c r="FT226" s="31"/>
      <c r="FU226" s="31"/>
      <c r="FV226" s="31"/>
      <c r="FW226" s="31"/>
      <c r="FX226" s="31"/>
      <c r="FY226" s="31"/>
      <c r="FZ226" s="31"/>
      <c r="GA226" s="31"/>
      <c r="GB226" s="31"/>
      <c r="GC226" s="31"/>
      <c r="GD226" s="31"/>
      <c r="GE226" s="31"/>
      <c r="GF226" s="31"/>
      <c r="GG226" s="31"/>
      <c r="GH226" s="31"/>
    </row>
    <row r="227" spans="1:190" ht="15.75" customHeight="1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>
        <v>225</v>
      </c>
      <c r="U227" s="31" t="s">
        <v>194</v>
      </c>
      <c r="V227" s="31" t="s">
        <v>724</v>
      </c>
      <c r="W227" s="31" t="s">
        <v>951</v>
      </c>
      <c r="X227" s="31" t="s">
        <v>2022</v>
      </c>
      <c r="Y227" s="31" t="s">
        <v>2023</v>
      </c>
      <c r="Z227" s="31" t="s">
        <v>2024</v>
      </c>
      <c r="AA227" s="32" t="s">
        <v>202</v>
      </c>
      <c r="AB227" s="32" t="s">
        <v>725</v>
      </c>
      <c r="AC227" s="32" t="s">
        <v>952</v>
      </c>
      <c r="AD227" s="31" t="s">
        <v>303</v>
      </c>
      <c r="AE227" s="31"/>
      <c r="AF227" s="31" t="s">
        <v>990</v>
      </c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  <c r="DY227" s="31"/>
      <c r="DZ227" s="31"/>
      <c r="EA227" s="31"/>
      <c r="EB227" s="31"/>
      <c r="EC227" s="31"/>
      <c r="ED227" s="31"/>
      <c r="EE227" s="31"/>
      <c r="EF227" s="31"/>
      <c r="EG227" s="31"/>
      <c r="EH227" s="31"/>
      <c r="EI227" s="31"/>
      <c r="EJ227" s="31"/>
      <c r="EK227" s="31"/>
      <c r="EL227" s="31"/>
      <c r="EM227" s="31"/>
      <c r="EN227" s="31"/>
      <c r="EO227" s="31"/>
      <c r="EP227" s="31"/>
      <c r="EQ227" s="31"/>
      <c r="ER227" s="31"/>
      <c r="ES227" s="31"/>
      <c r="ET227" s="31"/>
      <c r="EU227" s="31"/>
      <c r="EV227" s="31"/>
      <c r="EW227" s="31"/>
      <c r="EX227" s="31"/>
      <c r="EY227" s="31"/>
      <c r="EZ227" s="31"/>
      <c r="FA227" s="31"/>
      <c r="FB227" s="31"/>
      <c r="FC227" s="31"/>
      <c r="FD227" s="31"/>
      <c r="FE227" s="31"/>
      <c r="FF227" s="31"/>
      <c r="FG227" s="31"/>
      <c r="FH227" s="31"/>
      <c r="FI227" s="31"/>
      <c r="FJ227" s="31"/>
      <c r="FK227" s="31"/>
      <c r="FL227" s="31"/>
      <c r="FM227" s="31"/>
      <c r="FN227" s="31"/>
      <c r="FO227" s="31"/>
      <c r="FP227" s="31"/>
      <c r="FQ227" s="31"/>
      <c r="FR227" s="31"/>
      <c r="FS227" s="31"/>
      <c r="FT227" s="31"/>
      <c r="FU227" s="31"/>
      <c r="FV227" s="31"/>
      <c r="FW227" s="31"/>
      <c r="FX227" s="31"/>
      <c r="FY227" s="31"/>
      <c r="FZ227" s="31"/>
      <c r="GA227" s="31"/>
      <c r="GB227" s="31"/>
      <c r="GC227" s="31"/>
      <c r="GD227" s="31"/>
      <c r="GE227" s="31"/>
      <c r="GF227" s="31"/>
      <c r="GG227" s="31"/>
      <c r="GH227" s="31"/>
    </row>
    <row r="228" spans="1:190" ht="15.75" customHeight="1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>
        <v>226</v>
      </c>
      <c r="U228" s="31" t="s">
        <v>187</v>
      </c>
      <c r="V228" s="31" t="s">
        <v>561</v>
      </c>
      <c r="W228" s="31" t="s">
        <v>628</v>
      </c>
      <c r="X228" s="31" t="s">
        <v>2025</v>
      </c>
      <c r="Y228" s="31" t="s">
        <v>2026</v>
      </c>
      <c r="Z228" s="31" t="s">
        <v>2027</v>
      </c>
      <c r="AA228" s="32" t="s">
        <v>286</v>
      </c>
      <c r="AB228" s="32" t="s">
        <v>562</v>
      </c>
      <c r="AC228" s="32" t="s">
        <v>632</v>
      </c>
      <c r="AD228" s="31" t="s">
        <v>303</v>
      </c>
      <c r="AE228" s="31"/>
      <c r="AF228" s="31" t="s">
        <v>635</v>
      </c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  <c r="FH228" s="31"/>
      <c r="FI228" s="31"/>
      <c r="FJ228" s="31"/>
      <c r="FK228" s="31"/>
      <c r="FL228" s="31"/>
      <c r="FM228" s="31"/>
      <c r="FN228" s="31"/>
      <c r="FO228" s="31"/>
      <c r="FP228" s="31"/>
      <c r="FQ228" s="31"/>
      <c r="FR228" s="31"/>
      <c r="FS228" s="31"/>
      <c r="FT228" s="31"/>
      <c r="FU228" s="31"/>
      <c r="FV228" s="31"/>
      <c r="FW228" s="31"/>
      <c r="FX228" s="31"/>
      <c r="FY228" s="31"/>
      <c r="FZ228" s="31"/>
      <c r="GA228" s="31"/>
      <c r="GB228" s="31"/>
      <c r="GC228" s="31"/>
      <c r="GD228" s="31"/>
      <c r="GE228" s="31"/>
      <c r="GF228" s="31"/>
      <c r="GG228" s="31"/>
      <c r="GH228" s="31"/>
    </row>
    <row r="229" spans="1:190" ht="15.75" customHeight="1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>
        <v>227</v>
      </c>
      <c r="U229" s="31" t="s">
        <v>187</v>
      </c>
      <c r="V229" s="31" t="s">
        <v>194</v>
      </c>
      <c r="W229" s="31" t="s">
        <v>195</v>
      </c>
      <c r="X229" s="31" t="s">
        <v>2028</v>
      </c>
      <c r="Y229" s="31" t="s">
        <v>2029</v>
      </c>
      <c r="Z229" s="31" t="s">
        <v>2030</v>
      </c>
      <c r="AA229" s="32" t="s">
        <v>286</v>
      </c>
      <c r="AB229" s="32" t="s">
        <v>419</v>
      </c>
      <c r="AC229" s="32" t="s">
        <v>675</v>
      </c>
      <c r="AD229" s="31" t="s">
        <v>1134</v>
      </c>
      <c r="AE229" s="31" t="s">
        <v>1898</v>
      </c>
      <c r="AF229" s="31" t="s">
        <v>640</v>
      </c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  <c r="DY229" s="31"/>
      <c r="DZ229" s="31"/>
      <c r="EA229" s="31"/>
      <c r="EB229" s="31"/>
      <c r="EC229" s="31"/>
      <c r="ED229" s="31"/>
      <c r="EE229" s="31"/>
      <c r="EF229" s="31"/>
      <c r="EG229" s="31"/>
      <c r="EH229" s="31"/>
      <c r="EI229" s="31"/>
      <c r="EJ229" s="31"/>
      <c r="EK229" s="31"/>
      <c r="EL229" s="31"/>
      <c r="EM229" s="31"/>
      <c r="EN229" s="31"/>
      <c r="EO229" s="31"/>
      <c r="EP229" s="31"/>
      <c r="EQ229" s="31"/>
      <c r="ER229" s="31"/>
      <c r="ES229" s="31"/>
      <c r="ET229" s="31"/>
      <c r="EU229" s="31"/>
      <c r="EV229" s="31"/>
      <c r="EW229" s="31"/>
      <c r="EX229" s="31"/>
      <c r="EY229" s="31"/>
      <c r="EZ229" s="31"/>
      <c r="FA229" s="31"/>
      <c r="FB229" s="31"/>
      <c r="FC229" s="31"/>
      <c r="FD229" s="31"/>
      <c r="FE229" s="31"/>
      <c r="FF229" s="31"/>
      <c r="FG229" s="31"/>
      <c r="FH229" s="31"/>
      <c r="FI229" s="31"/>
      <c r="FJ229" s="31"/>
      <c r="FK229" s="31"/>
      <c r="FL229" s="31"/>
      <c r="FM229" s="31"/>
      <c r="FN229" s="31"/>
      <c r="FO229" s="31"/>
      <c r="FP229" s="31"/>
      <c r="FQ229" s="31"/>
      <c r="FR229" s="31"/>
      <c r="FS229" s="31"/>
      <c r="FT229" s="31"/>
      <c r="FU229" s="31"/>
      <c r="FV229" s="31"/>
      <c r="FW229" s="31"/>
      <c r="FX229" s="31"/>
      <c r="FY229" s="31"/>
      <c r="FZ229" s="31"/>
      <c r="GA229" s="31"/>
      <c r="GB229" s="31"/>
      <c r="GC229" s="31"/>
      <c r="GD229" s="31"/>
      <c r="GE229" s="31"/>
      <c r="GF229" s="31"/>
      <c r="GG229" s="31"/>
      <c r="GH229" s="31"/>
    </row>
    <row r="230" spans="1:190" ht="15.75" customHeight="1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>
        <v>228</v>
      </c>
      <c r="U230" s="31" t="s">
        <v>194</v>
      </c>
      <c r="V230" s="31" t="s">
        <v>294</v>
      </c>
      <c r="W230" s="31" t="s">
        <v>776</v>
      </c>
      <c r="X230" s="31" t="s">
        <v>2031</v>
      </c>
      <c r="Y230" s="31" t="s">
        <v>2032</v>
      </c>
      <c r="Z230" s="31" t="s">
        <v>2033</v>
      </c>
      <c r="AA230" s="32" t="s">
        <v>202</v>
      </c>
      <c r="AB230" s="32" t="s">
        <v>300</v>
      </c>
      <c r="AC230" s="32" t="s">
        <v>779</v>
      </c>
      <c r="AD230" s="31" t="s">
        <v>2012</v>
      </c>
      <c r="AE230" s="31" t="s">
        <v>303</v>
      </c>
      <c r="AF230" s="31" t="s">
        <v>1182</v>
      </c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1"/>
      <c r="EH230" s="31"/>
      <c r="EI230" s="31"/>
      <c r="EJ230" s="31"/>
      <c r="EK230" s="31"/>
      <c r="EL230" s="31"/>
      <c r="EM230" s="31"/>
      <c r="EN230" s="31"/>
      <c r="EO230" s="31"/>
      <c r="EP230" s="31"/>
      <c r="EQ230" s="31"/>
      <c r="ER230" s="31"/>
      <c r="ES230" s="31"/>
      <c r="ET230" s="31"/>
      <c r="EU230" s="31"/>
      <c r="EV230" s="31"/>
      <c r="EW230" s="31"/>
      <c r="EX230" s="31"/>
      <c r="EY230" s="31"/>
      <c r="EZ230" s="31"/>
      <c r="FA230" s="31"/>
      <c r="FB230" s="31"/>
      <c r="FC230" s="31"/>
      <c r="FD230" s="31"/>
      <c r="FE230" s="31"/>
      <c r="FF230" s="31"/>
      <c r="FG230" s="31"/>
      <c r="FH230" s="31"/>
      <c r="FI230" s="31"/>
      <c r="FJ230" s="31"/>
      <c r="FK230" s="31"/>
      <c r="FL230" s="31"/>
      <c r="FM230" s="31"/>
      <c r="FN230" s="31"/>
      <c r="FO230" s="31"/>
      <c r="FP230" s="31"/>
      <c r="FQ230" s="31"/>
      <c r="FR230" s="31"/>
      <c r="FS230" s="31"/>
      <c r="FT230" s="31"/>
      <c r="FU230" s="31"/>
      <c r="FV230" s="31"/>
      <c r="FW230" s="31"/>
      <c r="FX230" s="31"/>
      <c r="FY230" s="31"/>
      <c r="FZ230" s="31"/>
      <c r="GA230" s="31"/>
      <c r="GB230" s="31"/>
      <c r="GC230" s="31"/>
      <c r="GD230" s="31"/>
      <c r="GE230" s="31"/>
      <c r="GF230" s="31"/>
      <c r="GG230" s="31"/>
      <c r="GH230" s="31"/>
    </row>
    <row r="231" spans="1:190" ht="15.75" customHeight="1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>
        <v>229</v>
      </c>
      <c r="U231" s="31" t="s">
        <v>187</v>
      </c>
      <c r="V231" s="31" t="s">
        <v>194</v>
      </c>
      <c r="W231" s="31" t="s">
        <v>724</v>
      </c>
      <c r="X231" s="31" t="s">
        <v>2034</v>
      </c>
      <c r="Y231" s="31" t="s">
        <v>2035</v>
      </c>
      <c r="Z231" s="31" t="s">
        <v>2036</v>
      </c>
      <c r="AA231" s="32" t="s">
        <v>286</v>
      </c>
      <c r="AB231" s="32" t="s">
        <v>419</v>
      </c>
      <c r="AC231" s="32" t="s">
        <v>728</v>
      </c>
      <c r="AD231" s="31" t="s">
        <v>872</v>
      </c>
      <c r="AE231" s="31" t="s">
        <v>303</v>
      </c>
      <c r="AF231" s="31" t="s">
        <v>873</v>
      </c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  <c r="FN231" s="31"/>
      <c r="FO231" s="31"/>
      <c r="FP231" s="31"/>
      <c r="FQ231" s="31"/>
      <c r="FR231" s="31"/>
      <c r="FS231" s="31"/>
      <c r="FT231" s="31"/>
      <c r="FU231" s="31"/>
      <c r="FV231" s="31"/>
      <c r="FW231" s="31"/>
      <c r="FX231" s="31"/>
      <c r="FY231" s="31"/>
      <c r="FZ231" s="31"/>
      <c r="GA231" s="31"/>
      <c r="GB231" s="31"/>
      <c r="GC231" s="31"/>
      <c r="GD231" s="31"/>
      <c r="GE231" s="31"/>
      <c r="GF231" s="31"/>
      <c r="GG231" s="31"/>
      <c r="GH231" s="31"/>
    </row>
    <row r="232" spans="1:190" ht="15.75" customHeight="1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>
        <v>230</v>
      </c>
      <c r="U232" s="31" t="s">
        <v>360</v>
      </c>
      <c r="V232" s="31" t="s">
        <v>600</v>
      </c>
      <c r="W232" s="31" t="s">
        <v>601</v>
      </c>
      <c r="X232" s="31" t="s">
        <v>2037</v>
      </c>
      <c r="Y232" s="31" t="s">
        <v>2038</v>
      </c>
      <c r="Z232" s="31" t="s">
        <v>2039</v>
      </c>
      <c r="AA232" s="32" t="s">
        <v>418</v>
      </c>
      <c r="AB232" s="32" t="s">
        <v>605</v>
      </c>
      <c r="AC232" s="32" t="s">
        <v>606</v>
      </c>
      <c r="AD232" s="31" t="s">
        <v>303</v>
      </c>
      <c r="AE232" s="31"/>
      <c r="AF232" s="31" t="s">
        <v>714</v>
      </c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1"/>
      <c r="EH232" s="31"/>
      <c r="EI232" s="31"/>
      <c r="EJ232" s="31"/>
      <c r="EK232" s="31"/>
      <c r="EL232" s="31"/>
      <c r="EM232" s="31"/>
      <c r="EN232" s="31"/>
      <c r="EO232" s="31"/>
      <c r="EP232" s="31"/>
      <c r="EQ232" s="31"/>
      <c r="ER232" s="31"/>
      <c r="ES232" s="31"/>
      <c r="ET232" s="31"/>
      <c r="EU232" s="31"/>
      <c r="EV232" s="31"/>
      <c r="EW232" s="31"/>
      <c r="EX232" s="31"/>
      <c r="EY232" s="31"/>
      <c r="EZ232" s="31"/>
      <c r="FA232" s="31"/>
      <c r="FB232" s="31"/>
      <c r="FC232" s="31"/>
      <c r="FD232" s="31"/>
      <c r="FE232" s="31"/>
      <c r="FF232" s="31"/>
      <c r="FG232" s="31"/>
      <c r="FH232" s="31"/>
      <c r="FI232" s="31"/>
      <c r="FJ232" s="31"/>
      <c r="FK232" s="31"/>
      <c r="FL232" s="31"/>
      <c r="FM232" s="31"/>
      <c r="FN232" s="31"/>
      <c r="FO232" s="31"/>
      <c r="FP232" s="31"/>
      <c r="FQ232" s="31"/>
      <c r="FR232" s="31"/>
      <c r="FS232" s="31"/>
      <c r="FT232" s="31"/>
      <c r="FU232" s="31"/>
      <c r="FV232" s="31"/>
      <c r="FW232" s="31"/>
      <c r="FX232" s="31"/>
      <c r="FY232" s="31"/>
      <c r="FZ232" s="31"/>
      <c r="GA232" s="31"/>
      <c r="GB232" s="31"/>
      <c r="GC232" s="31"/>
      <c r="GD232" s="31"/>
      <c r="GE232" s="31"/>
      <c r="GF232" s="31"/>
      <c r="GG232" s="31"/>
      <c r="GH232" s="31"/>
    </row>
    <row r="233" spans="1:190" ht="15.75" customHeight="1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>
        <v>231</v>
      </c>
      <c r="U233" s="31" t="s">
        <v>187</v>
      </c>
      <c r="V233" s="31" t="s">
        <v>561</v>
      </c>
      <c r="W233" s="31" t="s">
        <v>363</v>
      </c>
      <c r="X233" s="31" t="s">
        <v>2040</v>
      </c>
      <c r="Y233" s="31" t="s">
        <v>2041</v>
      </c>
      <c r="Z233" s="31" t="s">
        <v>2042</v>
      </c>
      <c r="AA233" s="32" t="s">
        <v>286</v>
      </c>
      <c r="AB233" s="32" t="s">
        <v>562</v>
      </c>
      <c r="AC233" s="32" t="s">
        <v>303</v>
      </c>
      <c r="AD233" s="31"/>
      <c r="AE233" s="31"/>
      <c r="AF233" s="31" t="s">
        <v>562</v>
      </c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1"/>
      <c r="EH233" s="31"/>
      <c r="EI233" s="31"/>
      <c r="EJ233" s="31"/>
      <c r="EK233" s="31"/>
      <c r="EL233" s="31"/>
      <c r="EM233" s="31"/>
      <c r="EN233" s="31"/>
      <c r="EO233" s="31"/>
      <c r="EP233" s="31"/>
      <c r="EQ233" s="31"/>
      <c r="ER233" s="31"/>
      <c r="ES233" s="31"/>
      <c r="ET233" s="31"/>
      <c r="EU233" s="31"/>
      <c r="EV233" s="31"/>
      <c r="EW233" s="31"/>
      <c r="EX233" s="31"/>
      <c r="EY233" s="31"/>
      <c r="EZ233" s="31"/>
      <c r="FA233" s="31"/>
      <c r="FB233" s="31"/>
      <c r="FC233" s="31"/>
      <c r="FD233" s="31"/>
      <c r="FE233" s="31"/>
      <c r="FF233" s="31"/>
      <c r="FG233" s="31"/>
      <c r="FH233" s="31"/>
      <c r="FI233" s="31"/>
      <c r="FJ233" s="31"/>
      <c r="FK233" s="31"/>
      <c r="FL233" s="31"/>
      <c r="FM233" s="31"/>
      <c r="FN233" s="31"/>
      <c r="FO233" s="31"/>
      <c r="FP233" s="31"/>
      <c r="FQ233" s="31"/>
      <c r="FR233" s="31"/>
      <c r="FS233" s="31"/>
      <c r="FT233" s="31"/>
      <c r="FU233" s="31"/>
      <c r="FV233" s="31"/>
      <c r="FW233" s="31"/>
      <c r="FX233" s="31"/>
      <c r="FY233" s="31"/>
      <c r="FZ233" s="31"/>
      <c r="GA233" s="31"/>
      <c r="GB233" s="31"/>
      <c r="GC233" s="31"/>
      <c r="GD233" s="31"/>
      <c r="GE233" s="31"/>
      <c r="GF233" s="31"/>
      <c r="GG233" s="31"/>
      <c r="GH233" s="31"/>
    </row>
    <row r="234" spans="1:190" ht="15.75" customHeight="1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>
        <v>232</v>
      </c>
      <c r="U234" s="31" t="s">
        <v>287</v>
      </c>
      <c r="V234" s="31" t="s">
        <v>595</v>
      </c>
      <c r="W234" s="31" t="s">
        <v>799</v>
      </c>
      <c r="X234" s="31" t="s">
        <v>2043</v>
      </c>
      <c r="Y234" s="31" t="s">
        <v>2044</v>
      </c>
      <c r="Z234" s="31" t="s">
        <v>2045</v>
      </c>
      <c r="AA234" s="32" t="s">
        <v>359</v>
      </c>
      <c r="AB234" s="32" t="s">
        <v>598</v>
      </c>
      <c r="AC234" s="32" t="s">
        <v>800</v>
      </c>
      <c r="AD234" s="31" t="s">
        <v>303</v>
      </c>
      <c r="AE234" s="31"/>
      <c r="AF234" s="31" t="s">
        <v>217</v>
      </c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  <c r="DY234" s="31"/>
      <c r="DZ234" s="31"/>
      <c r="EA234" s="31"/>
      <c r="EB234" s="31"/>
      <c r="EC234" s="31"/>
      <c r="ED234" s="31"/>
      <c r="EE234" s="31"/>
      <c r="EF234" s="31"/>
      <c r="EG234" s="31"/>
      <c r="EH234" s="31"/>
      <c r="EI234" s="31"/>
      <c r="EJ234" s="31"/>
      <c r="EK234" s="31"/>
      <c r="EL234" s="31"/>
      <c r="EM234" s="31"/>
      <c r="EN234" s="31"/>
      <c r="EO234" s="31"/>
      <c r="EP234" s="31"/>
      <c r="EQ234" s="31"/>
      <c r="ER234" s="31"/>
      <c r="ES234" s="31"/>
      <c r="ET234" s="31"/>
      <c r="EU234" s="31"/>
      <c r="EV234" s="31"/>
      <c r="EW234" s="31"/>
      <c r="EX234" s="31"/>
      <c r="EY234" s="31"/>
      <c r="EZ234" s="31"/>
      <c r="FA234" s="31"/>
      <c r="FB234" s="31"/>
      <c r="FC234" s="31"/>
      <c r="FD234" s="31"/>
      <c r="FE234" s="31"/>
      <c r="FF234" s="31"/>
      <c r="FG234" s="31"/>
      <c r="FH234" s="31"/>
      <c r="FI234" s="31"/>
      <c r="FJ234" s="31"/>
      <c r="FK234" s="31"/>
      <c r="FL234" s="31"/>
      <c r="FM234" s="31"/>
      <c r="FN234" s="31"/>
      <c r="FO234" s="31"/>
      <c r="FP234" s="31"/>
      <c r="FQ234" s="31"/>
      <c r="FR234" s="31"/>
      <c r="FS234" s="31"/>
      <c r="FT234" s="31"/>
      <c r="FU234" s="31"/>
      <c r="FV234" s="31"/>
      <c r="FW234" s="31"/>
      <c r="FX234" s="31"/>
      <c r="FY234" s="31"/>
      <c r="FZ234" s="31"/>
      <c r="GA234" s="31"/>
      <c r="GB234" s="31"/>
      <c r="GC234" s="31"/>
      <c r="GD234" s="31"/>
      <c r="GE234" s="31"/>
      <c r="GF234" s="31"/>
      <c r="GG234" s="31"/>
      <c r="GH234" s="31"/>
    </row>
    <row r="235" spans="1:190" ht="15.75" customHeight="1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>
        <v>233</v>
      </c>
      <c r="U235" s="31" t="s">
        <v>360</v>
      </c>
      <c r="V235" s="31" t="s">
        <v>647</v>
      </c>
      <c r="W235" s="31" t="s">
        <v>867</v>
      </c>
      <c r="X235" s="31" t="s">
        <v>2046</v>
      </c>
      <c r="Y235" s="31" t="s">
        <v>2047</v>
      </c>
      <c r="Z235" s="31" t="s">
        <v>2048</v>
      </c>
      <c r="AA235" s="32" t="s">
        <v>418</v>
      </c>
      <c r="AB235" s="32" t="s">
        <v>648</v>
      </c>
      <c r="AC235" s="32" t="s">
        <v>868</v>
      </c>
      <c r="AD235" s="31" t="s">
        <v>303</v>
      </c>
      <c r="AE235" s="31"/>
      <c r="AF235" s="31" t="s">
        <v>1055</v>
      </c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1"/>
      <c r="EH235" s="31"/>
      <c r="EI235" s="31"/>
      <c r="EJ235" s="31"/>
      <c r="EK235" s="31"/>
      <c r="EL235" s="31"/>
      <c r="EM235" s="31"/>
      <c r="EN235" s="31"/>
      <c r="EO235" s="31"/>
      <c r="EP235" s="31"/>
      <c r="EQ235" s="31"/>
      <c r="ER235" s="31"/>
      <c r="ES235" s="31"/>
      <c r="ET235" s="31"/>
      <c r="EU235" s="31"/>
      <c r="EV235" s="31"/>
      <c r="EW235" s="31"/>
      <c r="EX235" s="31"/>
      <c r="EY235" s="31"/>
      <c r="EZ235" s="31"/>
      <c r="FA235" s="31"/>
      <c r="FB235" s="31"/>
      <c r="FC235" s="31"/>
      <c r="FD235" s="31"/>
      <c r="FE235" s="31"/>
      <c r="FF235" s="31"/>
      <c r="FG235" s="31"/>
      <c r="FH235" s="31"/>
      <c r="FI235" s="31"/>
      <c r="FJ235" s="31"/>
      <c r="FK235" s="31"/>
      <c r="FL235" s="31"/>
      <c r="FM235" s="31"/>
      <c r="FN235" s="31"/>
      <c r="FO235" s="31"/>
      <c r="FP235" s="31"/>
      <c r="FQ235" s="31"/>
      <c r="FR235" s="31"/>
      <c r="FS235" s="31"/>
      <c r="FT235" s="31"/>
      <c r="FU235" s="31"/>
      <c r="FV235" s="31"/>
      <c r="FW235" s="31"/>
      <c r="FX235" s="31"/>
      <c r="FY235" s="31"/>
      <c r="FZ235" s="31"/>
      <c r="GA235" s="31"/>
      <c r="GB235" s="31"/>
      <c r="GC235" s="31"/>
      <c r="GD235" s="31"/>
      <c r="GE235" s="31"/>
      <c r="GF235" s="31"/>
      <c r="GG235" s="31"/>
      <c r="GH235" s="31"/>
    </row>
    <row r="236" spans="1:190" ht="15.75" customHeight="1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>
        <v>234</v>
      </c>
      <c r="U236" s="31" t="s">
        <v>194</v>
      </c>
      <c r="V236" s="31" t="s">
        <v>729</v>
      </c>
      <c r="W236" s="31" t="s">
        <v>987</v>
      </c>
      <c r="X236" s="31" t="s">
        <v>2049</v>
      </c>
      <c r="Y236" s="31" t="s">
        <v>2050</v>
      </c>
      <c r="Z236" s="31" t="s">
        <v>516</v>
      </c>
      <c r="AA236" s="32" t="s">
        <v>202</v>
      </c>
      <c r="AB236" s="32" t="s">
        <v>736</v>
      </c>
      <c r="AC236" s="32" t="s">
        <v>901</v>
      </c>
      <c r="AD236" s="31" t="s">
        <v>303</v>
      </c>
      <c r="AE236" s="31"/>
      <c r="AF236" s="31" t="s">
        <v>1201</v>
      </c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  <c r="DY236" s="31"/>
      <c r="DZ236" s="31"/>
      <c r="EA236" s="31"/>
      <c r="EB236" s="31"/>
      <c r="EC236" s="31"/>
      <c r="ED236" s="31"/>
      <c r="EE236" s="31"/>
      <c r="EF236" s="31"/>
      <c r="EG236" s="31"/>
      <c r="EH236" s="31"/>
      <c r="EI236" s="31"/>
      <c r="EJ236" s="31"/>
      <c r="EK236" s="31"/>
      <c r="EL236" s="31"/>
      <c r="EM236" s="31"/>
      <c r="EN236" s="31"/>
      <c r="EO236" s="31"/>
      <c r="EP236" s="31"/>
      <c r="EQ236" s="31"/>
      <c r="ER236" s="31"/>
      <c r="ES236" s="31"/>
      <c r="ET236" s="31"/>
      <c r="EU236" s="31"/>
      <c r="EV236" s="31"/>
      <c r="EW236" s="31"/>
      <c r="EX236" s="31"/>
      <c r="EY236" s="31"/>
      <c r="EZ236" s="31"/>
      <c r="FA236" s="31"/>
      <c r="FB236" s="31"/>
      <c r="FC236" s="31"/>
      <c r="FD236" s="31"/>
      <c r="FE236" s="31"/>
      <c r="FF236" s="31"/>
      <c r="FG236" s="31"/>
      <c r="FH236" s="31"/>
      <c r="FI236" s="31"/>
      <c r="FJ236" s="31"/>
      <c r="FK236" s="31"/>
      <c r="FL236" s="31"/>
      <c r="FM236" s="31"/>
      <c r="FN236" s="31"/>
      <c r="FO236" s="31"/>
      <c r="FP236" s="31"/>
      <c r="FQ236" s="31"/>
      <c r="FR236" s="31"/>
      <c r="FS236" s="31"/>
      <c r="FT236" s="31"/>
      <c r="FU236" s="31"/>
      <c r="FV236" s="31"/>
      <c r="FW236" s="31"/>
      <c r="FX236" s="31"/>
      <c r="FY236" s="31"/>
      <c r="FZ236" s="31"/>
      <c r="GA236" s="31"/>
      <c r="GB236" s="31"/>
      <c r="GC236" s="31"/>
      <c r="GD236" s="31"/>
      <c r="GE236" s="31"/>
      <c r="GF236" s="31"/>
      <c r="GG236" s="31"/>
      <c r="GH236" s="31"/>
    </row>
    <row r="237" spans="1:190" ht="15.75" customHeight="1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>
        <v>235</v>
      </c>
      <c r="U237" s="31" t="s">
        <v>194</v>
      </c>
      <c r="V237" s="31" t="s">
        <v>294</v>
      </c>
      <c r="W237" s="31" t="s">
        <v>295</v>
      </c>
      <c r="X237" s="31" t="s">
        <v>2051</v>
      </c>
      <c r="Y237" s="31" t="s">
        <v>2052</v>
      </c>
      <c r="Z237" s="31" t="s">
        <v>2053</v>
      </c>
      <c r="AA237" s="32" t="s">
        <v>202</v>
      </c>
      <c r="AB237" s="32" t="s">
        <v>300</v>
      </c>
      <c r="AC237" s="32" t="s">
        <v>301</v>
      </c>
      <c r="AD237" s="31" t="s">
        <v>1832</v>
      </c>
      <c r="AE237" s="31" t="s">
        <v>303</v>
      </c>
      <c r="AF237" s="31" t="s">
        <v>1140</v>
      </c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</row>
    <row r="238" spans="1:190" ht="15.75" customHeight="1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>
        <v>236</v>
      </c>
      <c r="U238" s="31" t="s">
        <v>194</v>
      </c>
      <c r="V238" s="31" t="s">
        <v>195</v>
      </c>
      <c r="W238" s="31" t="s">
        <v>196</v>
      </c>
      <c r="X238" s="31" t="s">
        <v>2054</v>
      </c>
      <c r="Y238" s="31" t="s">
        <v>2055</v>
      </c>
      <c r="Z238" s="31" t="s">
        <v>2056</v>
      </c>
      <c r="AA238" s="32" t="s">
        <v>202</v>
      </c>
      <c r="AB238" s="32" t="s">
        <v>203</v>
      </c>
      <c r="AC238" s="32" t="s">
        <v>204</v>
      </c>
      <c r="AD238" s="31" t="s">
        <v>205</v>
      </c>
      <c r="AE238" s="31" t="s">
        <v>206</v>
      </c>
      <c r="AF238" s="31" t="s">
        <v>207</v>
      </c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  <c r="DY238" s="31"/>
      <c r="DZ238" s="31"/>
      <c r="EA238" s="31"/>
      <c r="EB238" s="31"/>
      <c r="EC238" s="31"/>
      <c r="ED238" s="31"/>
      <c r="EE238" s="31"/>
      <c r="EF238" s="31"/>
      <c r="EG238" s="31"/>
      <c r="EH238" s="31"/>
      <c r="EI238" s="31"/>
      <c r="EJ238" s="31"/>
      <c r="EK238" s="31"/>
      <c r="EL238" s="31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1"/>
      <c r="EZ238" s="31"/>
      <c r="FA238" s="31"/>
      <c r="FB238" s="31"/>
      <c r="FC238" s="31"/>
      <c r="FD238" s="31"/>
      <c r="FE238" s="31"/>
      <c r="FF238" s="31"/>
      <c r="FG238" s="31"/>
      <c r="FH238" s="31"/>
      <c r="FI238" s="31"/>
      <c r="FJ238" s="31"/>
      <c r="FK238" s="31"/>
      <c r="FL238" s="31"/>
      <c r="FM238" s="31"/>
      <c r="FN238" s="31"/>
      <c r="FO238" s="31"/>
      <c r="FP238" s="31"/>
      <c r="FQ238" s="31"/>
      <c r="FR238" s="31"/>
      <c r="FS238" s="31"/>
      <c r="FT238" s="31"/>
      <c r="FU238" s="31"/>
      <c r="FV238" s="31"/>
      <c r="FW238" s="31"/>
      <c r="FX238" s="31"/>
      <c r="FY238" s="31"/>
      <c r="FZ238" s="31"/>
      <c r="GA238" s="31"/>
      <c r="GB238" s="31"/>
      <c r="GC238" s="31"/>
      <c r="GD238" s="31"/>
      <c r="GE238" s="31"/>
      <c r="GF238" s="31"/>
      <c r="GG238" s="31"/>
      <c r="GH238" s="31"/>
    </row>
    <row r="239" spans="1:190" ht="15.75" customHeight="1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>
        <v>237</v>
      </c>
      <c r="U239" s="31" t="s">
        <v>360</v>
      </c>
      <c r="V239" s="31" t="s">
        <v>647</v>
      </c>
      <c r="W239" s="31" t="s">
        <v>858</v>
      </c>
      <c r="X239" s="31" t="s">
        <v>2057</v>
      </c>
      <c r="Y239" s="31" t="s">
        <v>2058</v>
      </c>
      <c r="Z239" s="31" t="s">
        <v>2059</v>
      </c>
      <c r="AA239" s="32" t="s">
        <v>418</v>
      </c>
      <c r="AB239" s="32" t="s">
        <v>648</v>
      </c>
      <c r="AC239" s="32" t="s">
        <v>859</v>
      </c>
      <c r="AD239" s="31" t="s">
        <v>1963</v>
      </c>
      <c r="AE239" s="31" t="s">
        <v>303</v>
      </c>
      <c r="AF239" s="31" t="s">
        <v>1020</v>
      </c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  <c r="FN239" s="31"/>
      <c r="FO239" s="31"/>
      <c r="FP239" s="31"/>
      <c r="FQ239" s="31"/>
      <c r="FR239" s="31"/>
      <c r="FS239" s="31"/>
      <c r="FT239" s="31"/>
      <c r="FU239" s="31"/>
      <c r="FV239" s="31"/>
      <c r="FW239" s="31"/>
      <c r="FX239" s="31"/>
      <c r="FY239" s="31"/>
      <c r="FZ239" s="31"/>
      <c r="GA239" s="31"/>
      <c r="GB239" s="31"/>
      <c r="GC239" s="31"/>
      <c r="GD239" s="31"/>
      <c r="GE239" s="31"/>
      <c r="GF239" s="31"/>
      <c r="GG239" s="31"/>
      <c r="GH239" s="31"/>
    </row>
    <row r="240" spans="1:190" ht="15.75" customHeight="1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>
        <v>238</v>
      </c>
      <c r="U240" s="31" t="s">
        <v>194</v>
      </c>
      <c r="V240" s="31" t="s">
        <v>195</v>
      </c>
      <c r="W240" s="31" t="s">
        <v>196</v>
      </c>
      <c r="X240" s="31" t="s">
        <v>2060</v>
      </c>
      <c r="Y240" s="31" t="s">
        <v>2061</v>
      </c>
      <c r="Z240" s="31" t="s">
        <v>2062</v>
      </c>
      <c r="AA240" s="32" t="s">
        <v>202</v>
      </c>
      <c r="AB240" s="32" t="s">
        <v>203</v>
      </c>
      <c r="AC240" s="32" t="s">
        <v>204</v>
      </c>
      <c r="AD240" s="31" t="s">
        <v>205</v>
      </c>
      <c r="AE240" s="31" t="s">
        <v>206</v>
      </c>
      <c r="AF240" s="31" t="s">
        <v>207</v>
      </c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1"/>
      <c r="DU240" s="31"/>
      <c r="DV240" s="31"/>
      <c r="DW240" s="31"/>
      <c r="DX240" s="31"/>
      <c r="DY240" s="31"/>
      <c r="DZ240" s="31"/>
      <c r="EA240" s="31"/>
      <c r="EB240" s="31"/>
      <c r="EC240" s="31"/>
      <c r="ED240" s="31"/>
      <c r="EE240" s="31"/>
      <c r="EF240" s="31"/>
      <c r="EG240" s="31"/>
      <c r="EH240" s="31"/>
      <c r="EI240" s="31"/>
      <c r="EJ240" s="31"/>
      <c r="EK240" s="31"/>
      <c r="EL240" s="31"/>
      <c r="EM240" s="31"/>
      <c r="EN240" s="31"/>
      <c r="EO240" s="31"/>
      <c r="EP240" s="31"/>
      <c r="EQ240" s="31"/>
      <c r="ER240" s="31"/>
      <c r="ES240" s="31"/>
      <c r="ET240" s="31"/>
      <c r="EU240" s="31"/>
      <c r="EV240" s="31"/>
      <c r="EW240" s="31"/>
      <c r="EX240" s="31"/>
      <c r="EY240" s="31"/>
      <c r="EZ240" s="31"/>
      <c r="FA240" s="31"/>
      <c r="FB240" s="31"/>
      <c r="FC240" s="31"/>
      <c r="FD240" s="31"/>
      <c r="FE240" s="31"/>
      <c r="FF240" s="31"/>
      <c r="FG240" s="31"/>
      <c r="FH240" s="31"/>
      <c r="FI240" s="31"/>
      <c r="FJ240" s="31"/>
      <c r="FK240" s="31"/>
      <c r="FL240" s="31"/>
      <c r="FM240" s="31"/>
      <c r="FN240" s="31"/>
      <c r="FO240" s="31"/>
      <c r="FP240" s="31"/>
      <c r="FQ240" s="31"/>
      <c r="FR240" s="31"/>
      <c r="FS240" s="31"/>
      <c r="FT240" s="31"/>
      <c r="FU240" s="31"/>
      <c r="FV240" s="31"/>
      <c r="FW240" s="31"/>
      <c r="FX240" s="31"/>
      <c r="FY240" s="31"/>
      <c r="FZ240" s="31"/>
      <c r="GA240" s="31"/>
      <c r="GB240" s="31"/>
      <c r="GC240" s="31"/>
      <c r="GD240" s="31"/>
      <c r="GE240" s="31"/>
      <c r="GF240" s="31"/>
      <c r="GG240" s="31"/>
      <c r="GH240" s="31"/>
    </row>
    <row r="241" spans="1:190" ht="15.75" customHeight="1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>
        <v>239</v>
      </c>
      <c r="U241" s="31" t="s">
        <v>194</v>
      </c>
      <c r="V241" s="31" t="s">
        <v>724</v>
      </c>
      <c r="W241" s="31" t="s">
        <v>789</v>
      </c>
      <c r="X241" s="31" t="s">
        <v>2063</v>
      </c>
      <c r="Y241" s="31" t="s">
        <v>2064</v>
      </c>
      <c r="Z241" s="31" t="s">
        <v>463</v>
      </c>
      <c r="AA241" s="32" t="s">
        <v>202</v>
      </c>
      <c r="AB241" s="32" t="s">
        <v>725</v>
      </c>
      <c r="AC241" s="32" t="s">
        <v>793</v>
      </c>
      <c r="AD241" s="31" t="s">
        <v>303</v>
      </c>
      <c r="AE241" s="31"/>
      <c r="AF241" s="31" t="s">
        <v>760</v>
      </c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  <c r="DY241" s="31"/>
      <c r="DZ241" s="31"/>
      <c r="EA241" s="31"/>
      <c r="EB241" s="31"/>
      <c r="EC241" s="31"/>
      <c r="ED241" s="31"/>
      <c r="EE241" s="31"/>
      <c r="EF241" s="31"/>
      <c r="EG241" s="31"/>
      <c r="EH241" s="31"/>
      <c r="EI241" s="31"/>
      <c r="EJ241" s="31"/>
      <c r="EK241" s="31"/>
      <c r="EL241" s="31"/>
      <c r="EM241" s="31"/>
      <c r="EN241" s="31"/>
      <c r="EO241" s="31"/>
      <c r="EP241" s="31"/>
      <c r="EQ241" s="31"/>
      <c r="ER241" s="31"/>
      <c r="ES241" s="31"/>
      <c r="ET241" s="31"/>
      <c r="EU241" s="31"/>
      <c r="EV241" s="31"/>
      <c r="EW241" s="31"/>
      <c r="EX241" s="31"/>
      <c r="EY241" s="31"/>
      <c r="EZ241" s="31"/>
      <c r="FA241" s="31"/>
      <c r="FB241" s="31"/>
      <c r="FC241" s="31"/>
      <c r="FD241" s="31"/>
      <c r="FE241" s="31"/>
      <c r="FF241" s="31"/>
      <c r="FG241" s="31"/>
      <c r="FH241" s="31"/>
      <c r="FI241" s="31"/>
      <c r="FJ241" s="31"/>
      <c r="FK241" s="31"/>
      <c r="FL241" s="31"/>
      <c r="FM241" s="31"/>
      <c r="FN241" s="31"/>
      <c r="FO241" s="31"/>
      <c r="FP241" s="31"/>
      <c r="FQ241" s="31"/>
      <c r="FR241" s="31"/>
      <c r="FS241" s="31"/>
      <c r="FT241" s="31"/>
      <c r="FU241" s="31"/>
      <c r="FV241" s="31"/>
      <c r="FW241" s="31"/>
      <c r="FX241" s="31"/>
      <c r="FY241" s="31"/>
      <c r="FZ241" s="31"/>
      <c r="GA241" s="31"/>
      <c r="GB241" s="31"/>
      <c r="GC241" s="31"/>
      <c r="GD241" s="31"/>
      <c r="GE241" s="31"/>
      <c r="GF241" s="31"/>
      <c r="GG241" s="31"/>
      <c r="GH241" s="31"/>
    </row>
    <row r="242" spans="1:190" ht="15.75" customHeight="1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>
        <v>240</v>
      </c>
      <c r="U242" s="31" t="s">
        <v>194</v>
      </c>
      <c r="V242" s="31" t="s">
        <v>195</v>
      </c>
      <c r="W242" s="31" t="s">
        <v>196</v>
      </c>
      <c r="X242" s="31" t="s">
        <v>2065</v>
      </c>
      <c r="Y242" s="31" t="s">
        <v>2066</v>
      </c>
      <c r="Z242" s="31" t="s">
        <v>2067</v>
      </c>
      <c r="AA242" s="32" t="s">
        <v>202</v>
      </c>
      <c r="AB242" s="32" t="s">
        <v>203</v>
      </c>
      <c r="AC242" s="32" t="s">
        <v>204</v>
      </c>
      <c r="AD242" s="31" t="s">
        <v>205</v>
      </c>
      <c r="AE242" s="31" t="s">
        <v>897</v>
      </c>
      <c r="AF242" s="31" t="s">
        <v>207</v>
      </c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  <c r="DT242" s="31"/>
      <c r="DU242" s="31"/>
      <c r="DV242" s="31"/>
      <c r="DW242" s="31"/>
      <c r="DX242" s="31"/>
      <c r="DY242" s="31"/>
      <c r="DZ242" s="31"/>
      <c r="EA242" s="31"/>
      <c r="EB242" s="31"/>
      <c r="EC242" s="31"/>
      <c r="ED242" s="31"/>
      <c r="EE242" s="31"/>
      <c r="EF242" s="31"/>
      <c r="EG242" s="31"/>
      <c r="EH242" s="31"/>
      <c r="EI242" s="31"/>
      <c r="EJ242" s="31"/>
      <c r="EK242" s="31"/>
      <c r="EL242" s="31"/>
      <c r="EM242" s="31"/>
      <c r="EN242" s="31"/>
      <c r="EO242" s="31"/>
      <c r="EP242" s="31"/>
      <c r="EQ242" s="31"/>
      <c r="ER242" s="31"/>
      <c r="ES242" s="31"/>
      <c r="ET242" s="31"/>
      <c r="EU242" s="31"/>
      <c r="EV242" s="31"/>
      <c r="EW242" s="31"/>
      <c r="EX242" s="31"/>
      <c r="EY242" s="31"/>
      <c r="EZ242" s="31"/>
      <c r="FA242" s="31"/>
      <c r="FB242" s="31"/>
      <c r="FC242" s="31"/>
      <c r="FD242" s="31"/>
      <c r="FE242" s="31"/>
      <c r="FF242" s="31"/>
      <c r="FG242" s="31"/>
      <c r="FH242" s="31"/>
      <c r="FI242" s="31"/>
      <c r="FJ242" s="31"/>
      <c r="FK242" s="31"/>
      <c r="FL242" s="31"/>
      <c r="FM242" s="31"/>
      <c r="FN242" s="31"/>
      <c r="FO242" s="31"/>
      <c r="FP242" s="31"/>
      <c r="FQ242" s="31"/>
      <c r="FR242" s="31"/>
      <c r="FS242" s="31"/>
      <c r="FT242" s="31"/>
      <c r="FU242" s="31"/>
      <c r="FV242" s="31"/>
      <c r="FW242" s="31"/>
      <c r="FX242" s="31"/>
      <c r="FY242" s="31"/>
      <c r="FZ242" s="31"/>
      <c r="GA242" s="31"/>
      <c r="GB242" s="31"/>
      <c r="GC242" s="31"/>
      <c r="GD242" s="31"/>
      <c r="GE242" s="31"/>
      <c r="GF242" s="31"/>
      <c r="GG242" s="31"/>
      <c r="GH242" s="31"/>
    </row>
    <row r="243" spans="1:190" ht="15.75" customHeight="1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>
        <v>241</v>
      </c>
      <c r="U243" s="31" t="s">
        <v>187</v>
      </c>
      <c r="V243" s="31" t="s">
        <v>287</v>
      </c>
      <c r="W243" s="31" t="s">
        <v>469</v>
      </c>
      <c r="X243" s="31" t="s">
        <v>2068</v>
      </c>
      <c r="Y243" s="31" t="s">
        <v>2069</v>
      </c>
      <c r="Z243" s="31" t="s">
        <v>2070</v>
      </c>
      <c r="AA243" s="32" t="s">
        <v>286</v>
      </c>
      <c r="AB243" s="32" t="s">
        <v>290</v>
      </c>
      <c r="AC243" s="32" t="s">
        <v>473</v>
      </c>
      <c r="AD243" s="31" t="s">
        <v>1102</v>
      </c>
      <c r="AE243" s="31" t="s">
        <v>303</v>
      </c>
      <c r="AF243" s="31" t="s">
        <v>539</v>
      </c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  <c r="DT243" s="31"/>
      <c r="DU243" s="31"/>
      <c r="DV243" s="31"/>
      <c r="DW243" s="31"/>
      <c r="DX243" s="31"/>
      <c r="DY243" s="31"/>
      <c r="DZ243" s="31"/>
      <c r="EA243" s="31"/>
      <c r="EB243" s="31"/>
      <c r="EC243" s="31"/>
      <c r="ED243" s="31"/>
      <c r="EE243" s="31"/>
      <c r="EF243" s="31"/>
      <c r="EG243" s="31"/>
      <c r="EH243" s="31"/>
      <c r="EI243" s="31"/>
      <c r="EJ243" s="31"/>
      <c r="EK243" s="31"/>
      <c r="EL243" s="31"/>
      <c r="EM243" s="31"/>
      <c r="EN243" s="31"/>
      <c r="EO243" s="31"/>
      <c r="EP243" s="31"/>
      <c r="EQ243" s="31"/>
      <c r="ER243" s="31"/>
      <c r="ES243" s="31"/>
      <c r="ET243" s="31"/>
      <c r="EU243" s="31"/>
      <c r="EV243" s="31"/>
      <c r="EW243" s="31"/>
      <c r="EX243" s="31"/>
      <c r="EY243" s="31"/>
      <c r="EZ243" s="31"/>
      <c r="FA243" s="31"/>
      <c r="FB243" s="31"/>
      <c r="FC243" s="31"/>
      <c r="FD243" s="31"/>
      <c r="FE243" s="31"/>
      <c r="FF243" s="31"/>
      <c r="FG243" s="31"/>
      <c r="FH243" s="31"/>
      <c r="FI243" s="31"/>
      <c r="FJ243" s="31"/>
      <c r="FK243" s="31"/>
      <c r="FL243" s="31"/>
      <c r="FM243" s="31"/>
      <c r="FN243" s="31"/>
      <c r="FO243" s="31"/>
      <c r="FP243" s="31"/>
      <c r="FQ243" s="31"/>
      <c r="FR243" s="31"/>
      <c r="FS243" s="31"/>
      <c r="FT243" s="31"/>
      <c r="FU243" s="31"/>
      <c r="FV243" s="31"/>
      <c r="FW243" s="31"/>
      <c r="FX243" s="31"/>
      <c r="FY243" s="31"/>
      <c r="FZ243" s="31"/>
      <c r="GA243" s="31"/>
      <c r="GB243" s="31"/>
      <c r="GC243" s="31"/>
      <c r="GD243" s="31"/>
      <c r="GE243" s="31"/>
      <c r="GF243" s="31"/>
      <c r="GG243" s="31"/>
      <c r="GH243" s="31"/>
    </row>
    <row r="244" spans="1:190" ht="15.75" customHeight="1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>
        <v>242</v>
      </c>
      <c r="U244" s="31" t="s">
        <v>187</v>
      </c>
      <c r="V244" s="31" t="s">
        <v>287</v>
      </c>
      <c r="W244" s="31" t="s">
        <v>469</v>
      </c>
      <c r="X244" s="31" t="s">
        <v>2071</v>
      </c>
      <c r="Y244" s="31" t="s">
        <v>2072</v>
      </c>
      <c r="Z244" s="31" t="s">
        <v>2073</v>
      </c>
      <c r="AA244" s="32" t="s">
        <v>286</v>
      </c>
      <c r="AB244" s="32" t="s">
        <v>290</v>
      </c>
      <c r="AC244" s="32" t="s">
        <v>473</v>
      </c>
      <c r="AD244" s="31" t="s">
        <v>1102</v>
      </c>
      <c r="AE244" s="31" t="s">
        <v>303</v>
      </c>
      <c r="AF244" s="31" t="s">
        <v>539</v>
      </c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  <c r="DT244" s="31"/>
      <c r="DU244" s="31"/>
      <c r="DV244" s="31"/>
      <c r="DW244" s="31"/>
      <c r="DX244" s="31"/>
      <c r="DY244" s="31"/>
      <c r="DZ244" s="31"/>
      <c r="EA244" s="31"/>
      <c r="EB244" s="31"/>
      <c r="EC244" s="31"/>
      <c r="ED244" s="31"/>
      <c r="EE244" s="31"/>
      <c r="EF244" s="31"/>
      <c r="EG244" s="31"/>
      <c r="EH244" s="31"/>
      <c r="EI244" s="31"/>
      <c r="EJ244" s="31"/>
      <c r="EK244" s="31"/>
      <c r="EL244" s="31"/>
      <c r="EM244" s="31"/>
      <c r="EN244" s="31"/>
      <c r="EO244" s="31"/>
      <c r="EP244" s="31"/>
      <c r="EQ244" s="31"/>
      <c r="ER244" s="31"/>
      <c r="ES244" s="31"/>
      <c r="ET244" s="31"/>
      <c r="EU244" s="31"/>
      <c r="EV244" s="31"/>
      <c r="EW244" s="31"/>
      <c r="EX244" s="31"/>
      <c r="EY244" s="31"/>
      <c r="EZ244" s="31"/>
      <c r="FA244" s="31"/>
      <c r="FB244" s="31"/>
      <c r="FC244" s="31"/>
      <c r="FD244" s="31"/>
      <c r="FE244" s="31"/>
      <c r="FF244" s="31"/>
      <c r="FG244" s="31"/>
      <c r="FH244" s="31"/>
      <c r="FI244" s="31"/>
      <c r="FJ244" s="31"/>
      <c r="FK244" s="31"/>
      <c r="FL244" s="31"/>
      <c r="FM244" s="31"/>
      <c r="FN244" s="31"/>
      <c r="FO244" s="31"/>
      <c r="FP244" s="31"/>
      <c r="FQ244" s="31"/>
      <c r="FR244" s="31"/>
      <c r="FS244" s="31"/>
      <c r="FT244" s="31"/>
      <c r="FU244" s="31"/>
      <c r="FV244" s="31"/>
      <c r="FW244" s="31"/>
      <c r="FX244" s="31"/>
      <c r="FY244" s="31"/>
      <c r="FZ244" s="31"/>
      <c r="GA244" s="31"/>
      <c r="GB244" s="31"/>
      <c r="GC244" s="31"/>
      <c r="GD244" s="31"/>
      <c r="GE244" s="31"/>
      <c r="GF244" s="31"/>
      <c r="GG244" s="31"/>
      <c r="GH244" s="31"/>
    </row>
    <row r="245" spans="1:190" ht="15.75" customHeight="1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>
        <v>243</v>
      </c>
      <c r="U245" s="31" t="s">
        <v>194</v>
      </c>
      <c r="V245" s="31" t="s">
        <v>195</v>
      </c>
      <c r="W245" s="31" t="s">
        <v>196</v>
      </c>
      <c r="X245" s="31" t="s">
        <v>2074</v>
      </c>
      <c r="Y245" s="31" t="s">
        <v>2075</v>
      </c>
      <c r="Z245" s="31" t="s">
        <v>2076</v>
      </c>
      <c r="AA245" s="32" t="s">
        <v>202</v>
      </c>
      <c r="AB245" s="32" t="s">
        <v>203</v>
      </c>
      <c r="AC245" s="32" t="s">
        <v>204</v>
      </c>
      <c r="AD245" s="31" t="s">
        <v>205</v>
      </c>
      <c r="AE245" s="31" t="s">
        <v>1941</v>
      </c>
      <c r="AF245" s="31" t="s">
        <v>207</v>
      </c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1"/>
      <c r="DU245" s="31"/>
      <c r="DV245" s="31"/>
      <c r="DW245" s="31"/>
      <c r="DX245" s="31"/>
      <c r="DY245" s="31"/>
      <c r="DZ245" s="31"/>
      <c r="EA245" s="31"/>
      <c r="EB245" s="31"/>
      <c r="EC245" s="31"/>
      <c r="ED245" s="31"/>
      <c r="EE245" s="31"/>
      <c r="EF245" s="31"/>
      <c r="EG245" s="31"/>
      <c r="EH245" s="31"/>
      <c r="EI245" s="31"/>
      <c r="EJ245" s="31"/>
      <c r="EK245" s="31"/>
      <c r="EL245" s="31"/>
      <c r="EM245" s="31"/>
      <c r="EN245" s="31"/>
      <c r="EO245" s="31"/>
      <c r="EP245" s="31"/>
      <c r="EQ245" s="31"/>
      <c r="ER245" s="31"/>
      <c r="ES245" s="31"/>
      <c r="ET245" s="31"/>
      <c r="EU245" s="31"/>
      <c r="EV245" s="31"/>
      <c r="EW245" s="31"/>
      <c r="EX245" s="31"/>
      <c r="EY245" s="31"/>
      <c r="EZ245" s="31"/>
      <c r="FA245" s="31"/>
      <c r="FB245" s="31"/>
      <c r="FC245" s="31"/>
      <c r="FD245" s="31"/>
      <c r="FE245" s="31"/>
      <c r="FF245" s="31"/>
      <c r="FG245" s="31"/>
      <c r="FH245" s="31"/>
      <c r="FI245" s="31"/>
      <c r="FJ245" s="31"/>
      <c r="FK245" s="31"/>
      <c r="FL245" s="31"/>
      <c r="FM245" s="31"/>
      <c r="FN245" s="31"/>
      <c r="FO245" s="31"/>
      <c r="FP245" s="31"/>
      <c r="FQ245" s="31"/>
      <c r="FR245" s="31"/>
      <c r="FS245" s="31"/>
      <c r="FT245" s="31"/>
      <c r="FU245" s="31"/>
      <c r="FV245" s="31"/>
      <c r="FW245" s="31"/>
      <c r="FX245" s="31"/>
      <c r="FY245" s="31"/>
      <c r="FZ245" s="31"/>
      <c r="GA245" s="31"/>
      <c r="GB245" s="31"/>
      <c r="GC245" s="31"/>
      <c r="GD245" s="31"/>
      <c r="GE245" s="31"/>
      <c r="GF245" s="31"/>
      <c r="GG245" s="31"/>
      <c r="GH245" s="31"/>
    </row>
    <row r="246" spans="1:190" ht="15.75" customHeight="1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>
        <v>244</v>
      </c>
      <c r="U246" s="31" t="s">
        <v>194</v>
      </c>
      <c r="V246" s="31" t="s">
        <v>724</v>
      </c>
      <c r="W246" s="31" t="s">
        <v>789</v>
      </c>
      <c r="X246" s="31" t="s">
        <v>2077</v>
      </c>
      <c r="Y246" s="31" t="s">
        <v>2078</v>
      </c>
      <c r="Z246" s="31" t="s">
        <v>515</v>
      </c>
      <c r="AA246" s="32" t="s">
        <v>202</v>
      </c>
      <c r="AB246" s="32" t="s">
        <v>725</v>
      </c>
      <c r="AC246" s="32" t="s">
        <v>793</v>
      </c>
      <c r="AD246" s="31" t="s">
        <v>303</v>
      </c>
      <c r="AE246" s="31"/>
      <c r="AF246" s="31" t="s">
        <v>760</v>
      </c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31"/>
      <c r="DL246" s="31"/>
      <c r="DM246" s="31"/>
      <c r="DN246" s="31"/>
      <c r="DO246" s="31"/>
      <c r="DP246" s="31"/>
      <c r="DQ246" s="31"/>
      <c r="DR246" s="31"/>
      <c r="DS246" s="31"/>
      <c r="DT246" s="31"/>
      <c r="DU246" s="31"/>
      <c r="DV246" s="31"/>
      <c r="DW246" s="31"/>
      <c r="DX246" s="31"/>
      <c r="DY246" s="31"/>
      <c r="DZ246" s="31"/>
      <c r="EA246" s="31"/>
      <c r="EB246" s="31"/>
      <c r="EC246" s="31"/>
      <c r="ED246" s="31"/>
      <c r="EE246" s="31"/>
      <c r="EF246" s="31"/>
      <c r="EG246" s="31"/>
      <c r="EH246" s="31"/>
      <c r="EI246" s="31"/>
      <c r="EJ246" s="31"/>
      <c r="EK246" s="31"/>
      <c r="EL246" s="31"/>
      <c r="EM246" s="31"/>
      <c r="EN246" s="31"/>
      <c r="EO246" s="31"/>
      <c r="EP246" s="31"/>
      <c r="EQ246" s="31"/>
      <c r="ER246" s="31"/>
      <c r="ES246" s="31"/>
      <c r="ET246" s="31"/>
      <c r="EU246" s="31"/>
      <c r="EV246" s="31"/>
      <c r="EW246" s="31"/>
      <c r="EX246" s="31"/>
      <c r="EY246" s="31"/>
      <c r="EZ246" s="31"/>
      <c r="FA246" s="31"/>
      <c r="FB246" s="31"/>
      <c r="FC246" s="31"/>
      <c r="FD246" s="31"/>
      <c r="FE246" s="31"/>
      <c r="FF246" s="31"/>
      <c r="FG246" s="31"/>
      <c r="FH246" s="31"/>
      <c r="FI246" s="31"/>
      <c r="FJ246" s="31"/>
      <c r="FK246" s="31"/>
      <c r="FL246" s="31"/>
      <c r="FM246" s="31"/>
      <c r="FN246" s="31"/>
      <c r="FO246" s="31"/>
      <c r="FP246" s="31"/>
      <c r="FQ246" s="31"/>
      <c r="FR246" s="31"/>
      <c r="FS246" s="31"/>
      <c r="FT246" s="31"/>
      <c r="FU246" s="31"/>
      <c r="FV246" s="31"/>
      <c r="FW246" s="31"/>
      <c r="FX246" s="31"/>
      <c r="FY246" s="31"/>
      <c r="FZ246" s="31"/>
      <c r="GA246" s="31"/>
      <c r="GB246" s="31"/>
      <c r="GC246" s="31"/>
      <c r="GD246" s="31"/>
      <c r="GE246" s="31"/>
      <c r="GF246" s="31"/>
      <c r="GG246" s="31"/>
      <c r="GH246" s="31"/>
    </row>
    <row r="247" spans="1:190" ht="15.75" customHeight="1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>
        <v>245</v>
      </c>
      <c r="U247" s="31" t="s">
        <v>194</v>
      </c>
      <c r="V247" s="31" t="s">
        <v>294</v>
      </c>
      <c r="W247" s="31" t="s">
        <v>776</v>
      </c>
      <c r="X247" s="31" t="s">
        <v>2079</v>
      </c>
      <c r="Y247" s="31" t="s">
        <v>2080</v>
      </c>
      <c r="Z247" s="31" t="s">
        <v>2081</v>
      </c>
      <c r="AA247" s="32" t="s">
        <v>202</v>
      </c>
      <c r="AB247" s="32" t="s">
        <v>300</v>
      </c>
      <c r="AC247" s="32" t="s">
        <v>779</v>
      </c>
      <c r="AD247" s="31" t="s">
        <v>965</v>
      </c>
      <c r="AE247" s="31" t="s">
        <v>303</v>
      </c>
      <c r="AF247" s="31" t="s">
        <v>966</v>
      </c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  <c r="DT247" s="31"/>
      <c r="DU247" s="31"/>
      <c r="DV247" s="31"/>
      <c r="DW247" s="31"/>
      <c r="DX247" s="31"/>
      <c r="DY247" s="31"/>
      <c r="DZ247" s="31"/>
      <c r="EA247" s="31"/>
      <c r="EB247" s="31"/>
      <c r="EC247" s="31"/>
      <c r="ED247" s="31"/>
      <c r="EE247" s="31"/>
      <c r="EF247" s="31"/>
      <c r="EG247" s="31"/>
      <c r="EH247" s="31"/>
      <c r="EI247" s="31"/>
      <c r="EJ247" s="31"/>
      <c r="EK247" s="31"/>
      <c r="EL247" s="31"/>
      <c r="EM247" s="31"/>
      <c r="EN247" s="31"/>
      <c r="EO247" s="31"/>
      <c r="EP247" s="31"/>
      <c r="EQ247" s="31"/>
      <c r="ER247" s="31"/>
      <c r="ES247" s="31"/>
      <c r="ET247" s="31"/>
      <c r="EU247" s="31"/>
      <c r="EV247" s="31"/>
      <c r="EW247" s="31"/>
      <c r="EX247" s="31"/>
      <c r="EY247" s="31"/>
      <c r="EZ247" s="31"/>
      <c r="FA247" s="31"/>
      <c r="FB247" s="31"/>
      <c r="FC247" s="31"/>
      <c r="FD247" s="31"/>
      <c r="FE247" s="31"/>
      <c r="FF247" s="31"/>
      <c r="FG247" s="31"/>
      <c r="FH247" s="31"/>
      <c r="FI247" s="31"/>
      <c r="FJ247" s="31"/>
      <c r="FK247" s="31"/>
      <c r="FL247" s="31"/>
      <c r="FM247" s="31"/>
      <c r="FN247" s="31"/>
      <c r="FO247" s="31"/>
      <c r="FP247" s="31"/>
      <c r="FQ247" s="31"/>
      <c r="FR247" s="31"/>
      <c r="FS247" s="31"/>
      <c r="FT247" s="31"/>
      <c r="FU247" s="31"/>
      <c r="FV247" s="31"/>
      <c r="FW247" s="31"/>
      <c r="FX247" s="31"/>
      <c r="FY247" s="31"/>
      <c r="FZ247" s="31"/>
      <c r="GA247" s="31"/>
      <c r="GB247" s="31"/>
      <c r="GC247" s="31"/>
      <c r="GD247" s="31"/>
      <c r="GE247" s="31"/>
      <c r="GF247" s="31"/>
      <c r="GG247" s="31"/>
      <c r="GH247" s="31"/>
    </row>
    <row r="248" spans="1:190" ht="15.75" customHeight="1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>
        <v>246</v>
      </c>
      <c r="U248" s="31" t="s">
        <v>187</v>
      </c>
      <c r="V248" s="31" t="s">
        <v>194</v>
      </c>
      <c r="W248" s="31" t="s">
        <v>294</v>
      </c>
      <c r="X248" s="31" t="s">
        <v>2082</v>
      </c>
      <c r="Y248" s="31" t="s">
        <v>2083</v>
      </c>
      <c r="Z248" s="31" t="s">
        <v>2084</v>
      </c>
      <c r="AA248" s="32" t="s">
        <v>286</v>
      </c>
      <c r="AB248" s="32" t="s">
        <v>419</v>
      </c>
      <c r="AC248" s="32" t="s">
        <v>698</v>
      </c>
      <c r="AD248" s="31" t="s">
        <v>2085</v>
      </c>
      <c r="AE248" s="31" t="s">
        <v>303</v>
      </c>
      <c r="AF248" s="31" t="s">
        <v>1326</v>
      </c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  <c r="DT248" s="31"/>
      <c r="DU248" s="31"/>
      <c r="DV248" s="31"/>
      <c r="DW248" s="31"/>
      <c r="DX248" s="31"/>
      <c r="DY248" s="31"/>
      <c r="DZ248" s="31"/>
      <c r="EA248" s="31"/>
      <c r="EB248" s="31"/>
      <c r="EC248" s="31"/>
      <c r="ED248" s="31"/>
      <c r="EE248" s="31"/>
      <c r="EF248" s="31"/>
      <c r="EG248" s="31"/>
      <c r="EH248" s="31"/>
      <c r="EI248" s="31"/>
      <c r="EJ248" s="31"/>
      <c r="EK248" s="31"/>
      <c r="EL248" s="31"/>
      <c r="EM248" s="31"/>
      <c r="EN248" s="31"/>
      <c r="EO248" s="31"/>
      <c r="EP248" s="31"/>
      <c r="EQ248" s="31"/>
      <c r="ER248" s="31"/>
      <c r="ES248" s="31"/>
      <c r="ET248" s="31"/>
      <c r="EU248" s="31"/>
      <c r="EV248" s="31"/>
      <c r="EW248" s="31"/>
      <c r="EX248" s="31"/>
      <c r="EY248" s="31"/>
      <c r="EZ248" s="31"/>
      <c r="FA248" s="31"/>
      <c r="FB248" s="31"/>
      <c r="FC248" s="31"/>
      <c r="FD248" s="31"/>
      <c r="FE248" s="31"/>
      <c r="FF248" s="31"/>
      <c r="FG248" s="31"/>
      <c r="FH248" s="31"/>
      <c r="FI248" s="31"/>
      <c r="FJ248" s="31"/>
      <c r="FK248" s="31"/>
      <c r="FL248" s="31"/>
      <c r="FM248" s="31"/>
      <c r="FN248" s="31"/>
      <c r="FO248" s="31"/>
      <c r="FP248" s="31"/>
      <c r="FQ248" s="31"/>
      <c r="FR248" s="31"/>
      <c r="FS248" s="31"/>
      <c r="FT248" s="31"/>
      <c r="FU248" s="31"/>
      <c r="FV248" s="31"/>
      <c r="FW248" s="31"/>
      <c r="FX248" s="31"/>
      <c r="FY248" s="31"/>
      <c r="FZ248" s="31"/>
      <c r="GA248" s="31"/>
      <c r="GB248" s="31"/>
      <c r="GC248" s="31"/>
      <c r="GD248" s="31"/>
      <c r="GE248" s="31"/>
      <c r="GF248" s="31"/>
      <c r="GG248" s="31"/>
      <c r="GH248" s="31"/>
    </row>
    <row r="249" spans="1:190" ht="15.75" customHeight="1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>
        <v>247</v>
      </c>
      <c r="U249" s="31" t="s">
        <v>187</v>
      </c>
      <c r="V249" s="31" t="s">
        <v>469</v>
      </c>
      <c r="W249" s="31" t="s">
        <v>363</v>
      </c>
      <c r="X249" s="31" t="s">
        <v>2086</v>
      </c>
      <c r="Y249" s="31" t="s">
        <v>2087</v>
      </c>
      <c r="Z249" s="31" t="s">
        <v>2088</v>
      </c>
      <c r="AA249" s="32" t="s">
        <v>286</v>
      </c>
      <c r="AB249" s="32" t="s">
        <v>470</v>
      </c>
      <c r="AC249" s="32" t="s">
        <v>303</v>
      </c>
      <c r="AD249" s="31"/>
      <c r="AE249" s="31"/>
      <c r="AF249" s="31" t="s">
        <v>470</v>
      </c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</row>
    <row r="250" spans="1:190" ht="15.75" customHeight="1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>
        <v>248</v>
      </c>
      <c r="U250" s="31" t="s">
        <v>187</v>
      </c>
      <c r="V250" s="31" t="s">
        <v>287</v>
      </c>
      <c r="W250" s="31" t="s">
        <v>595</v>
      </c>
      <c r="X250" s="31" t="s">
        <v>2089</v>
      </c>
      <c r="Y250" s="31" t="s">
        <v>2090</v>
      </c>
      <c r="Z250" s="31" t="s">
        <v>2091</v>
      </c>
      <c r="AA250" s="32" t="s">
        <v>286</v>
      </c>
      <c r="AB250" s="32" t="s">
        <v>290</v>
      </c>
      <c r="AC250" s="32" t="s">
        <v>599</v>
      </c>
      <c r="AD250" s="31" t="s">
        <v>303</v>
      </c>
      <c r="AE250" s="31"/>
      <c r="AF250" s="31" t="s">
        <v>1051</v>
      </c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  <c r="DT250" s="31"/>
      <c r="DU250" s="31"/>
      <c r="DV250" s="31"/>
      <c r="DW250" s="31"/>
      <c r="DX250" s="31"/>
      <c r="DY250" s="31"/>
      <c r="DZ250" s="31"/>
      <c r="EA250" s="31"/>
      <c r="EB250" s="31"/>
      <c r="EC250" s="31"/>
      <c r="ED250" s="31"/>
      <c r="EE250" s="31"/>
      <c r="EF250" s="31"/>
      <c r="EG250" s="31"/>
      <c r="EH250" s="31"/>
      <c r="EI250" s="31"/>
      <c r="EJ250" s="31"/>
      <c r="EK250" s="31"/>
      <c r="EL250" s="31"/>
      <c r="EM250" s="31"/>
      <c r="EN250" s="31"/>
      <c r="EO250" s="31"/>
      <c r="EP250" s="31"/>
      <c r="EQ250" s="31"/>
      <c r="ER250" s="31"/>
      <c r="ES250" s="31"/>
      <c r="ET250" s="31"/>
      <c r="EU250" s="31"/>
      <c r="EV250" s="31"/>
      <c r="EW250" s="31"/>
      <c r="EX250" s="31"/>
      <c r="EY250" s="31"/>
      <c r="EZ250" s="31"/>
      <c r="FA250" s="31"/>
      <c r="FB250" s="31"/>
      <c r="FC250" s="31"/>
      <c r="FD250" s="31"/>
      <c r="FE250" s="31"/>
      <c r="FF250" s="31"/>
      <c r="FG250" s="31"/>
      <c r="FH250" s="31"/>
      <c r="FI250" s="31"/>
      <c r="FJ250" s="31"/>
      <c r="FK250" s="31"/>
      <c r="FL250" s="31"/>
      <c r="FM250" s="31"/>
      <c r="FN250" s="31"/>
      <c r="FO250" s="31"/>
      <c r="FP250" s="31"/>
      <c r="FQ250" s="31"/>
      <c r="FR250" s="31"/>
      <c r="FS250" s="31"/>
      <c r="FT250" s="31"/>
      <c r="FU250" s="31"/>
      <c r="FV250" s="31"/>
      <c r="FW250" s="31"/>
      <c r="FX250" s="31"/>
      <c r="FY250" s="31"/>
      <c r="FZ250" s="31"/>
      <c r="GA250" s="31"/>
      <c r="GB250" s="31"/>
      <c r="GC250" s="31"/>
      <c r="GD250" s="31"/>
      <c r="GE250" s="31"/>
      <c r="GF250" s="31"/>
      <c r="GG250" s="31"/>
      <c r="GH250" s="31"/>
    </row>
    <row r="251" spans="1:190" ht="15.75" customHeight="1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>
        <v>249</v>
      </c>
      <c r="U251" s="31" t="s">
        <v>187</v>
      </c>
      <c r="V251" s="31" t="s">
        <v>194</v>
      </c>
      <c r="W251" s="31" t="s">
        <v>195</v>
      </c>
      <c r="X251" s="31" t="s">
        <v>2092</v>
      </c>
      <c r="Y251" s="31" t="s">
        <v>2093</v>
      </c>
      <c r="Z251" s="31" t="s">
        <v>2094</v>
      </c>
      <c r="AA251" s="32" t="s">
        <v>286</v>
      </c>
      <c r="AB251" s="32" t="s">
        <v>419</v>
      </c>
      <c r="AC251" s="32" t="s">
        <v>675</v>
      </c>
      <c r="AD251" s="31" t="s">
        <v>1134</v>
      </c>
      <c r="AE251" s="31" t="s">
        <v>2095</v>
      </c>
      <c r="AF251" s="31" t="s">
        <v>640</v>
      </c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  <c r="DY251" s="31"/>
      <c r="DZ251" s="31"/>
      <c r="EA251" s="31"/>
      <c r="EB251" s="31"/>
      <c r="EC251" s="31"/>
      <c r="ED251" s="31"/>
      <c r="EE251" s="31"/>
      <c r="EF251" s="31"/>
      <c r="EG251" s="31"/>
      <c r="EH251" s="31"/>
      <c r="EI251" s="31"/>
      <c r="EJ251" s="31"/>
      <c r="EK251" s="31"/>
      <c r="EL251" s="31"/>
      <c r="EM251" s="31"/>
      <c r="EN251" s="31"/>
      <c r="EO251" s="31"/>
      <c r="EP251" s="31"/>
      <c r="EQ251" s="31"/>
      <c r="ER251" s="31"/>
      <c r="ES251" s="31"/>
      <c r="ET251" s="31"/>
      <c r="EU251" s="31"/>
      <c r="EV251" s="31"/>
      <c r="EW251" s="31"/>
      <c r="EX251" s="31"/>
      <c r="EY251" s="31"/>
      <c r="EZ251" s="31"/>
      <c r="FA251" s="31"/>
      <c r="FB251" s="31"/>
      <c r="FC251" s="31"/>
      <c r="FD251" s="31"/>
      <c r="FE251" s="31"/>
      <c r="FF251" s="31"/>
      <c r="FG251" s="31"/>
      <c r="FH251" s="31"/>
      <c r="FI251" s="31"/>
      <c r="FJ251" s="31"/>
      <c r="FK251" s="31"/>
      <c r="FL251" s="31"/>
      <c r="FM251" s="31"/>
      <c r="FN251" s="31"/>
      <c r="FO251" s="31"/>
      <c r="FP251" s="31"/>
      <c r="FQ251" s="31"/>
      <c r="FR251" s="31"/>
      <c r="FS251" s="31"/>
      <c r="FT251" s="31"/>
      <c r="FU251" s="31"/>
      <c r="FV251" s="31"/>
      <c r="FW251" s="31"/>
      <c r="FX251" s="31"/>
      <c r="FY251" s="31"/>
      <c r="FZ251" s="31"/>
      <c r="GA251" s="31"/>
      <c r="GB251" s="31"/>
      <c r="GC251" s="31"/>
      <c r="GD251" s="31"/>
      <c r="GE251" s="31"/>
      <c r="GF251" s="31"/>
      <c r="GG251" s="31"/>
      <c r="GH251" s="31"/>
    </row>
    <row r="252" spans="1:190" ht="15.75" customHeight="1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>
        <v>250</v>
      </c>
      <c r="U252" s="31" t="s">
        <v>194</v>
      </c>
      <c r="V252" s="31" t="s">
        <v>294</v>
      </c>
      <c r="W252" s="31" t="s">
        <v>776</v>
      </c>
      <c r="X252" s="31" t="s">
        <v>2096</v>
      </c>
      <c r="Y252" s="31" t="s">
        <v>2097</v>
      </c>
      <c r="Z252" s="31" t="s">
        <v>2098</v>
      </c>
      <c r="AA252" s="32" t="s">
        <v>202</v>
      </c>
      <c r="AB252" s="32" t="s">
        <v>300</v>
      </c>
      <c r="AC252" s="32" t="s">
        <v>779</v>
      </c>
      <c r="AD252" s="31" t="s">
        <v>965</v>
      </c>
      <c r="AE252" s="31" t="s">
        <v>303</v>
      </c>
      <c r="AF252" s="31" t="s">
        <v>966</v>
      </c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</row>
    <row r="253" spans="1:190" ht="15.75" customHeight="1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>
        <v>251</v>
      </c>
      <c r="U253" s="31" t="s">
        <v>187</v>
      </c>
      <c r="V253" s="31" t="s">
        <v>360</v>
      </c>
      <c r="W253" s="31" t="s">
        <v>647</v>
      </c>
      <c r="X253" s="31" t="s">
        <v>2099</v>
      </c>
      <c r="Y253" s="31" t="s">
        <v>2100</v>
      </c>
      <c r="Z253" s="31" t="s">
        <v>2101</v>
      </c>
      <c r="AA253" s="32" t="s">
        <v>286</v>
      </c>
      <c r="AB253" s="32" t="s">
        <v>361</v>
      </c>
      <c r="AC253" s="32" t="s">
        <v>651</v>
      </c>
      <c r="AD253" s="31" t="s">
        <v>2102</v>
      </c>
      <c r="AE253" s="31" t="s">
        <v>303</v>
      </c>
      <c r="AF253" s="31" t="s">
        <v>1237</v>
      </c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  <c r="DT253" s="31"/>
      <c r="DU253" s="31"/>
      <c r="DV253" s="31"/>
      <c r="DW253" s="31"/>
      <c r="DX253" s="31"/>
      <c r="DY253" s="31"/>
      <c r="DZ253" s="31"/>
      <c r="EA253" s="31"/>
      <c r="EB253" s="31"/>
      <c r="EC253" s="31"/>
      <c r="ED253" s="31"/>
      <c r="EE253" s="31"/>
      <c r="EF253" s="31"/>
      <c r="EG253" s="31"/>
      <c r="EH253" s="31"/>
      <c r="EI253" s="31"/>
      <c r="EJ253" s="31"/>
      <c r="EK253" s="31"/>
      <c r="EL253" s="31"/>
      <c r="EM253" s="31"/>
      <c r="EN253" s="31"/>
      <c r="EO253" s="31"/>
      <c r="EP253" s="31"/>
      <c r="EQ253" s="31"/>
      <c r="ER253" s="31"/>
      <c r="ES253" s="31"/>
      <c r="ET253" s="31"/>
      <c r="EU253" s="31"/>
      <c r="EV253" s="31"/>
      <c r="EW253" s="31"/>
      <c r="EX253" s="31"/>
      <c r="EY253" s="31"/>
      <c r="EZ253" s="31"/>
      <c r="FA253" s="31"/>
      <c r="FB253" s="31"/>
      <c r="FC253" s="31"/>
      <c r="FD253" s="31"/>
      <c r="FE253" s="31"/>
      <c r="FF253" s="31"/>
      <c r="FG253" s="31"/>
      <c r="FH253" s="31"/>
      <c r="FI253" s="31"/>
      <c r="FJ253" s="31"/>
      <c r="FK253" s="31"/>
      <c r="FL253" s="31"/>
      <c r="FM253" s="31"/>
      <c r="FN253" s="31"/>
      <c r="FO253" s="31"/>
      <c r="FP253" s="31"/>
      <c r="FQ253" s="31"/>
      <c r="FR253" s="31"/>
      <c r="FS253" s="31"/>
      <c r="FT253" s="31"/>
      <c r="FU253" s="31"/>
      <c r="FV253" s="31"/>
      <c r="FW253" s="31"/>
      <c r="FX253" s="31"/>
      <c r="FY253" s="31"/>
      <c r="FZ253" s="31"/>
      <c r="GA253" s="31"/>
      <c r="GB253" s="31"/>
      <c r="GC253" s="31"/>
      <c r="GD253" s="31"/>
      <c r="GE253" s="31"/>
      <c r="GF253" s="31"/>
      <c r="GG253" s="31"/>
      <c r="GH253" s="31"/>
    </row>
    <row r="254" spans="1:190" ht="15.75" customHeight="1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>
        <v>252</v>
      </c>
      <c r="U254" s="31" t="s">
        <v>360</v>
      </c>
      <c r="V254" s="31" t="s">
        <v>647</v>
      </c>
      <c r="W254" s="31" t="s">
        <v>867</v>
      </c>
      <c r="X254" s="31" t="s">
        <v>2103</v>
      </c>
      <c r="Y254" s="31" t="s">
        <v>2104</v>
      </c>
      <c r="Z254" s="31" t="s">
        <v>2105</v>
      </c>
      <c r="AA254" s="32" t="s">
        <v>418</v>
      </c>
      <c r="AB254" s="32" t="s">
        <v>648</v>
      </c>
      <c r="AC254" s="32" t="s">
        <v>868</v>
      </c>
      <c r="AD254" s="31" t="s">
        <v>303</v>
      </c>
      <c r="AE254" s="31"/>
      <c r="AF254" s="31" t="s">
        <v>1055</v>
      </c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</row>
    <row r="255" spans="1:190" ht="15.75" customHeight="1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>
        <v>253</v>
      </c>
      <c r="U255" s="31" t="s">
        <v>360</v>
      </c>
      <c r="V255" s="31" t="s">
        <v>647</v>
      </c>
      <c r="W255" s="31" t="s">
        <v>867</v>
      </c>
      <c r="X255" s="31" t="s">
        <v>2106</v>
      </c>
      <c r="Y255" s="31" t="s">
        <v>2107</v>
      </c>
      <c r="Z255" s="31" t="s">
        <v>2108</v>
      </c>
      <c r="AA255" s="32" t="s">
        <v>418</v>
      </c>
      <c r="AB255" s="32" t="s">
        <v>648</v>
      </c>
      <c r="AC255" s="32" t="s">
        <v>868</v>
      </c>
      <c r="AD255" s="31" t="s">
        <v>303</v>
      </c>
      <c r="AE255" s="31"/>
      <c r="AF255" s="31" t="s">
        <v>1055</v>
      </c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  <c r="DT255" s="31"/>
      <c r="DU255" s="31"/>
      <c r="DV255" s="31"/>
      <c r="DW255" s="31"/>
      <c r="DX255" s="31"/>
      <c r="DY255" s="31"/>
      <c r="DZ255" s="31"/>
      <c r="EA255" s="31"/>
      <c r="EB255" s="31"/>
      <c r="EC255" s="31"/>
      <c r="ED255" s="31"/>
      <c r="EE255" s="31"/>
      <c r="EF255" s="31"/>
      <c r="EG255" s="31"/>
      <c r="EH255" s="31"/>
      <c r="EI255" s="31"/>
      <c r="EJ255" s="31"/>
      <c r="EK255" s="31"/>
      <c r="EL255" s="31"/>
      <c r="EM255" s="31"/>
      <c r="EN255" s="31"/>
      <c r="EO255" s="31"/>
      <c r="EP255" s="31"/>
      <c r="EQ255" s="31"/>
      <c r="ER255" s="31"/>
      <c r="ES255" s="31"/>
      <c r="ET255" s="31"/>
      <c r="EU255" s="31"/>
      <c r="EV255" s="31"/>
      <c r="EW255" s="31"/>
      <c r="EX255" s="31"/>
      <c r="EY255" s="31"/>
      <c r="EZ255" s="31"/>
      <c r="FA255" s="31"/>
      <c r="FB255" s="31"/>
      <c r="FC255" s="31"/>
      <c r="FD255" s="31"/>
      <c r="FE255" s="31"/>
      <c r="FF255" s="31"/>
      <c r="FG255" s="31"/>
      <c r="FH255" s="31"/>
      <c r="FI255" s="31"/>
      <c r="FJ255" s="31"/>
      <c r="FK255" s="31"/>
      <c r="FL255" s="31"/>
      <c r="FM255" s="31"/>
      <c r="FN255" s="31"/>
      <c r="FO255" s="31"/>
      <c r="FP255" s="31"/>
      <c r="FQ255" s="31"/>
      <c r="FR255" s="31"/>
      <c r="FS255" s="31"/>
      <c r="FT255" s="31"/>
      <c r="FU255" s="31"/>
      <c r="FV255" s="31"/>
      <c r="FW255" s="31"/>
      <c r="FX255" s="31"/>
      <c r="FY255" s="31"/>
      <c r="FZ255" s="31"/>
      <c r="GA255" s="31"/>
      <c r="GB255" s="31"/>
      <c r="GC255" s="31"/>
      <c r="GD255" s="31"/>
      <c r="GE255" s="31"/>
      <c r="GF255" s="31"/>
      <c r="GG255" s="31"/>
      <c r="GH255" s="31"/>
    </row>
    <row r="256" spans="1:190" ht="15.75" customHeight="1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>
        <v>254</v>
      </c>
      <c r="U256" s="31" t="s">
        <v>194</v>
      </c>
      <c r="V256" s="31" t="s">
        <v>195</v>
      </c>
      <c r="W256" s="31" t="s">
        <v>196</v>
      </c>
      <c r="X256" s="31" t="s">
        <v>2109</v>
      </c>
      <c r="Y256" s="31" t="s">
        <v>2110</v>
      </c>
      <c r="Z256" s="31" t="s">
        <v>2111</v>
      </c>
      <c r="AA256" s="32" t="s">
        <v>202</v>
      </c>
      <c r="AB256" s="32" t="s">
        <v>203</v>
      </c>
      <c r="AC256" s="32" t="s">
        <v>204</v>
      </c>
      <c r="AD256" s="31" t="s">
        <v>205</v>
      </c>
      <c r="AE256" s="31" t="s">
        <v>206</v>
      </c>
      <c r="AF256" s="31" t="s">
        <v>207</v>
      </c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  <c r="DT256" s="31"/>
      <c r="DU256" s="31"/>
      <c r="DV256" s="31"/>
      <c r="DW256" s="31"/>
      <c r="DX256" s="31"/>
      <c r="DY256" s="31"/>
      <c r="DZ256" s="31"/>
      <c r="EA256" s="31"/>
      <c r="EB256" s="31"/>
      <c r="EC256" s="31"/>
      <c r="ED256" s="31"/>
      <c r="EE256" s="31"/>
      <c r="EF256" s="31"/>
      <c r="EG256" s="31"/>
      <c r="EH256" s="31"/>
      <c r="EI256" s="31"/>
      <c r="EJ256" s="31"/>
      <c r="EK256" s="31"/>
      <c r="EL256" s="31"/>
      <c r="EM256" s="31"/>
      <c r="EN256" s="31"/>
      <c r="EO256" s="31"/>
      <c r="EP256" s="31"/>
      <c r="EQ256" s="31"/>
      <c r="ER256" s="31"/>
      <c r="ES256" s="31"/>
      <c r="ET256" s="31"/>
      <c r="EU256" s="31"/>
      <c r="EV256" s="31"/>
      <c r="EW256" s="31"/>
      <c r="EX256" s="31"/>
      <c r="EY256" s="31"/>
      <c r="EZ256" s="31"/>
      <c r="FA256" s="31"/>
      <c r="FB256" s="31"/>
      <c r="FC256" s="31"/>
      <c r="FD256" s="31"/>
      <c r="FE256" s="31"/>
      <c r="FF256" s="31"/>
      <c r="FG256" s="31"/>
      <c r="FH256" s="31"/>
      <c r="FI256" s="31"/>
      <c r="FJ256" s="31"/>
      <c r="FK256" s="31"/>
      <c r="FL256" s="31"/>
      <c r="FM256" s="31"/>
      <c r="FN256" s="31"/>
      <c r="FO256" s="31"/>
      <c r="FP256" s="31"/>
      <c r="FQ256" s="31"/>
      <c r="FR256" s="31"/>
      <c r="FS256" s="31"/>
      <c r="FT256" s="31"/>
      <c r="FU256" s="31"/>
      <c r="FV256" s="31"/>
      <c r="FW256" s="31"/>
      <c r="FX256" s="31"/>
      <c r="FY256" s="31"/>
      <c r="FZ256" s="31"/>
      <c r="GA256" s="31"/>
      <c r="GB256" s="31"/>
      <c r="GC256" s="31"/>
      <c r="GD256" s="31"/>
      <c r="GE256" s="31"/>
      <c r="GF256" s="31"/>
      <c r="GG256" s="31"/>
      <c r="GH256" s="31"/>
    </row>
    <row r="257" spans="1:190" ht="15.75" customHeight="1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>
        <v>255</v>
      </c>
      <c r="U257" s="31" t="s">
        <v>194</v>
      </c>
      <c r="V257" s="31" t="s">
        <v>729</v>
      </c>
      <c r="W257" s="31" t="s">
        <v>970</v>
      </c>
      <c r="X257" s="31" t="s">
        <v>2112</v>
      </c>
      <c r="Y257" s="31" t="s">
        <v>2113</v>
      </c>
      <c r="Z257" s="31" t="s">
        <v>2114</v>
      </c>
      <c r="AA257" s="32" t="s">
        <v>202</v>
      </c>
      <c r="AB257" s="32" t="s">
        <v>736</v>
      </c>
      <c r="AC257" s="32" t="s">
        <v>885</v>
      </c>
      <c r="AD257" s="31" t="s">
        <v>1451</v>
      </c>
      <c r="AE257" s="31" t="s">
        <v>303</v>
      </c>
      <c r="AF257" s="31" t="s">
        <v>1384</v>
      </c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  <c r="DT257" s="31"/>
      <c r="DU257" s="31"/>
      <c r="DV257" s="31"/>
      <c r="DW257" s="31"/>
      <c r="DX257" s="31"/>
      <c r="DY257" s="31"/>
      <c r="DZ257" s="31"/>
      <c r="EA257" s="31"/>
      <c r="EB257" s="31"/>
      <c r="EC257" s="31"/>
      <c r="ED257" s="31"/>
      <c r="EE257" s="31"/>
      <c r="EF257" s="31"/>
      <c r="EG257" s="31"/>
      <c r="EH257" s="31"/>
      <c r="EI257" s="31"/>
      <c r="EJ257" s="31"/>
      <c r="EK257" s="31"/>
      <c r="EL257" s="31"/>
      <c r="EM257" s="31"/>
      <c r="EN257" s="31"/>
      <c r="EO257" s="31"/>
      <c r="EP257" s="31"/>
      <c r="EQ257" s="31"/>
      <c r="ER257" s="31"/>
      <c r="ES257" s="31"/>
      <c r="ET257" s="31"/>
      <c r="EU257" s="31"/>
      <c r="EV257" s="31"/>
      <c r="EW257" s="31"/>
      <c r="EX257" s="31"/>
      <c r="EY257" s="31"/>
      <c r="EZ257" s="31"/>
      <c r="FA257" s="31"/>
      <c r="FB257" s="31"/>
      <c r="FC257" s="31"/>
      <c r="FD257" s="31"/>
      <c r="FE257" s="31"/>
      <c r="FF257" s="31"/>
      <c r="FG257" s="31"/>
      <c r="FH257" s="31"/>
      <c r="FI257" s="31"/>
      <c r="FJ257" s="31"/>
      <c r="FK257" s="31"/>
      <c r="FL257" s="31"/>
      <c r="FM257" s="31"/>
      <c r="FN257" s="31"/>
      <c r="FO257" s="31"/>
      <c r="FP257" s="31"/>
      <c r="FQ257" s="31"/>
      <c r="FR257" s="31"/>
      <c r="FS257" s="31"/>
      <c r="FT257" s="31"/>
      <c r="FU257" s="31"/>
      <c r="FV257" s="31"/>
      <c r="FW257" s="31"/>
      <c r="FX257" s="31"/>
      <c r="FY257" s="31"/>
      <c r="FZ257" s="31"/>
      <c r="GA257" s="31"/>
      <c r="GB257" s="31"/>
      <c r="GC257" s="31"/>
      <c r="GD257" s="31"/>
      <c r="GE257" s="31"/>
      <c r="GF257" s="31"/>
      <c r="GG257" s="31"/>
      <c r="GH257" s="31"/>
    </row>
    <row r="258" spans="1:190" ht="15.75" customHeight="1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>
        <v>256</v>
      </c>
      <c r="U258" s="31" t="s">
        <v>187</v>
      </c>
      <c r="V258" s="31" t="s">
        <v>194</v>
      </c>
      <c r="W258" s="31" t="s">
        <v>294</v>
      </c>
      <c r="X258" s="31" t="s">
        <v>2115</v>
      </c>
      <c r="Y258" s="31" t="s">
        <v>2116</v>
      </c>
      <c r="Z258" s="31" t="s">
        <v>2117</v>
      </c>
      <c r="AA258" s="32" t="s">
        <v>286</v>
      </c>
      <c r="AB258" s="32" t="s">
        <v>419</v>
      </c>
      <c r="AC258" s="32" t="s">
        <v>698</v>
      </c>
      <c r="AD258" s="31" t="s">
        <v>1745</v>
      </c>
      <c r="AE258" s="31" t="s">
        <v>1746</v>
      </c>
      <c r="AF258" s="31" t="s">
        <v>994</v>
      </c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  <c r="DT258" s="31"/>
      <c r="DU258" s="31"/>
      <c r="DV258" s="31"/>
      <c r="DW258" s="31"/>
      <c r="DX258" s="31"/>
      <c r="DY258" s="31"/>
      <c r="DZ258" s="31"/>
      <c r="EA258" s="31"/>
      <c r="EB258" s="31"/>
      <c r="EC258" s="31"/>
      <c r="ED258" s="31"/>
      <c r="EE258" s="31"/>
      <c r="EF258" s="31"/>
      <c r="EG258" s="31"/>
      <c r="EH258" s="31"/>
      <c r="EI258" s="31"/>
      <c r="EJ258" s="31"/>
      <c r="EK258" s="31"/>
      <c r="EL258" s="31"/>
      <c r="EM258" s="31"/>
      <c r="EN258" s="31"/>
      <c r="EO258" s="31"/>
      <c r="EP258" s="31"/>
      <c r="EQ258" s="31"/>
      <c r="ER258" s="31"/>
      <c r="ES258" s="31"/>
      <c r="ET258" s="31"/>
      <c r="EU258" s="31"/>
      <c r="EV258" s="31"/>
      <c r="EW258" s="31"/>
      <c r="EX258" s="31"/>
      <c r="EY258" s="31"/>
      <c r="EZ258" s="31"/>
      <c r="FA258" s="31"/>
      <c r="FB258" s="31"/>
      <c r="FC258" s="31"/>
      <c r="FD258" s="31"/>
      <c r="FE258" s="31"/>
      <c r="FF258" s="31"/>
      <c r="FG258" s="31"/>
      <c r="FH258" s="31"/>
      <c r="FI258" s="31"/>
      <c r="FJ258" s="31"/>
      <c r="FK258" s="31"/>
      <c r="FL258" s="31"/>
      <c r="FM258" s="31"/>
      <c r="FN258" s="31"/>
      <c r="FO258" s="31"/>
      <c r="FP258" s="31"/>
      <c r="FQ258" s="31"/>
      <c r="FR258" s="31"/>
      <c r="FS258" s="31"/>
      <c r="FT258" s="31"/>
      <c r="FU258" s="31"/>
      <c r="FV258" s="31"/>
      <c r="FW258" s="31"/>
      <c r="FX258" s="31"/>
      <c r="FY258" s="31"/>
      <c r="FZ258" s="31"/>
      <c r="GA258" s="31"/>
      <c r="GB258" s="31"/>
      <c r="GC258" s="31"/>
      <c r="GD258" s="31"/>
      <c r="GE258" s="31"/>
      <c r="GF258" s="31"/>
      <c r="GG258" s="31"/>
      <c r="GH258" s="31"/>
    </row>
    <row r="259" spans="1:190" ht="15.75" customHeight="1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>
        <v>257</v>
      </c>
      <c r="U259" s="31" t="s">
        <v>187</v>
      </c>
      <c r="V259" s="31" t="s">
        <v>194</v>
      </c>
      <c r="W259" s="31" t="s">
        <v>195</v>
      </c>
      <c r="X259" s="31" t="s">
        <v>2118</v>
      </c>
      <c r="Y259" s="31" t="s">
        <v>2119</v>
      </c>
      <c r="Z259" s="31" t="s">
        <v>2120</v>
      </c>
      <c r="AA259" s="32" t="s">
        <v>286</v>
      </c>
      <c r="AB259" s="32" t="s">
        <v>419</v>
      </c>
      <c r="AC259" s="32" t="s">
        <v>675</v>
      </c>
      <c r="AD259" s="31" t="s">
        <v>303</v>
      </c>
      <c r="AE259" s="31"/>
      <c r="AF259" s="31" t="s">
        <v>640</v>
      </c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  <c r="EO259" s="31"/>
      <c r="EP259" s="31"/>
      <c r="EQ259" s="31"/>
      <c r="ER259" s="31"/>
      <c r="ES259" s="31"/>
      <c r="ET259" s="31"/>
      <c r="EU259" s="31"/>
      <c r="EV259" s="31"/>
      <c r="EW259" s="31"/>
      <c r="EX259" s="31"/>
      <c r="EY259" s="31"/>
      <c r="EZ259" s="31"/>
      <c r="FA259" s="31"/>
      <c r="FB259" s="31"/>
      <c r="FC259" s="31"/>
      <c r="FD259" s="31"/>
      <c r="FE259" s="31"/>
      <c r="FF259" s="31"/>
      <c r="FG259" s="31"/>
      <c r="FH259" s="31"/>
      <c r="FI259" s="31"/>
      <c r="FJ259" s="31"/>
      <c r="FK259" s="31"/>
      <c r="FL259" s="31"/>
      <c r="FM259" s="31"/>
      <c r="FN259" s="31"/>
      <c r="FO259" s="31"/>
      <c r="FP259" s="31"/>
      <c r="FQ259" s="31"/>
      <c r="FR259" s="31"/>
      <c r="FS259" s="31"/>
      <c r="FT259" s="31"/>
      <c r="FU259" s="31"/>
      <c r="FV259" s="31"/>
      <c r="FW259" s="31"/>
      <c r="FX259" s="31"/>
      <c r="FY259" s="31"/>
      <c r="FZ259" s="31"/>
      <c r="GA259" s="31"/>
      <c r="GB259" s="31"/>
      <c r="GC259" s="31"/>
      <c r="GD259" s="31"/>
      <c r="GE259" s="31"/>
      <c r="GF259" s="31"/>
      <c r="GG259" s="31"/>
      <c r="GH259" s="31"/>
    </row>
    <row r="260" spans="1:190" ht="15.75" customHeight="1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>
        <v>258</v>
      </c>
      <c r="U260" s="31" t="s">
        <v>194</v>
      </c>
      <c r="V260" s="31" t="s">
        <v>724</v>
      </c>
      <c r="W260" s="31" t="s">
        <v>809</v>
      </c>
      <c r="X260" s="31" t="s">
        <v>2121</v>
      </c>
      <c r="Y260" s="31" t="s">
        <v>2122</v>
      </c>
      <c r="Z260" s="31" t="s">
        <v>2123</v>
      </c>
      <c r="AA260" s="32" t="s">
        <v>202</v>
      </c>
      <c r="AB260" s="32" t="s">
        <v>725</v>
      </c>
      <c r="AC260" s="32" t="s">
        <v>813</v>
      </c>
      <c r="AD260" s="31" t="s">
        <v>303</v>
      </c>
      <c r="AE260" s="31"/>
      <c r="AF260" s="31" t="s">
        <v>929</v>
      </c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1"/>
      <c r="EH260" s="31"/>
      <c r="EI260" s="31"/>
      <c r="EJ260" s="31"/>
      <c r="EK260" s="31"/>
      <c r="EL260" s="31"/>
      <c r="EM260" s="31"/>
      <c r="EN260" s="31"/>
      <c r="EO260" s="31"/>
      <c r="EP260" s="31"/>
      <c r="EQ260" s="31"/>
      <c r="ER260" s="31"/>
      <c r="ES260" s="31"/>
      <c r="ET260" s="31"/>
      <c r="EU260" s="31"/>
      <c r="EV260" s="31"/>
      <c r="EW260" s="31"/>
      <c r="EX260" s="31"/>
      <c r="EY260" s="31"/>
      <c r="EZ260" s="31"/>
      <c r="FA260" s="31"/>
      <c r="FB260" s="31"/>
      <c r="FC260" s="31"/>
      <c r="FD260" s="31"/>
      <c r="FE260" s="31"/>
      <c r="FF260" s="31"/>
      <c r="FG260" s="31"/>
      <c r="FH260" s="31"/>
      <c r="FI260" s="31"/>
      <c r="FJ260" s="31"/>
      <c r="FK260" s="31"/>
      <c r="FL260" s="31"/>
      <c r="FM260" s="31"/>
      <c r="FN260" s="31"/>
      <c r="FO260" s="31"/>
      <c r="FP260" s="31"/>
      <c r="FQ260" s="31"/>
      <c r="FR260" s="31"/>
      <c r="FS260" s="31"/>
      <c r="FT260" s="31"/>
      <c r="FU260" s="31"/>
      <c r="FV260" s="31"/>
      <c r="FW260" s="31"/>
      <c r="FX260" s="31"/>
      <c r="FY260" s="31"/>
      <c r="FZ260" s="31"/>
      <c r="GA260" s="31"/>
      <c r="GB260" s="31"/>
      <c r="GC260" s="31"/>
      <c r="GD260" s="31"/>
      <c r="GE260" s="31"/>
      <c r="GF260" s="31"/>
      <c r="GG260" s="31"/>
      <c r="GH260" s="31"/>
    </row>
    <row r="261" spans="1:190" ht="15.75" customHeight="1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>
        <v>259</v>
      </c>
      <c r="U261" s="31" t="s">
        <v>187</v>
      </c>
      <c r="V261" s="31" t="s">
        <v>194</v>
      </c>
      <c r="W261" s="31" t="s">
        <v>195</v>
      </c>
      <c r="X261" s="31" t="s">
        <v>2124</v>
      </c>
      <c r="Y261" s="31" t="s">
        <v>2125</v>
      </c>
      <c r="Z261" s="31" t="s">
        <v>2126</v>
      </c>
      <c r="AA261" s="32" t="s">
        <v>286</v>
      </c>
      <c r="AB261" s="32" t="s">
        <v>419</v>
      </c>
      <c r="AC261" s="32" t="s">
        <v>675</v>
      </c>
      <c r="AD261" s="31" t="s">
        <v>1134</v>
      </c>
      <c r="AE261" s="31" t="s">
        <v>1898</v>
      </c>
      <c r="AF261" s="31" t="s">
        <v>640</v>
      </c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  <c r="FH261" s="31"/>
      <c r="FI261" s="31"/>
      <c r="FJ261" s="31"/>
      <c r="FK261" s="31"/>
      <c r="FL261" s="31"/>
      <c r="FM261" s="31"/>
      <c r="FN261" s="31"/>
      <c r="FO261" s="31"/>
      <c r="FP261" s="31"/>
      <c r="FQ261" s="31"/>
      <c r="FR261" s="31"/>
      <c r="FS261" s="31"/>
      <c r="FT261" s="31"/>
      <c r="FU261" s="31"/>
      <c r="FV261" s="31"/>
      <c r="FW261" s="31"/>
      <c r="FX261" s="31"/>
      <c r="FY261" s="31"/>
      <c r="FZ261" s="31"/>
      <c r="GA261" s="31"/>
      <c r="GB261" s="31"/>
      <c r="GC261" s="31"/>
      <c r="GD261" s="31"/>
      <c r="GE261" s="31"/>
      <c r="GF261" s="31"/>
      <c r="GG261" s="31"/>
      <c r="GH261" s="31"/>
    </row>
    <row r="262" spans="1:190" ht="15.75" customHeight="1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>
        <v>260</v>
      </c>
      <c r="U262" s="31" t="s">
        <v>187</v>
      </c>
      <c r="V262" s="31" t="s">
        <v>194</v>
      </c>
      <c r="W262" s="31" t="s">
        <v>363</v>
      </c>
      <c r="X262" s="31" t="s">
        <v>2127</v>
      </c>
      <c r="Y262" s="31" t="s">
        <v>2128</v>
      </c>
      <c r="Z262" s="31" t="s">
        <v>2129</v>
      </c>
      <c r="AA262" s="32" t="s">
        <v>286</v>
      </c>
      <c r="AB262" s="32" t="s">
        <v>419</v>
      </c>
      <c r="AC262" s="32" t="s">
        <v>303</v>
      </c>
      <c r="AD262" s="31"/>
      <c r="AE262" s="31"/>
      <c r="AF262" s="31" t="s">
        <v>1304</v>
      </c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  <c r="DY262" s="31"/>
      <c r="DZ262" s="31"/>
      <c r="EA262" s="31"/>
      <c r="EB262" s="31"/>
      <c r="EC262" s="31"/>
      <c r="ED262" s="31"/>
      <c r="EE262" s="31"/>
      <c r="EF262" s="31"/>
      <c r="EG262" s="31"/>
      <c r="EH262" s="31"/>
      <c r="EI262" s="31"/>
      <c r="EJ262" s="31"/>
      <c r="EK262" s="31"/>
      <c r="EL262" s="31"/>
      <c r="EM262" s="31"/>
      <c r="EN262" s="31"/>
      <c r="EO262" s="31"/>
      <c r="EP262" s="31"/>
      <c r="EQ262" s="31"/>
      <c r="ER262" s="31"/>
      <c r="ES262" s="31"/>
      <c r="ET262" s="31"/>
      <c r="EU262" s="31"/>
      <c r="EV262" s="31"/>
      <c r="EW262" s="31"/>
      <c r="EX262" s="31"/>
      <c r="EY262" s="31"/>
      <c r="EZ262" s="31"/>
      <c r="FA262" s="31"/>
      <c r="FB262" s="31"/>
      <c r="FC262" s="31"/>
      <c r="FD262" s="31"/>
      <c r="FE262" s="31"/>
      <c r="FF262" s="31"/>
      <c r="FG262" s="31"/>
      <c r="FH262" s="31"/>
      <c r="FI262" s="31"/>
      <c r="FJ262" s="31"/>
      <c r="FK262" s="31"/>
      <c r="FL262" s="31"/>
      <c r="FM262" s="31"/>
      <c r="FN262" s="31"/>
      <c r="FO262" s="31"/>
      <c r="FP262" s="31"/>
      <c r="FQ262" s="31"/>
      <c r="FR262" s="31"/>
      <c r="FS262" s="31"/>
      <c r="FT262" s="31"/>
      <c r="FU262" s="31"/>
      <c r="FV262" s="31"/>
      <c r="FW262" s="31"/>
      <c r="FX262" s="31"/>
      <c r="FY262" s="31"/>
      <c r="FZ262" s="31"/>
      <c r="GA262" s="31"/>
      <c r="GB262" s="31"/>
      <c r="GC262" s="31"/>
      <c r="GD262" s="31"/>
      <c r="GE262" s="31"/>
      <c r="GF262" s="31"/>
      <c r="GG262" s="31"/>
      <c r="GH262" s="31"/>
    </row>
    <row r="263" spans="1:190" ht="15.75" customHeight="1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>
        <v>261</v>
      </c>
      <c r="U263" s="31" t="s">
        <v>194</v>
      </c>
      <c r="V263" s="31" t="s">
        <v>729</v>
      </c>
      <c r="W263" s="31" t="s">
        <v>730</v>
      </c>
      <c r="X263" s="31" t="s">
        <v>2130</v>
      </c>
      <c r="Y263" s="31" t="s">
        <v>2131</v>
      </c>
      <c r="Z263" s="31" t="s">
        <v>357</v>
      </c>
      <c r="AA263" s="32" t="s">
        <v>202</v>
      </c>
      <c r="AB263" s="32" t="s">
        <v>736</v>
      </c>
      <c r="AC263" s="32" t="s">
        <v>737</v>
      </c>
      <c r="AD263" s="31" t="s">
        <v>303</v>
      </c>
      <c r="AE263" s="31"/>
      <c r="AF263" s="31" t="s">
        <v>738</v>
      </c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1"/>
      <c r="EH263" s="31"/>
      <c r="EI263" s="31"/>
      <c r="EJ263" s="31"/>
      <c r="EK263" s="31"/>
      <c r="EL263" s="31"/>
      <c r="EM263" s="31"/>
      <c r="EN263" s="31"/>
      <c r="EO263" s="31"/>
      <c r="EP263" s="31"/>
      <c r="EQ263" s="31"/>
      <c r="ER263" s="31"/>
      <c r="ES263" s="31"/>
      <c r="ET263" s="31"/>
      <c r="EU263" s="31"/>
      <c r="EV263" s="31"/>
      <c r="EW263" s="31"/>
      <c r="EX263" s="31"/>
      <c r="EY263" s="31"/>
      <c r="EZ263" s="31"/>
      <c r="FA263" s="31"/>
      <c r="FB263" s="31"/>
      <c r="FC263" s="31"/>
      <c r="FD263" s="31"/>
      <c r="FE263" s="31"/>
      <c r="FF263" s="31"/>
      <c r="FG263" s="31"/>
      <c r="FH263" s="31"/>
      <c r="FI263" s="31"/>
      <c r="FJ263" s="31"/>
      <c r="FK263" s="31"/>
      <c r="FL263" s="31"/>
      <c r="FM263" s="31"/>
      <c r="FN263" s="31"/>
      <c r="FO263" s="31"/>
      <c r="FP263" s="31"/>
      <c r="FQ263" s="31"/>
      <c r="FR263" s="31"/>
      <c r="FS263" s="31"/>
      <c r="FT263" s="31"/>
      <c r="FU263" s="31"/>
      <c r="FV263" s="31"/>
      <c r="FW263" s="31"/>
      <c r="FX263" s="31"/>
      <c r="FY263" s="31"/>
      <c r="FZ263" s="31"/>
      <c r="GA263" s="31"/>
      <c r="GB263" s="31"/>
      <c r="GC263" s="31"/>
      <c r="GD263" s="31"/>
      <c r="GE263" s="31"/>
      <c r="GF263" s="31"/>
      <c r="GG263" s="31"/>
      <c r="GH263" s="31"/>
    </row>
    <row r="264" spans="1:190" ht="15.75" customHeight="1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>
        <v>262</v>
      </c>
      <c r="U264" s="31" t="s">
        <v>187</v>
      </c>
      <c r="V264" s="31" t="s">
        <v>287</v>
      </c>
      <c r="W264" s="31" t="s">
        <v>600</v>
      </c>
      <c r="X264" s="31" t="s">
        <v>2132</v>
      </c>
      <c r="Y264" s="31" t="s">
        <v>2133</v>
      </c>
      <c r="Z264" s="31" t="s">
        <v>2134</v>
      </c>
      <c r="AA264" s="32" t="s">
        <v>286</v>
      </c>
      <c r="AB264" s="32" t="s">
        <v>290</v>
      </c>
      <c r="AC264" s="32" t="s">
        <v>627</v>
      </c>
      <c r="AD264" s="31" t="s">
        <v>2135</v>
      </c>
      <c r="AE264" s="31" t="s">
        <v>303</v>
      </c>
      <c r="AF264" s="31" t="s">
        <v>1068</v>
      </c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1"/>
      <c r="EH264" s="31"/>
      <c r="EI264" s="31"/>
      <c r="EJ264" s="31"/>
      <c r="EK264" s="31"/>
      <c r="EL264" s="31"/>
      <c r="EM264" s="31"/>
      <c r="EN264" s="31"/>
      <c r="EO264" s="31"/>
      <c r="EP264" s="31"/>
      <c r="EQ264" s="31"/>
      <c r="ER264" s="31"/>
      <c r="ES264" s="31"/>
      <c r="ET264" s="31"/>
      <c r="EU264" s="31"/>
      <c r="EV264" s="31"/>
      <c r="EW264" s="31"/>
      <c r="EX264" s="31"/>
      <c r="EY264" s="31"/>
      <c r="EZ264" s="31"/>
      <c r="FA264" s="31"/>
      <c r="FB264" s="31"/>
      <c r="FC264" s="31"/>
      <c r="FD264" s="31"/>
      <c r="FE264" s="31"/>
      <c r="FF264" s="31"/>
      <c r="FG264" s="31"/>
      <c r="FH264" s="31"/>
      <c r="FI264" s="31"/>
      <c r="FJ264" s="31"/>
      <c r="FK264" s="31"/>
      <c r="FL264" s="31"/>
      <c r="FM264" s="31"/>
      <c r="FN264" s="31"/>
      <c r="FO264" s="31"/>
      <c r="FP264" s="31"/>
      <c r="FQ264" s="31"/>
      <c r="FR264" s="31"/>
      <c r="FS264" s="31"/>
      <c r="FT264" s="31"/>
      <c r="FU264" s="31"/>
      <c r="FV264" s="31"/>
      <c r="FW264" s="31"/>
      <c r="FX264" s="31"/>
      <c r="FY264" s="31"/>
      <c r="FZ264" s="31"/>
      <c r="GA264" s="31"/>
      <c r="GB264" s="31"/>
      <c r="GC264" s="31"/>
      <c r="GD264" s="31"/>
      <c r="GE264" s="31"/>
      <c r="GF264" s="31"/>
      <c r="GG264" s="31"/>
      <c r="GH264" s="31"/>
    </row>
    <row r="265" spans="1:190" ht="15.75" customHeight="1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>
        <v>263</v>
      </c>
      <c r="U265" s="31" t="s">
        <v>194</v>
      </c>
      <c r="V265" s="31" t="s">
        <v>294</v>
      </c>
      <c r="W265" s="31" t="s">
        <v>776</v>
      </c>
      <c r="X265" s="31" t="s">
        <v>2136</v>
      </c>
      <c r="Y265" s="31" t="s">
        <v>2137</v>
      </c>
      <c r="Z265" s="31" t="s">
        <v>589</v>
      </c>
      <c r="AA265" s="32" t="s">
        <v>202</v>
      </c>
      <c r="AB265" s="32" t="s">
        <v>300</v>
      </c>
      <c r="AC265" s="32" t="s">
        <v>779</v>
      </c>
      <c r="AD265" s="31" t="s">
        <v>1658</v>
      </c>
      <c r="AE265" s="31" t="s">
        <v>303</v>
      </c>
      <c r="AF265" s="31" t="s">
        <v>1174</v>
      </c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1"/>
      <c r="EH265" s="31"/>
      <c r="EI265" s="31"/>
      <c r="EJ265" s="31"/>
      <c r="EK265" s="31"/>
      <c r="EL265" s="31"/>
      <c r="EM265" s="31"/>
      <c r="EN265" s="31"/>
      <c r="EO265" s="31"/>
      <c r="EP265" s="31"/>
      <c r="EQ265" s="31"/>
      <c r="ER265" s="31"/>
      <c r="ES265" s="31"/>
      <c r="ET265" s="31"/>
      <c r="EU265" s="31"/>
      <c r="EV265" s="31"/>
      <c r="EW265" s="31"/>
      <c r="EX265" s="31"/>
      <c r="EY265" s="31"/>
      <c r="EZ265" s="31"/>
      <c r="FA265" s="31"/>
      <c r="FB265" s="31"/>
      <c r="FC265" s="31"/>
      <c r="FD265" s="31"/>
      <c r="FE265" s="31"/>
      <c r="FF265" s="31"/>
      <c r="FG265" s="31"/>
      <c r="FH265" s="31"/>
      <c r="FI265" s="31"/>
      <c r="FJ265" s="31"/>
      <c r="FK265" s="31"/>
      <c r="FL265" s="31"/>
      <c r="FM265" s="31"/>
      <c r="FN265" s="31"/>
      <c r="FO265" s="31"/>
      <c r="FP265" s="31"/>
      <c r="FQ265" s="31"/>
      <c r="FR265" s="31"/>
      <c r="FS265" s="31"/>
      <c r="FT265" s="31"/>
      <c r="FU265" s="31"/>
      <c r="FV265" s="31"/>
      <c r="FW265" s="31"/>
      <c r="FX265" s="31"/>
      <c r="FY265" s="31"/>
      <c r="FZ265" s="31"/>
      <c r="GA265" s="31"/>
      <c r="GB265" s="31"/>
      <c r="GC265" s="31"/>
      <c r="GD265" s="31"/>
      <c r="GE265" s="31"/>
      <c r="GF265" s="31"/>
      <c r="GG265" s="31"/>
      <c r="GH265" s="31"/>
    </row>
    <row r="266" spans="1:190" ht="15.75" customHeight="1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>
        <v>264</v>
      </c>
      <c r="U266" s="31" t="s">
        <v>187</v>
      </c>
      <c r="V266" s="31" t="s">
        <v>360</v>
      </c>
      <c r="W266" s="31" t="s">
        <v>647</v>
      </c>
      <c r="X266" s="31" t="s">
        <v>2138</v>
      </c>
      <c r="Y266" s="31" t="s">
        <v>2139</v>
      </c>
      <c r="Z266" s="31" t="s">
        <v>2140</v>
      </c>
      <c r="AA266" s="32" t="s">
        <v>286</v>
      </c>
      <c r="AB266" s="32" t="s">
        <v>361</v>
      </c>
      <c r="AC266" s="32" t="s">
        <v>651</v>
      </c>
      <c r="AD266" s="31" t="s">
        <v>303</v>
      </c>
      <c r="AE266" s="31"/>
      <c r="AF266" s="31" t="s">
        <v>1237</v>
      </c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  <c r="DY266" s="31"/>
      <c r="DZ266" s="31"/>
      <c r="EA266" s="31"/>
      <c r="EB266" s="31"/>
      <c r="EC266" s="31"/>
      <c r="ED266" s="31"/>
      <c r="EE266" s="31"/>
      <c r="EF266" s="31"/>
      <c r="EG266" s="31"/>
      <c r="EH266" s="31"/>
      <c r="EI266" s="31"/>
      <c r="EJ266" s="31"/>
      <c r="EK266" s="31"/>
      <c r="EL266" s="31"/>
      <c r="EM266" s="31"/>
      <c r="EN266" s="31"/>
      <c r="EO266" s="31"/>
      <c r="EP266" s="31"/>
      <c r="EQ266" s="31"/>
      <c r="ER266" s="31"/>
      <c r="ES266" s="31"/>
      <c r="ET266" s="31"/>
      <c r="EU266" s="31"/>
      <c r="EV266" s="31"/>
      <c r="EW266" s="31"/>
      <c r="EX266" s="31"/>
      <c r="EY266" s="31"/>
      <c r="EZ266" s="31"/>
      <c r="FA266" s="31"/>
      <c r="FB266" s="31"/>
      <c r="FC266" s="31"/>
      <c r="FD266" s="31"/>
      <c r="FE266" s="31"/>
      <c r="FF266" s="31"/>
      <c r="FG266" s="31"/>
      <c r="FH266" s="31"/>
      <c r="FI266" s="31"/>
      <c r="FJ266" s="31"/>
      <c r="FK266" s="31"/>
      <c r="FL266" s="31"/>
      <c r="FM266" s="31"/>
      <c r="FN266" s="31"/>
      <c r="FO266" s="31"/>
      <c r="FP266" s="31"/>
      <c r="FQ266" s="31"/>
      <c r="FR266" s="31"/>
      <c r="FS266" s="31"/>
      <c r="FT266" s="31"/>
      <c r="FU266" s="31"/>
      <c r="FV266" s="31"/>
      <c r="FW266" s="31"/>
      <c r="FX266" s="31"/>
      <c r="FY266" s="31"/>
      <c r="FZ266" s="31"/>
      <c r="GA266" s="31"/>
      <c r="GB266" s="31"/>
      <c r="GC266" s="31"/>
      <c r="GD266" s="31"/>
      <c r="GE266" s="31"/>
      <c r="GF266" s="31"/>
      <c r="GG266" s="31"/>
      <c r="GH266" s="31"/>
    </row>
    <row r="267" spans="1:190" ht="15.75" customHeight="1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>
        <v>265</v>
      </c>
      <c r="U267" s="31" t="s">
        <v>360</v>
      </c>
      <c r="V267" s="31" t="s">
        <v>647</v>
      </c>
      <c r="W267" s="31" t="s">
        <v>858</v>
      </c>
      <c r="X267" s="31" t="s">
        <v>2141</v>
      </c>
      <c r="Y267" s="31" t="s">
        <v>2142</v>
      </c>
      <c r="Z267" s="31" t="s">
        <v>2143</v>
      </c>
      <c r="AA267" s="32" t="s">
        <v>418</v>
      </c>
      <c r="AB267" s="32" t="s">
        <v>648</v>
      </c>
      <c r="AC267" s="32" t="s">
        <v>859</v>
      </c>
      <c r="AD267" s="31" t="s">
        <v>1963</v>
      </c>
      <c r="AE267" s="31" t="s">
        <v>303</v>
      </c>
      <c r="AF267" s="31" t="s">
        <v>1020</v>
      </c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  <c r="FH267" s="31"/>
      <c r="FI267" s="31"/>
      <c r="FJ267" s="31"/>
      <c r="FK267" s="31"/>
      <c r="FL267" s="31"/>
      <c r="FM267" s="31"/>
      <c r="FN267" s="31"/>
      <c r="FO267" s="31"/>
      <c r="FP267" s="31"/>
      <c r="FQ267" s="31"/>
      <c r="FR267" s="31"/>
      <c r="FS267" s="31"/>
      <c r="FT267" s="31"/>
      <c r="FU267" s="31"/>
      <c r="FV267" s="31"/>
      <c r="FW267" s="31"/>
      <c r="FX267" s="31"/>
      <c r="FY267" s="31"/>
      <c r="FZ267" s="31"/>
      <c r="GA267" s="31"/>
      <c r="GB267" s="31"/>
      <c r="GC267" s="31"/>
      <c r="GD267" s="31"/>
      <c r="GE267" s="31"/>
      <c r="GF267" s="31"/>
      <c r="GG267" s="31"/>
      <c r="GH267" s="31"/>
    </row>
    <row r="268" spans="1:190" ht="15.75" customHeight="1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>
        <v>266</v>
      </c>
      <c r="U268" s="31" t="s">
        <v>194</v>
      </c>
      <c r="V268" s="31" t="s">
        <v>195</v>
      </c>
      <c r="W268" s="31" t="s">
        <v>196</v>
      </c>
      <c r="X268" s="31" t="s">
        <v>2144</v>
      </c>
      <c r="Y268" s="31" t="s">
        <v>2145</v>
      </c>
      <c r="Z268" s="31" t="s">
        <v>2146</v>
      </c>
      <c r="AA268" s="32" t="s">
        <v>202</v>
      </c>
      <c r="AB268" s="32" t="s">
        <v>203</v>
      </c>
      <c r="AC268" s="32" t="s">
        <v>204</v>
      </c>
      <c r="AD268" s="31" t="s">
        <v>205</v>
      </c>
      <c r="AE268" s="31" t="s">
        <v>897</v>
      </c>
      <c r="AF268" s="31" t="s">
        <v>207</v>
      </c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  <c r="FN268" s="31"/>
      <c r="FO268" s="31"/>
      <c r="FP268" s="31"/>
      <c r="FQ268" s="31"/>
      <c r="FR268" s="31"/>
      <c r="FS268" s="31"/>
      <c r="FT268" s="31"/>
      <c r="FU268" s="31"/>
      <c r="FV268" s="31"/>
      <c r="FW268" s="31"/>
      <c r="FX268" s="31"/>
      <c r="FY268" s="31"/>
      <c r="FZ268" s="31"/>
      <c r="GA268" s="31"/>
      <c r="GB268" s="31"/>
      <c r="GC268" s="31"/>
      <c r="GD268" s="31"/>
      <c r="GE268" s="31"/>
      <c r="GF268" s="31"/>
      <c r="GG268" s="31"/>
      <c r="GH268" s="31"/>
    </row>
    <row r="269" spans="1:190" ht="15.75" customHeight="1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>
        <v>267</v>
      </c>
      <c r="U269" s="31" t="s">
        <v>287</v>
      </c>
      <c r="V269" s="31" t="s">
        <v>595</v>
      </c>
      <c r="W269" s="31" t="s">
        <v>807</v>
      </c>
      <c r="X269" s="31" t="s">
        <v>2057</v>
      </c>
      <c r="Y269" s="31" t="s">
        <v>2147</v>
      </c>
      <c r="Z269" s="31" t="s">
        <v>2148</v>
      </c>
      <c r="AA269" s="32" t="s">
        <v>359</v>
      </c>
      <c r="AB269" s="32" t="s">
        <v>598</v>
      </c>
      <c r="AC269" s="32" t="s">
        <v>808</v>
      </c>
      <c r="AD269" s="31" t="s">
        <v>823</v>
      </c>
      <c r="AE269" s="31" t="s">
        <v>303</v>
      </c>
      <c r="AF269" s="31" t="s">
        <v>824</v>
      </c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</row>
    <row r="270" spans="1:190" ht="15.75" customHeight="1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>
        <v>268</v>
      </c>
      <c r="U270" s="31" t="s">
        <v>360</v>
      </c>
      <c r="V270" s="31" t="s">
        <v>600</v>
      </c>
      <c r="W270" s="31" t="s">
        <v>601</v>
      </c>
      <c r="X270" s="31" t="s">
        <v>2149</v>
      </c>
      <c r="Y270" s="31" t="s">
        <v>2150</v>
      </c>
      <c r="Z270" s="31" t="s">
        <v>2151</v>
      </c>
      <c r="AA270" s="32" t="s">
        <v>418</v>
      </c>
      <c r="AB270" s="32" t="s">
        <v>605</v>
      </c>
      <c r="AC270" s="32" t="s">
        <v>606</v>
      </c>
      <c r="AD270" s="31" t="s">
        <v>2152</v>
      </c>
      <c r="AE270" s="31" t="s">
        <v>303</v>
      </c>
      <c r="AF270" s="31" t="s">
        <v>873</v>
      </c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  <c r="FN270" s="31"/>
      <c r="FO270" s="31"/>
      <c r="FP270" s="31"/>
      <c r="FQ270" s="31"/>
      <c r="FR270" s="31"/>
      <c r="FS270" s="31"/>
      <c r="FT270" s="31"/>
      <c r="FU270" s="31"/>
      <c r="FV270" s="31"/>
      <c r="FW270" s="31"/>
      <c r="FX270" s="31"/>
      <c r="FY270" s="31"/>
      <c r="FZ270" s="31"/>
      <c r="GA270" s="31"/>
      <c r="GB270" s="31"/>
      <c r="GC270" s="31"/>
      <c r="GD270" s="31"/>
      <c r="GE270" s="31"/>
      <c r="GF270" s="31"/>
      <c r="GG270" s="31"/>
      <c r="GH270" s="31"/>
    </row>
    <row r="271" spans="1:190" ht="15.75" customHeight="1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>
        <v>269</v>
      </c>
      <c r="U271" s="31" t="s">
        <v>194</v>
      </c>
      <c r="V271" s="31" t="s">
        <v>724</v>
      </c>
      <c r="W271" s="31" t="s">
        <v>809</v>
      </c>
      <c r="X271" s="31" t="s">
        <v>2153</v>
      </c>
      <c r="Y271" s="31" t="s">
        <v>2154</v>
      </c>
      <c r="Z271" s="31" t="s">
        <v>2155</v>
      </c>
      <c r="AA271" s="32" t="s">
        <v>202</v>
      </c>
      <c r="AB271" s="32" t="s">
        <v>725</v>
      </c>
      <c r="AC271" s="32" t="s">
        <v>813</v>
      </c>
      <c r="AD271" s="31" t="s">
        <v>303</v>
      </c>
      <c r="AE271" s="31"/>
      <c r="AF271" s="31" t="s">
        <v>929</v>
      </c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  <c r="FH271" s="31"/>
      <c r="FI271" s="31"/>
      <c r="FJ271" s="31"/>
      <c r="FK271" s="31"/>
      <c r="FL271" s="31"/>
      <c r="FM271" s="31"/>
      <c r="FN271" s="31"/>
      <c r="FO271" s="31"/>
      <c r="FP271" s="31"/>
      <c r="FQ271" s="31"/>
      <c r="FR271" s="31"/>
      <c r="FS271" s="31"/>
      <c r="FT271" s="31"/>
      <c r="FU271" s="31"/>
      <c r="FV271" s="31"/>
      <c r="FW271" s="31"/>
      <c r="FX271" s="31"/>
      <c r="FY271" s="31"/>
      <c r="FZ271" s="31"/>
      <c r="GA271" s="31"/>
      <c r="GB271" s="31"/>
      <c r="GC271" s="31"/>
      <c r="GD271" s="31"/>
      <c r="GE271" s="31"/>
      <c r="GF271" s="31"/>
      <c r="GG271" s="31"/>
      <c r="GH271" s="31"/>
    </row>
    <row r="272" spans="1:190" ht="15.75" customHeight="1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>
        <v>270</v>
      </c>
      <c r="U272" s="31" t="s">
        <v>194</v>
      </c>
      <c r="V272" s="31" t="s">
        <v>294</v>
      </c>
      <c r="W272" s="31" t="s">
        <v>295</v>
      </c>
      <c r="X272" s="31" t="s">
        <v>2156</v>
      </c>
      <c r="Y272" s="31" t="s">
        <v>2157</v>
      </c>
      <c r="Z272" s="31" t="s">
        <v>459</v>
      </c>
      <c r="AA272" s="32" t="s">
        <v>202</v>
      </c>
      <c r="AB272" s="32" t="s">
        <v>300</v>
      </c>
      <c r="AC272" s="32" t="s">
        <v>301</v>
      </c>
      <c r="AD272" s="31" t="s">
        <v>303</v>
      </c>
      <c r="AE272" s="31"/>
      <c r="AF272" s="31" t="s">
        <v>881</v>
      </c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1"/>
      <c r="EH272" s="31"/>
      <c r="EI272" s="31"/>
      <c r="EJ272" s="31"/>
      <c r="EK272" s="31"/>
      <c r="EL272" s="31"/>
      <c r="EM272" s="31"/>
      <c r="EN272" s="31"/>
      <c r="EO272" s="31"/>
      <c r="EP272" s="31"/>
      <c r="EQ272" s="31"/>
      <c r="ER272" s="31"/>
      <c r="ES272" s="31"/>
      <c r="ET272" s="31"/>
      <c r="EU272" s="31"/>
      <c r="EV272" s="31"/>
      <c r="EW272" s="31"/>
      <c r="EX272" s="31"/>
      <c r="EY272" s="31"/>
      <c r="EZ272" s="31"/>
      <c r="FA272" s="31"/>
      <c r="FB272" s="31"/>
      <c r="FC272" s="31"/>
      <c r="FD272" s="31"/>
      <c r="FE272" s="31"/>
      <c r="FF272" s="31"/>
      <c r="FG272" s="31"/>
      <c r="FH272" s="31"/>
      <c r="FI272" s="31"/>
      <c r="FJ272" s="31"/>
      <c r="FK272" s="31"/>
      <c r="FL272" s="31"/>
      <c r="FM272" s="31"/>
      <c r="FN272" s="31"/>
      <c r="FO272" s="31"/>
      <c r="FP272" s="31"/>
      <c r="FQ272" s="31"/>
      <c r="FR272" s="31"/>
      <c r="FS272" s="31"/>
      <c r="FT272" s="31"/>
      <c r="FU272" s="31"/>
      <c r="FV272" s="31"/>
      <c r="FW272" s="31"/>
      <c r="FX272" s="31"/>
      <c r="FY272" s="31"/>
      <c r="FZ272" s="31"/>
      <c r="GA272" s="31"/>
      <c r="GB272" s="31"/>
      <c r="GC272" s="31"/>
      <c r="GD272" s="31"/>
      <c r="GE272" s="31"/>
      <c r="GF272" s="31"/>
      <c r="GG272" s="31"/>
      <c r="GH272" s="31"/>
    </row>
    <row r="273" spans="1:190" ht="15.75" customHeight="1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>
        <v>271</v>
      </c>
      <c r="U273" s="31" t="s">
        <v>194</v>
      </c>
      <c r="V273" s="31" t="s">
        <v>195</v>
      </c>
      <c r="W273" s="31" t="s">
        <v>196</v>
      </c>
      <c r="X273" s="31" t="s">
        <v>2158</v>
      </c>
      <c r="Y273" s="31" t="s">
        <v>2159</v>
      </c>
      <c r="Z273" s="31" t="s">
        <v>2160</v>
      </c>
      <c r="AA273" s="32" t="s">
        <v>202</v>
      </c>
      <c r="AB273" s="32" t="s">
        <v>203</v>
      </c>
      <c r="AC273" s="32" t="s">
        <v>204</v>
      </c>
      <c r="AD273" s="31" t="s">
        <v>205</v>
      </c>
      <c r="AE273" s="31" t="s">
        <v>897</v>
      </c>
      <c r="AF273" s="31" t="s">
        <v>207</v>
      </c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  <c r="FN273" s="31"/>
      <c r="FO273" s="31"/>
      <c r="FP273" s="31"/>
      <c r="FQ273" s="31"/>
      <c r="FR273" s="31"/>
      <c r="FS273" s="31"/>
      <c r="FT273" s="31"/>
      <c r="FU273" s="31"/>
      <c r="FV273" s="31"/>
      <c r="FW273" s="31"/>
      <c r="FX273" s="31"/>
      <c r="FY273" s="31"/>
      <c r="FZ273" s="31"/>
      <c r="GA273" s="31"/>
      <c r="GB273" s="31"/>
      <c r="GC273" s="31"/>
      <c r="GD273" s="31"/>
      <c r="GE273" s="31"/>
      <c r="GF273" s="31"/>
      <c r="GG273" s="31"/>
      <c r="GH273" s="31"/>
    </row>
    <row r="274" spans="1:190" ht="15.75" customHeight="1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>
        <v>272</v>
      </c>
      <c r="U274" s="31" t="s">
        <v>187</v>
      </c>
      <c r="V274" s="31" t="s">
        <v>520</v>
      </c>
      <c r="W274" s="31" t="s">
        <v>767</v>
      </c>
      <c r="X274" s="31" t="s">
        <v>2161</v>
      </c>
      <c r="Y274" s="31" t="s">
        <v>2162</v>
      </c>
      <c r="Z274" s="31" t="s">
        <v>2163</v>
      </c>
      <c r="AA274" s="32" t="s">
        <v>286</v>
      </c>
      <c r="AB274" s="32" t="s">
        <v>521</v>
      </c>
      <c r="AC274" s="32" t="s">
        <v>768</v>
      </c>
      <c r="AD274" s="31" t="s">
        <v>2164</v>
      </c>
      <c r="AE274" s="31" t="s">
        <v>303</v>
      </c>
      <c r="AF274" s="31" t="s">
        <v>819</v>
      </c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1"/>
      <c r="EH274" s="31"/>
      <c r="EI274" s="31"/>
      <c r="EJ274" s="31"/>
      <c r="EK274" s="31"/>
      <c r="EL274" s="31"/>
      <c r="EM274" s="31"/>
      <c r="EN274" s="31"/>
      <c r="EO274" s="31"/>
      <c r="EP274" s="31"/>
      <c r="EQ274" s="31"/>
      <c r="ER274" s="31"/>
      <c r="ES274" s="31"/>
      <c r="ET274" s="31"/>
      <c r="EU274" s="31"/>
      <c r="EV274" s="31"/>
      <c r="EW274" s="31"/>
      <c r="EX274" s="31"/>
      <c r="EY274" s="31"/>
      <c r="EZ274" s="31"/>
      <c r="FA274" s="31"/>
      <c r="FB274" s="31"/>
      <c r="FC274" s="31"/>
      <c r="FD274" s="31"/>
      <c r="FE274" s="31"/>
      <c r="FF274" s="31"/>
      <c r="FG274" s="31"/>
      <c r="FH274" s="31"/>
      <c r="FI274" s="31"/>
      <c r="FJ274" s="31"/>
      <c r="FK274" s="31"/>
      <c r="FL274" s="31"/>
      <c r="FM274" s="31"/>
      <c r="FN274" s="31"/>
      <c r="FO274" s="31"/>
      <c r="FP274" s="31"/>
      <c r="FQ274" s="31"/>
      <c r="FR274" s="31"/>
      <c r="FS274" s="31"/>
      <c r="FT274" s="31"/>
      <c r="FU274" s="31"/>
      <c r="FV274" s="31"/>
      <c r="FW274" s="31"/>
      <c r="FX274" s="31"/>
      <c r="FY274" s="31"/>
      <c r="FZ274" s="31"/>
      <c r="GA274" s="31"/>
      <c r="GB274" s="31"/>
      <c r="GC274" s="31"/>
      <c r="GD274" s="31"/>
      <c r="GE274" s="31"/>
      <c r="GF274" s="31"/>
      <c r="GG274" s="31"/>
      <c r="GH274" s="31"/>
    </row>
    <row r="275" spans="1:190" ht="15.75" customHeight="1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>
        <v>273</v>
      </c>
      <c r="U275" s="31" t="s">
        <v>194</v>
      </c>
      <c r="V275" s="31" t="s">
        <v>729</v>
      </c>
      <c r="W275" s="31" t="s">
        <v>987</v>
      </c>
      <c r="X275" s="31" t="s">
        <v>2165</v>
      </c>
      <c r="Y275" s="31" t="s">
        <v>2166</v>
      </c>
      <c r="Z275" s="31" t="s">
        <v>2167</v>
      </c>
      <c r="AA275" s="32" t="s">
        <v>202</v>
      </c>
      <c r="AB275" s="32" t="s">
        <v>736</v>
      </c>
      <c r="AC275" s="32" t="s">
        <v>901</v>
      </c>
      <c r="AD275" s="31" t="s">
        <v>303</v>
      </c>
      <c r="AE275" s="31"/>
      <c r="AF275" s="31" t="s">
        <v>1201</v>
      </c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  <c r="FN275" s="31"/>
      <c r="FO275" s="31"/>
      <c r="FP275" s="31"/>
      <c r="FQ275" s="31"/>
      <c r="FR275" s="31"/>
      <c r="FS275" s="31"/>
      <c r="FT275" s="31"/>
      <c r="FU275" s="31"/>
      <c r="FV275" s="31"/>
      <c r="FW275" s="31"/>
      <c r="FX275" s="31"/>
      <c r="FY275" s="31"/>
      <c r="FZ275" s="31"/>
      <c r="GA275" s="31"/>
      <c r="GB275" s="31"/>
      <c r="GC275" s="31"/>
      <c r="GD275" s="31"/>
      <c r="GE275" s="31"/>
      <c r="GF275" s="31"/>
      <c r="GG275" s="31"/>
      <c r="GH275" s="31"/>
    </row>
    <row r="276" spans="1:190" ht="15.75" customHeight="1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>
        <v>274</v>
      </c>
      <c r="U276" s="31" t="s">
        <v>360</v>
      </c>
      <c r="V276" s="31" t="s">
        <v>647</v>
      </c>
      <c r="W276" s="31" t="s">
        <v>867</v>
      </c>
      <c r="X276" s="31" t="s">
        <v>2168</v>
      </c>
      <c r="Y276" s="31" t="s">
        <v>2169</v>
      </c>
      <c r="Z276" s="31" t="s">
        <v>2170</v>
      </c>
      <c r="AA276" s="32" t="s">
        <v>418</v>
      </c>
      <c r="AB276" s="32" t="s">
        <v>648</v>
      </c>
      <c r="AC276" s="32" t="s">
        <v>868</v>
      </c>
      <c r="AD276" s="31" t="s">
        <v>1161</v>
      </c>
      <c r="AE276" s="31" t="s">
        <v>303</v>
      </c>
      <c r="AF276" s="31" t="s">
        <v>1162</v>
      </c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  <c r="FN276" s="31"/>
      <c r="FO276" s="31"/>
      <c r="FP276" s="31"/>
      <c r="FQ276" s="31"/>
      <c r="FR276" s="31"/>
      <c r="FS276" s="31"/>
      <c r="FT276" s="31"/>
      <c r="FU276" s="31"/>
      <c r="FV276" s="31"/>
      <c r="FW276" s="31"/>
      <c r="FX276" s="31"/>
      <c r="FY276" s="31"/>
      <c r="FZ276" s="31"/>
      <c r="GA276" s="31"/>
      <c r="GB276" s="31"/>
      <c r="GC276" s="31"/>
      <c r="GD276" s="31"/>
      <c r="GE276" s="31"/>
      <c r="GF276" s="31"/>
      <c r="GG276" s="31"/>
      <c r="GH276" s="31"/>
    </row>
    <row r="277" spans="1:190" ht="15.75" customHeight="1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>
        <v>275</v>
      </c>
      <c r="U277" s="31" t="s">
        <v>194</v>
      </c>
      <c r="V277" s="31" t="s">
        <v>195</v>
      </c>
      <c r="W277" s="31" t="s">
        <v>196</v>
      </c>
      <c r="X277" s="31" t="s">
        <v>2171</v>
      </c>
      <c r="Y277" s="31" t="s">
        <v>2172</v>
      </c>
      <c r="Z277" s="31" t="s">
        <v>2173</v>
      </c>
      <c r="AA277" s="32" t="s">
        <v>202</v>
      </c>
      <c r="AB277" s="32" t="s">
        <v>203</v>
      </c>
      <c r="AC277" s="32" t="s">
        <v>204</v>
      </c>
      <c r="AD277" s="31" t="s">
        <v>205</v>
      </c>
      <c r="AE277" s="31" t="s">
        <v>206</v>
      </c>
      <c r="AF277" s="31" t="s">
        <v>207</v>
      </c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  <c r="DY277" s="31"/>
      <c r="DZ277" s="31"/>
      <c r="EA277" s="31"/>
      <c r="EB277" s="31"/>
      <c r="EC277" s="31"/>
      <c r="ED277" s="31"/>
      <c r="EE277" s="31"/>
      <c r="EF277" s="31"/>
      <c r="EG277" s="31"/>
      <c r="EH277" s="31"/>
      <c r="EI277" s="31"/>
      <c r="EJ277" s="31"/>
      <c r="EK277" s="31"/>
      <c r="EL277" s="31"/>
      <c r="EM277" s="31"/>
      <c r="EN277" s="31"/>
      <c r="EO277" s="31"/>
      <c r="EP277" s="31"/>
      <c r="EQ277" s="31"/>
      <c r="ER277" s="31"/>
      <c r="ES277" s="31"/>
      <c r="ET277" s="31"/>
      <c r="EU277" s="31"/>
      <c r="EV277" s="31"/>
      <c r="EW277" s="31"/>
      <c r="EX277" s="31"/>
      <c r="EY277" s="31"/>
      <c r="EZ277" s="31"/>
      <c r="FA277" s="31"/>
      <c r="FB277" s="31"/>
      <c r="FC277" s="31"/>
      <c r="FD277" s="31"/>
      <c r="FE277" s="31"/>
      <c r="FF277" s="31"/>
      <c r="FG277" s="31"/>
      <c r="FH277" s="31"/>
      <c r="FI277" s="31"/>
      <c r="FJ277" s="31"/>
      <c r="FK277" s="31"/>
      <c r="FL277" s="31"/>
      <c r="FM277" s="31"/>
      <c r="FN277" s="31"/>
      <c r="FO277" s="31"/>
      <c r="FP277" s="31"/>
      <c r="FQ277" s="31"/>
      <c r="FR277" s="31"/>
      <c r="FS277" s="31"/>
      <c r="FT277" s="31"/>
      <c r="FU277" s="31"/>
      <c r="FV277" s="31"/>
      <c r="FW277" s="31"/>
      <c r="FX277" s="31"/>
      <c r="FY277" s="31"/>
      <c r="FZ277" s="31"/>
      <c r="GA277" s="31"/>
      <c r="GB277" s="31"/>
      <c r="GC277" s="31"/>
      <c r="GD277" s="31"/>
      <c r="GE277" s="31"/>
      <c r="GF277" s="31"/>
      <c r="GG277" s="31"/>
      <c r="GH277" s="31"/>
    </row>
    <row r="278" spans="1:190" ht="15.75" customHeight="1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>
        <v>276</v>
      </c>
      <c r="U278" s="31" t="s">
        <v>194</v>
      </c>
      <c r="V278" s="31" t="s">
        <v>724</v>
      </c>
      <c r="W278" s="31" t="s">
        <v>789</v>
      </c>
      <c r="X278" s="31" t="s">
        <v>2174</v>
      </c>
      <c r="Y278" s="31" t="s">
        <v>2175</v>
      </c>
      <c r="Z278" s="31" t="s">
        <v>2176</v>
      </c>
      <c r="AA278" s="32" t="s">
        <v>202</v>
      </c>
      <c r="AB278" s="32" t="s">
        <v>725</v>
      </c>
      <c r="AC278" s="32" t="s">
        <v>793</v>
      </c>
      <c r="AD278" s="31" t="s">
        <v>794</v>
      </c>
      <c r="AE278" s="31" t="s">
        <v>303</v>
      </c>
      <c r="AF278" s="31" t="s">
        <v>688</v>
      </c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1"/>
      <c r="EH278" s="31"/>
      <c r="EI278" s="31"/>
      <c r="EJ278" s="31"/>
      <c r="EK278" s="31"/>
      <c r="EL278" s="31"/>
      <c r="EM278" s="31"/>
      <c r="EN278" s="31"/>
      <c r="EO278" s="31"/>
      <c r="EP278" s="31"/>
      <c r="EQ278" s="31"/>
      <c r="ER278" s="31"/>
      <c r="ES278" s="31"/>
      <c r="ET278" s="31"/>
      <c r="EU278" s="31"/>
      <c r="EV278" s="31"/>
      <c r="EW278" s="31"/>
      <c r="EX278" s="31"/>
      <c r="EY278" s="31"/>
      <c r="EZ278" s="31"/>
      <c r="FA278" s="31"/>
      <c r="FB278" s="31"/>
      <c r="FC278" s="31"/>
      <c r="FD278" s="31"/>
      <c r="FE278" s="31"/>
      <c r="FF278" s="31"/>
      <c r="FG278" s="31"/>
      <c r="FH278" s="31"/>
      <c r="FI278" s="31"/>
      <c r="FJ278" s="31"/>
      <c r="FK278" s="31"/>
      <c r="FL278" s="31"/>
      <c r="FM278" s="31"/>
      <c r="FN278" s="31"/>
      <c r="FO278" s="31"/>
      <c r="FP278" s="31"/>
      <c r="FQ278" s="31"/>
      <c r="FR278" s="31"/>
      <c r="FS278" s="31"/>
      <c r="FT278" s="31"/>
      <c r="FU278" s="31"/>
      <c r="FV278" s="31"/>
      <c r="FW278" s="31"/>
      <c r="FX278" s="31"/>
      <c r="FY278" s="31"/>
      <c r="FZ278" s="31"/>
      <c r="GA278" s="31"/>
      <c r="GB278" s="31"/>
      <c r="GC278" s="31"/>
      <c r="GD278" s="31"/>
      <c r="GE278" s="31"/>
      <c r="GF278" s="31"/>
      <c r="GG278" s="31"/>
      <c r="GH278" s="31"/>
    </row>
    <row r="279" spans="1:190" ht="15.75" customHeight="1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>
        <v>277</v>
      </c>
      <c r="U279" s="31" t="s">
        <v>194</v>
      </c>
      <c r="V279" s="31" t="s">
        <v>195</v>
      </c>
      <c r="W279" s="31" t="s">
        <v>196</v>
      </c>
      <c r="X279" s="31" t="s">
        <v>2177</v>
      </c>
      <c r="Y279" s="31" t="s">
        <v>2178</v>
      </c>
      <c r="Z279" s="31" t="s">
        <v>2179</v>
      </c>
      <c r="AA279" s="32" t="s">
        <v>202</v>
      </c>
      <c r="AB279" s="32" t="s">
        <v>203</v>
      </c>
      <c r="AC279" s="32" t="s">
        <v>204</v>
      </c>
      <c r="AD279" s="31" t="s">
        <v>205</v>
      </c>
      <c r="AE279" s="31" t="s">
        <v>206</v>
      </c>
      <c r="AF279" s="31" t="s">
        <v>207</v>
      </c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  <c r="DT279" s="31"/>
      <c r="DU279" s="31"/>
      <c r="DV279" s="31"/>
      <c r="DW279" s="31"/>
      <c r="DX279" s="31"/>
      <c r="DY279" s="31"/>
      <c r="DZ279" s="31"/>
      <c r="EA279" s="31"/>
      <c r="EB279" s="31"/>
      <c r="EC279" s="31"/>
      <c r="ED279" s="31"/>
      <c r="EE279" s="31"/>
      <c r="EF279" s="31"/>
      <c r="EG279" s="31"/>
      <c r="EH279" s="31"/>
      <c r="EI279" s="31"/>
      <c r="EJ279" s="31"/>
      <c r="EK279" s="31"/>
      <c r="EL279" s="31"/>
      <c r="EM279" s="31"/>
      <c r="EN279" s="31"/>
      <c r="EO279" s="31"/>
      <c r="EP279" s="31"/>
      <c r="EQ279" s="31"/>
      <c r="ER279" s="31"/>
      <c r="ES279" s="31"/>
      <c r="ET279" s="31"/>
      <c r="EU279" s="31"/>
      <c r="EV279" s="31"/>
      <c r="EW279" s="31"/>
      <c r="EX279" s="31"/>
      <c r="EY279" s="31"/>
      <c r="EZ279" s="31"/>
      <c r="FA279" s="31"/>
      <c r="FB279" s="31"/>
      <c r="FC279" s="31"/>
      <c r="FD279" s="31"/>
      <c r="FE279" s="31"/>
      <c r="FF279" s="31"/>
      <c r="FG279" s="31"/>
      <c r="FH279" s="31"/>
      <c r="FI279" s="31"/>
      <c r="FJ279" s="31"/>
      <c r="FK279" s="31"/>
      <c r="FL279" s="31"/>
      <c r="FM279" s="31"/>
      <c r="FN279" s="31"/>
      <c r="FO279" s="31"/>
      <c r="FP279" s="31"/>
      <c r="FQ279" s="31"/>
      <c r="FR279" s="31"/>
      <c r="FS279" s="31"/>
      <c r="FT279" s="31"/>
      <c r="FU279" s="31"/>
      <c r="FV279" s="31"/>
      <c r="FW279" s="31"/>
      <c r="FX279" s="31"/>
      <c r="FY279" s="31"/>
      <c r="FZ279" s="31"/>
      <c r="GA279" s="31"/>
      <c r="GB279" s="31"/>
      <c r="GC279" s="31"/>
      <c r="GD279" s="31"/>
      <c r="GE279" s="31"/>
      <c r="GF279" s="31"/>
      <c r="GG279" s="31"/>
      <c r="GH279" s="31"/>
    </row>
    <row r="280" spans="1:190" ht="15.75" customHeight="1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>
        <v>278</v>
      </c>
      <c r="U280" s="31" t="s">
        <v>194</v>
      </c>
      <c r="V280" s="31" t="s">
        <v>195</v>
      </c>
      <c r="W280" s="31" t="s">
        <v>196</v>
      </c>
      <c r="X280" s="31" t="s">
        <v>2180</v>
      </c>
      <c r="Y280" s="31" t="s">
        <v>2181</v>
      </c>
      <c r="Z280" s="31" t="s">
        <v>2182</v>
      </c>
      <c r="AA280" s="32" t="s">
        <v>202</v>
      </c>
      <c r="AB280" s="32" t="s">
        <v>203</v>
      </c>
      <c r="AC280" s="32" t="s">
        <v>204</v>
      </c>
      <c r="AD280" s="31" t="s">
        <v>1888</v>
      </c>
      <c r="AE280" s="31" t="s">
        <v>1889</v>
      </c>
      <c r="AF280" s="31" t="s">
        <v>1216</v>
      </c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  <c r="DT280" s="31"/>
      <c r="DU280" s="31"/>
      <c r="DV280" s="31"/>
      <c r="DW280" s="31"/>
      <c r="DX280" s="31"/>
      <c r="DY280" s="31"/>
      <c r="DZ280" s="31"/>
      <c r="EA280" s="31"/>
      <c r="EB280" s="31"/>
      <c r="EC280" s="31"/>
      <c r="ED280" s="31"/>
      <c r="EE280" s="31"/>
      <c r="EF280" s="31"/>
      <c r="EG280" s="31"/>
      <c r="EH280" s="31"/>
      <c r="EI280" s="31"/>
      <c r="EJ280" s="31"/>
      <c r="EK280" s="31"/>
      <c r="EL280" s="31"/>
      <c r="EM280" s="31"/>
      <c r="EN280" s="31"/>
      <c r="EO280" s="31"/>
      <c r="EP280" s="31"/>
      <c r="EQ280" s="31"/>
      <c r="ER280" s="31"/>
      <c r="ES280" s="31"/>
      <c r="ET280" s="31"/>
      <c r="EU280" s="31"/>
      <c r="EV280" s="31"/>
      <c r="EW280" s="31"/>
      <c r="EX280" s="31"/>
      <c r="EY280" s="31"/>
      <c r="EZ280" s="31"/>
      <c r="FA280" s="31"/>
      <c r="FB280" s="31"/>
      <c r="FC280" s="31"/>
      <c r="FD280" s="31"/>
      <c r="FE280" s="31"/>
      <c r="FF280" s="31"/>
      <c r="FG280" s="31"/>
      <c r="FH280" s="31"/>
      <c r="FI280" s="31"/>
      <c r="FJ280" s="31"/>
      <c r="FK280" s="31"/>
      <c r="FL280" s="31"/>
      <c r="FM280" s="31"/>
      <c r="FN280" s="31"/>
      <c r="FO280" s="31"/>
      <c r="FP280" s="31"/>
      <c r="FQ280" s="31"/>
      <c r="FR280" s="31"/>
      <c r="FS280" s="31"/>
      <c r="FT280" s="31"/>
      <c r="FU280" s="31"/>
      <c r="FV280" s="31"/>
      <c r="FW280" s="31"/>
      <c r="FX280" s="31"/>
      <c r="FY280" s="31"/>
      <c r="FZ280" s="31"/>
      <c r="GA280" s="31"/>
      <c r="GB280" s="31"/>
      <c r="GC280" s="31"/>
      <c r="GD280" s="31"/>
      <c r="GE280" s="31"/>
      <c r="GF280" s="31"/>
      <c r="GG280" s="31"/>
      <c r="GH280" s="31"/>
    </row>
    <row r="281" spans="1:190" ht="15.75" customHeight="1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>
        <v>279</v>
      </c>
      <c r="U281" s="31" t="s">
        <v>194</v>
      </c>
      <c r="V281" s="31" t="s">
        <v>294</v>
      </c>
      <c r="W281" s="31" t="s">
        <v>776</v>
      </c>
      <c r="X281" s="31" t="s">
        <v>2183</v>
      </c>
      <c r="Y281" s="31" t="s">
        <v>2184</v>
      </c>
      <c r="Z281" s="31" t="s">
        <v>510</v>
      </c>
      <c r="AA281" s="32" t="s">
        <v>202</v>
      </c>
      <c r="AB281" s="32" t="s">
        <v>300</v>
      </c>
      <c r="AC281" s="32" t="s">
        <v>779</v>
      </c>
      <c r="AD281" s="31" t="s">
        <v>303</v>
      </c>
      <c r="AE281" s="31"/>
      <c r="AF281" s="31" t="s">
        <v>1148</v>
      </c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  <c r="DT281" s="31"/>
      <c r="DU281" s="31"/>
      <c r="DV281" s="31"/>
      <c r="DW281" s="31"/>
      <c r="DX281" s="31"/>
      <c r="DY281" s="31"/>
      <c r="DZ281" s="31"/>
      <c r="EA281" s="31"/>
      <c r="EB281" s="31"/>
      <c r="EC281" s="31"/>
      <c r="ED281" s="31"/>
      <c r="EE281" s="31"/>
      <c r="EF281" s="31"/>
      <c r="EG281" s="31"/>
      <c r="EH281" s="31"/>
      <c r="EI281" s="31"/>
      <c r="EJ281" s="31"/>
      <c r="EK281" s="31"/>
      <c r="EL281" s="31"/>
      <c r="EM281" s="31"/>
      <c r="EN281" s="31"/>
      <c r="EO281" s="31"/>
      <c r="EP281" s="31"/>
      <c r="EQ281" s="31"/>
      <c r="ER281" s="31"/>
      <c r="ES281" s="31"/>
      <c r="ET281" s="31"/>
      <c r="EU281" s="31"/>
      <c r="EV281" s="31"/>
      <c r="EW281" s="31"/>
      <c r="EX281" s="31"/>
      <c r="EY281" s="31"/>
      <c r="EZ281" s="31"/>
      <c r="FA281" s="31"/>
      <c r="FB281" s="31"/>
      <c r="FC281" s="31"/>
      <c r="FD281" s="31"/>
      <c r="FE281" s="31"/>
      <c r="FF281" s="31"/>
      <c r="FG281" s="31"/>
      <c r="FH281" s="31"/>
      <c r="FI281" s="31"/>
      <c r="FJ281" s="31"/>
      <c r="FK281" s="31"/>
      <c r="FL281" s="31"/>
      <c r="FM281" s="31"/>
      <c r="FN281" s="31"/>
      <c r="FO281" s="31"/>
      <c r="FP281" s="31"/>
      <c r="FQ281" s="31"/>
      <c r="FR281" s="31"/>
      <c r="FS281" s="31"/>
      <c r="FT281" s="31"/>
      <c r="FU281" s="31"/>
      <c r="FV281" s="31"/>
      <c r="FW281" s="31"/>
      <c r="FX281" s="31"/>
      <c r="FY281" s="31"/>
      <c r="FZ281" s="31"/>
      <c r="GA281" s="31"/>
      <c r="GB281" s="31"/>
      <c r="GC281" s="31"/>
      <c r="GD281" s="31"/>
      <c r="GE281" s="31"/>
      <c r="GF281" s="31"/>
      <c r="GG281" s="31"/>
      <c r="GH281" s="31"/>
    </row>
    <row r="282" spans="1:190" ht="15.75" customHeight="1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>
        <v>280</v>
      </c>
      <c r="U282" s="31" t="s">
        <v>187</v>
      </c>
      <c r="V282" s="31" t="s">
        <v>187</v>
      </c>
      <c r="W282" s="31" t="s">
        <v>187</v>
      </c>
      <c r="X282" s="31" t="s">
        <v>2185</v>
      </c>
      <c r="Y282" s="31" t="s">
        <v>2186</v>
      </c>
      <c r="Z282" s="31" t="s">
        <v>2187</v>
      </c>
      <c r="AA282" s="32" t="s">
        <v>286</v>
      </c>
      <c r="AB282" s="32" t="s">
        <v>190</v>
      </c>
      <c r="AC282" s="32" t="s">
        <v>193</v>
      </c>
      <c r="AD282" s="31" t="s">
        <v>303</v>
      </c>
      <c r="AE282" s="31"/>
      <c r="AF282" s="31" t="s">
        <v>314</v>
      </c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  <c r="DT282" s="31"/>
      <c r="DU282" s="31"/>
      <c r="DV282" s="31"/>
      <c r="DW282" s="31"/>
      <c r="DX282" s="31"/>
      <c r="DY282" s="31"/>
      <c r="DZ282" s="31"/>
      <c r="EA282" s="31"/>
      <c r="EB282" s="31"/>
      <c r="EC282" s="31"/>
      <c r="ED282" s="31"/>
      <c r="EE282" s="31"/>
      <c r="EF282" s="31"/>
      <c r="EG282" s="31"/>
      <c r="EH282" s="31"/>
      <c r="EI282" s="31"/>
      <c r="EJ282" s="31"/>
      <c r="EK282" s="31"/>
      <c r="EL282" s="31"/>
      <c r="EM282" s="31"/>
      <c r="EN282" s="31"/>
      <c r="EO282" s="31"/>
      <c r="EP282" s="31"/>
      <c r="EQ282" s="31"/>
      <c r="ER282" s="31"/>
      <c r="ES282" s="31"/>
      <c r="ET282" s="31"/>
      <c r="EU282" s="31"/>
      <c r="EV282" s="31"/>
      <c r="EW282" s="31"/>
      <c r="EX282" s="31"/>
      <c r="EY282" s="31"/>
      <c r="EZ282" s="31"/>
      <c r="FA282" s="31"/>
      <c r="FB282" s="31"/>
      <c r="FC282" s="31"/>
      <c r="FD282" s="31"/>
      <c r="FE282" s="31"/>
      <c r="FF282" s="31"/>
      <c r="FG282" s="31"/>
      <c r="FH282" s="31"/>
      <c r="FI282" s="31"/>
      <c r="FJ282" s="31"/>
      <c r="FK282" s="31"/>
      <c r="FL282" s="31"/>
      <c r="FM282" s="31"/>
      <c r="FN282" s="31"/>
      <c r="FO282" s="31"/>
      <c r="FP282" s="31"/>
      <c r="FQ282" s="31"/>
      <c r="FR282" s="31"/>
      <c r="FS282" s="31"/>
      <c r="FT282" s="31"/>
      <c r="FU282" s="31"/>
      <c r="FV282" s="31"/>
      <c r="FW282" s="31"/>
      <c r="FX282" s="31"/>
      <c r="FY282" s="31"/>
      <c r="FZ282" s="31"/>
      <c r="GA282" s="31"/>
      <c r="GB282" s="31"/>
      <c r="GC282" s="31"/>
      <c r="GD282" s="31"/>
      <c r="GE282" s="31"/>
      <c r="GF282" s="31"/>
      <c r="GG282" s="31"/>
      <c r="GH282" s="31"/>
    </row>
    <row r="283" spans="1:190" ht="15.75" customHeight="1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>
        <v>281</v>
      </c>
      <c r="U283" s="31" t="s">
        <v>187</v>
      </c>
      <c r="V283" s="31" t="s">
        <v>561</v>
      </c>
      <c r="W283" s="31" t="s">
        <v>787</v>
      </c>
      <c r="X283" s="31" t="s">
        <v>2188</v>
      </c>
      <c r="Y283" s="31" t="s">
        <v>2189</v>
      </c>
      <c r="Z283" s="31" t="s">
        <v>2190</v>
      </c>
      <c r="AA283" s="32" t="s">
        <v>286</v>
      </c>
      <c r="AB283" s="32" t="s">
        <v>562</v>
      </c>
      <c r="AC283" s="32" t="s">
        <v>788</v>
      </c>
      <c r="AD283" s="31" t="s">
        <v>303</v>
      </c>
      <c r="AE283" s="31"/>
      <c r="AF283" s="31" t="s">
        <v>922</v>
      </c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  <c r="DT283" s="31"/>
      <c r="DU283" s="31"/>
      <c r="DV283" s="31"/>
      <c r="DW283" s="31"/>
      <c r="DX283" s="31"/>
      <c r="DY283" s="31"/>
      <c r="DZ283" s="31"/>
      <c r="EA283" s="31"/>
      <c r="EB283" s="31"/>
      <c r="EC283" s="31"/>
      <c r="ED283" s="31"/>
      <c r="EE283" s="31"/>
      <c r="EF283" s="31"/>
      <c r="EG283" s="31"/>
      <c r="EH283" s="31"/>
      <c r="EI283" s="31"/>
      <c r="EJ283" s="31"/>
      <c r="EK283" s="31"/>
      <c r="EL283" s="31"/>
      <c r="EM283" s="31"/>
      <c r="EN283" s="31"/>
      <c r="EO283" s="31"/>
      <c r="EP283" s="31"/>
      <c r="EQ283" s="31"/>
      <c r="ER283" s="31"/>
      <c r="ES283" s="31"/>
      <c r="ET283" s="31"/>
      <c r="EU283" s="31"/>
      <c r="EV283" s="31"/>
      <c r="EW283" s="31"/>
      <c r="EX283" s="31"/>
      <c r="EY283" s="31"/>
      <c r="EZ283" s="31"/>
      <c r="FA283" s="31"/>
      <c r="FB283" s="31"/>
      <c r="FC283" s="31"/>
      <c r="FD283" s="31"/>
      <c r="FE283" s="31"/>
      <c r="FF283" s="31"/>
      <c r="FG283" s="31"/>
      <c r="FH283" s="31"/>
      <c r="FI283" s="31"/>
      <c r="FJ283" s="31"/>
      <c r="FK283" s="31"/>
      <c r="FL283" s="31"/>
      <c r="FM283" s="31"/>
      <c r="FN283" s="31"/>
      <c r="FO283" s="31"/>
      <c r="FP283" s="31"/>
      <c r="FQ283" s="31"/>
      <c r="FR283" s="31"/>
      <c r="FS283" s="31"/>
      <c r="FT283" s="31"/>
      <c r="FU283" s="31"/>
      <c r="FV283" s="31"/>
      <c r="FW283" s="31"/>
      <c r="FX283" s="31"/>
      <c r="FY283" s="31"/>
      <c r="FZ283" s="31"/>
      <c r="GA283" s="31"/>
      <c r="GB283" s="31"/>
      <c r="GC283" s="31"/>
      <c r="GD283" s="31"/>
      <c r="GE283" s="31"/>
      <c r="GF283" s="31"/>
      <c r="GG283" s="31"/>
      <c r="GH283" s="31"/>
    </row>
    <row r="284" spans="1:190" ht="15.75" customHeight="1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>
        <v>282</v>
      </c>
      <c r="U284" s="31" t="s">
        <v>187</v>
      </c>
      <c r="V284" s="31" t="s">
        <v>520</v>
      </c>
      <c r="W284" s="31" t="s">
        <v>767</v>
      </c>
      <c r="X284" s="31" t="s">
        <v>2191</v>
      </c>
      <c r="Y284" s="31" t="s">
        <v>2192</v>
      </c>
      <c r="Z284" s="31" t="s">
        <v>2193</v>
      </c>
      <c r="AA284" s="32" t="s">
        <v>286</v>
      </c>
      <c r="AB284" s="32" t="s">
        <v>521</v>
      </c>
      <c r="AC284" s="32" t="s">
        <v>768</v>
      </c>
      <c r="AD284" s="31" t="s">
        <v>1468</v>
      </c>
      <c r="AE284" s="31" t="s">
        <v>303</v>
      </c>
      <c r="AF284" s="31" t="s">
        <v>853</v>
      </c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  <c r="DT284" s="31"/>
      <c r="DU284" s="31"/>
      <c r="DV284" s="31"/>
      <c r="DW284" s="31"/>
      <c r="DX284" s="31"/>
      <c r="DY284" s="31"/>
      <c r="DZ284" s="31"/>
      <c r="EA284" s="31"/>
      <c r="EB284" s="31"/>
      <c r="EC284" s="31"/>
      <c r="ED284" s="31"/>
      <c r="EE284" s="31"/>
      <c r="EF284" s="31"/>
      <c r="EG284" s="31"/>
      <c r="EH284" s="31"/>
      <c r="EI284" s="31"/>
      <c r="EJ284" s="31"/>
      <c r="EK284" s="31"/>
      <c r="EL284" s="31"/>
      <c r="EM284" s="31"/>
      <c r="EN284" s="31"/>
      <c r="EO284" s="31"/>
      <c r="EP284" s="31"/>
      <c r="EQ284" s="31"/>
      <c r="ER284" s="31"/>
      <c r="ES284" s="31"/>
      <c r="ET284" s="31"/>
      <c r="EU284" s="31"/>
      <c r="EV284" s="31"/>
      <c r="EW284" s="31"/>
      <c r="EX284" s="31"/>
      <c r="EY284" s="31"/>
      <c r="EZ284" s="31"/>
      <c r="FA284" s="31"/>
      <c r="FB284" s="31"/>
      <c r="FC284" s="31"/>
      <c r="FD284" s="31"/>
      <c r="FE284" s="31"/>
      <c r="FF284" s="31"/>
      <c r="FG284" s="31"/>
      <c r="FH284" s="31"/>
      <c r="FI284" s="31"/>
      <c r="FJ284" s="31"/>
      <c r="FK284" s="31"/>
      <c r="FL284" s="31"/>
      <c r="FM284" s="31"/>
      <c r="FN284" s="31"/>
      <c r="FO284" s="31"/>
      <c r="FP284" s="31"/>
      <c r="FQ284" s="31"/>
      <c r="FR284" s="31"/>
      <c r="FS284" s="31"/>
      <c r="FT284" s="31"/>
      <c r="FU284" s="31"/>
      <c r="FV284" s="31"/>
      <c r="FW284" s="31"/>
      <c r="FX284" s="31"/>
      <c r="FY284" s="31"/>
      <c r="FZ284" s="31"/>
      <c r="GA284" s="31"/>
      <c r="GB284" s="31"/>
      <c r="GC284" s="31"/>
      <c r="GD284" s="31"/>
      <c r="GE284" s="31"/>
      <c r="GF284" s="31"/>
      <c r="GG284" s="31"/>
      <c r="GH284" s="31"/>
    </row>
    <row r="285" spans="1:190" ht="15.75" customHeight="1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>
        <v>283</v>
      </c>
      <c r="U285" s="31" t="s">
        <v>187</v>
      </c>
      <c r="V285" s="31" t="s">
        <v>469</v>
      </c>
      <c r="W285" s="31" t="s">
        <v>474</v>
      </c>
      <c r="X285" s="31" t="s">
        <v>2194</v>
      </c>
      <c r="Y285" s="31" t="s">
        <v>2195</v>
      </c>
      <c r="Z285" s="31" t="s">
        <v>2196</v>
      </c>
      <c r="AA285" s="32" t="s">
        <v>286</v>
      </c>
      <c r="AB285" s="32" t="s">
        <v>470</v>
      </c>
      <c r="AC285" s="32" t="s">
        <v>480</v>
      </c>
      <c r="AD285" s="31" t="s">
        <v>481</v>
      </c>
      <c r="AE285" s="31" t="s">
        <v>303</v>
      </c>
      <c r="AF285" s="31" t="s">
        <v>483</v>
      </c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  <c r="DT285" s="31"/>
      <c r="DU285" s="31"/>
      <c r="DV285" s="31"/>
      <c r="DW285" s="31"/>
      <c r="DX285" s="31"/>
      <c r="DY285" s="31"/>
      <c r="DZ285" s="31"/>
      <c r="EA285" s="31"/>
      <c r="EB285" s="31"/>
      <c r="EC285" s="31"/>
      <c r="ED285" s="31"/>
      <c r="EE285" s="31"/>
      <c r="EF285" s="31"/>
      <c r="EG285" s="31"/>
      <c r="EH285" s="31"/>
      <c r="EI285" s="31"/>
      <c r="EJ285" s="31"/>
      <c r="EK285" s="31"/>
      <c r="EL285" s="31"/>
      <c r="EM285" s="31"/>
      <c r="EN285" s="31"/>
      <c r="EO285" s="31"/>
      <c r="EP285" s="31"/>
      <c r="EQ285" s="31"/>
      <c r="ER285" s="31"/>
      <c r="ES285" s="31"/>
      <c r="ET285" s="31"/>
      <c r="EU285" s="31"/>
      <c r="EV285" s="31"/>
      <c r="EW285" s="31"/>
      <c r="EX285" s="31"/>
      <c r="EY285" s="31"/>
      <c r="EZ285" s="31"/>
      <c r="FA285" s="31"/>
      <c r="FB285" s="31"/>
      <c r="FC285" s="31"/>
      <c r="FD285" s="31"/>
      <c r="FE285" s="31"/>
      <c r="FF285" s="31"/>
      <c r="FG285" s="31"/>
      <c r="FH285" s="31"/>
      <c r="FI285" s="31"/>
      <c r="FJ285" s="31"/>
      <c r="FK285" s="31"/>
      <c r="FL285" s="31"/>
      <c r="FM285" s="31"/>
      <c r="FN285" s="31"/>
      <c r="FO285" s="31"/>
      <c r="FP285" s="31"/>
      <c r="FQ285" s="31"/>
      <c r="FR285" s="31"/>
      <c r="FS285" s="31"/>
      <c r="FT285" s="31"/>
      <c r="FU285" s="31"/>
      <c r="FV285" s="31"/>
      <c r="FW285" s="31"/>
      <c r="FX285" s="31"/>
      <c r="FY285" s="31"/>
      <c r="FZ285" s="31"/>
      <c r="GA285" s="31"/>
      <c r="GB285" s="31"/>
      <c r="GC285" s="31"/>
      <c r="GD285" s="31"/>
      <c r="GE285" s="31"/>
      <c r="GF285" s="31"/>
      <c r="GG285" s="31"/>
      <c r="GH285" s="31"/>
    </row>
    <row r="286" spans="1:190" ht="15.75" customHeight="1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>
        <v>284</v>
      </c>
      <c r="U286" s="31" t="s">
        <v>187</v>
      </c>
      <c r="V286" s="31" t="s">
        <v>287</v>
      </c>
      <c r="W286" s="31" t="s">
        <v>600</v>
      </c>
      <c r="X286" s="31" t="s">
        <v>2197</v>
      </c>
      <c r="Y286" s="31" t="s">
        <v>2198</v>
      </c>
      <c r="Z286" s="31" t="s">
        <v>2199</v>
      </c>
      <c r="AA286" s="32" t="s">
        <v>286</v>
      </c>
      <c r="AB286" s="32" t="s">
        <v>290</v>
      </c>
      <c r="AC286" s="32" t="s">
        <v>627</v>
      </c>
      <c r="AD286" s="31" t="s">
        <v>303</v>
      </c>
      <c r="AE286" s="31"/>
      <c r="AF286" s="31" t="s">
        <v>1060</v>
      </c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  <c r="DT286" s="31"/>
      <c r="DU286" s="31"/>
      <c r="DV286" s="31"/>
      <c r="DW286" s="31"/>
      <c r="DX286" s="31"/>
      <c r="DY286" s="31"/>
      <c r="DZ286" s="31"/>
      <c r="EA286" s="31"/>
      <c r="EB286" s="31"/>
      <c r="EC286" s="31"/>
      <c r="ED286" s="31"/>
      <c r="EE286" s="31"/>
      <c r="EF286" s="31"/>
      <c r="EG286" s="31"/>
      <c r="EH286" s="31"/>
      <c r="EI286" s="31"/>
      <c r="EJ286" s="31"/>
      <c r="EK286" s="31"/>
      <c r="EL286" s="31"/>
      <c r="EM286" s="31"/>
      <c r="EN286" s="31"/>
      <c r="EO286" s="31"/>
      <c r="EP286" s="31"/>
      <c r="EQ286" s="31"/>
      <c r="ER286" s="31"/>
      <c r="ES286" s="31"/>
      <c r="ET286" s="31"/>
      <c r="EU286" s="31"/>
      <c r="EV286" s="31"/>
      <c r="EW286" s="31"/>
      <c r="EX286" s="31"/>
      <c r="EY286" s="31"/>
      <c r="EZ286" s="31"/>
      <c r="FA286" s="31"/>
      <c r="FB286" s="31"/>
      <c r="FC286" s="31"/>
      <c r="FD286" s="31"/>
      <c r="FE286" s="31"/>
      <c r="FF286" s="31"/>
      <c r="FG286" s="31"/>
      <c r="FH286" s="31"/>
      <c r="FI286" s="31"/>
      <c r="FJ286" s="31"/>
      <c r="FK286" s="31"/>
      <c r="FL286" s="31"/>
      <c r="FM286" s="31"/>
      <c r="FN286" s="31"/>
      <c r="FO286" s="31"/>
      <c r="FP286" s="31"/>
      <c r="FQ286" s="31"/>
      <c r="FR286" s="31"/>
      <c r="FS286" s="31"/>
      <c r="FT286" s="31"/>
      <c r="FU286" s="31"/>
      <c r="FV286" s="31"/>
      <c r="FW286" s="31"/>
      <c r="FX286" s="31"/>
      <c r="FY286" s="31"/>
      <c r="FZ286" s="31"/>
      <c r="GA286" s="31"/>
      <c r="GB286" s="31"/>
      <c r="GC286" s="31"/>
      <c r="GD286" s="31"/>
      <c r="GE286" s="31"/>
      <c r="GF286" s="31"/>
      <c r="GG286" s="31"/>
      <c r="GH286" s="31"/>
    </row>
    <row r="287" spans="1:190" ht="15.75" customHeight="1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>
        <v>285</v>
      </c>
      <c r="U287" s="31" t="s">
        <v>187</v>
      </c>
      <c r="V287" s="31" t="s">
        <v>194</v>
      </c>
      <c r="W287" s="31" t="s">
        <v>724</v>
      </c>
      <c r="X287" s="31" t="s">
        <v>2200</v>
      </c>
      <c r="Y287" s="31" t="s">
        <v>2201</v>
      </c>
      <c r="Z287" s="31" t="s">
        <v>2202</v>
      </c>
      <c r="AA287" s="32" t="s">
        <v>286</v>
      </c>
      <c r="AB287" s="32" t="s">
        <v>419</v>
      </c>
      <c r="AC287" s="32" t="s">
        <v>728</v>
      </c>
      <c r="AD287" s="31" t="s">
        <v>2203</v>
      </c>
      <c r="AE287" s="31" t="s">
        <v>303</v>
      </c>
      <c r="AF287" s="31" t="s">
        <v>1406</v>
      </c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  <c r="DT287" s="31"/>
      <c r="DU287" s="31"/>
      <c r="DV287" s="31"/>
      <c r="DW287" s="31"/>
      <c r="DX287" s="31"/>
      <c r="DY287" s="31"/>
      <c r="DZ287" s="31"/>
      <c r="EA287" s="31"/>
      <c r="EB287" s="31"/>
      <c r="EC287" s="31"/>
      <c r="ED287" s="31"/>
      <c r="EE287" s="31"/>
      <c r="EF287" s="31"/>
      <c r="EG287" s="31"/>
      <c r="EH287" s="31"/>
      <c r="EI287" s="31"/>
      <c r="EJ287" s="31"/>
      <c r="EK287" s="31"/>
      <c r="EL287" s="31"/>
      <c r="EM287" s="31"/>
      <c r="EN287" s="31"/>
      <c r="EO287" s="31"/>
      <c r="EP287" s="31"/>
      <c r="EQ287" s="31"/>
      <c r="ER287" s="31"/>
      <c r="ES287" s="31"/>
      <c r="ET287" s="31"/>
      <c r="EU287" s="31"/>
      <c r="EV287" s="31"/>
      <c r="EW287" s="31"/>
      <c r="EX287" s="31"/>
      <c r="EY287" s="31"/>
      <c r="EZ287" s="31"/>
      <c r="FA287" s="31"/>
      <c r="FB287" s="31"/>
      <c r="FC287" s="31"/>
      <c r="FD287" s="31"/>
      <c r="FE287" s="31"/>
      <c r="FF287" s="31"/>
      <c r="FG287" s="31"/>
      <c r="FH287" s="31"/>
      <c r="FI287" s="31"/>
      <c r="FJ287" s="31"/>
      <c r="FK287" s="31"/>
      <c r="FL287" s="31"/>
      <c r="FM287" s="31"/>
      <c r="FN287" s="31"/>
      <c r="FO287" s="31"/>
      <c r="FP287" s="31"/>
      <c r="FQ287" s="31"/>
      <c r="FR287" s="31"/>
      <c r="FS287" s="31"/>
      <c r="FT287" s="31"/>
      <c r="FU287" s="31"/>
      <c r="FV287" s="31"/>
      <c r="FW287" s="31"/>
      <c r="FX287" s="31"/>
      <c r="FY287" s="31"/>
      <c r="FZ287" s="31"/>
      <c r="GA287" s="31"/>
      <c r="GB287" s="31"/>
      <c r="GC287" s="31"/>
      <c r="GD287" s="31"/>
      <c r="GE287" s="31"/>
      <c r="GF287" s="31"/>
      <c r="GG287" s="31"/>
      <c r="GH287" s="31"/>
    </row>
    <row r="288" spans="1:190" ht="15.75" customHeight="1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>
        <v>286</v>
      </c>
      <c r="U288" s="31" t="s">
        <v>187</v>
      </c>
      <c r="V288" s="31" t="s">
        <v>287</v>
      </c>
      <c r="W288" s="31" t="s">
        <v>469</v>
      </c>
      <c r="X288" s="31" t="s">
        <v>2204</v>
      </c>
      <c r="Y288" s="31" t="s">
        <v>2205</v>
      </c>
      <c r="Z288" s="31" t="s">
        <v>2206</v>
      </c>
      <c r="AA288" s="32" t="s">
        <v>286</v>
      </c>
      <c r="AB288" s="32" t="s">
        <v>290</v>
      </c>
      <c r="AC288" s="32" t="s">
        <v>473</v>
      </c>
      <c r="AD288" s="31" t="s">
        <v>974</v>
      </c>
      <c r="AE288" s="31" t="s">
        <v>303</v>
      </c>
      <c r="AF288" s="31" t="s">
        <v>766</v>
      </c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1"/>
      <c r="DU288" s="31"/>
      <c r="DV288" s="31"/>
      <c r="DW288" s="31"/>
      <c r="DX288" s="31"/>
      <c r="DY288" s="31"/>
      <c r="DZ288" s="31"/>
      <c r="EA288" s="31"/>
      <c r="EB288" s="31"/>
      <c r="EC288" s="31"/>
      <c r="ED288" s="31"/>
      <c r="EE288" s="31"/>
      <c r="EF288" s="31"/>
      <c r="EG288" s="31"/>
      <c r="EH288" s="31"/>
      <c r="EI288" s="31"/>
      <c r="EJ288" s="31"/>
      <c r="EK288" s="31"/>
      <c r="EL288" s="31"/>
      <c r="EM288" s="31"/>
      <c r="EN288" s="31"/>
      <c r="EO288" s="31"/>
      <c r="EP288" s="31"/>
      <c r="EQ288" s="31"/>
      <c r="ER288" s="31"/>
      <c r="ES288" s="31"/>
      <c r="ET288" s="31"/>
      <c r="EU288" s="31"/>
      <c r="EV288" s="31"/>
      <c r="EW288" s="31"/>
      <c r="EX288" s="31"/>
      <c r="EY288" s="31"/>
      <c r="EZ288" s="31"/>
      <c r="FA288" s="31"/>
      <c r="FB288" s="31"/>
      <c r="FC288" s="31"/>
      <c r="FD288" s="31"/>
      <c r="FE288" s="31"/>
      <c r="FF288" s="31"/>
      <c r="FG288" s="31"/>
      <c r="FH288" s="31"/>
      <c r="FI288" s="31"/>
      <c r="FJ288" s="31"/>
      <c r="FK288" s="31"/>
      <c r="FL288" s="31"/>
      <c r="FM288" s="31"/>
      <c r="FN288" s="31"/>
      <c r="FO288" s="31"/>
      <c r="FP288" s="31"/>
      <c r="FQ288" s="31"/>
      <c r="FR288" s="31"/>
      <c r="FS288" s="31"/>
      <c r="FT288" s="31"/>
      <c r="FU288" s="31"/>
      <c r="FV288" s="31"/>
      <c r="FW288" s="31"/>
      <c r="FX288" s="31"/>
      <c r="FY288" s="31"/>
      <c r="FZ288" s="31"/>
      <c r="GA288" s="31"/>
      <c r="GB288" s="31"/>
      <c r="GC288" s="31"/>
      <c r="GD288" s="31"/>
      <c r="GE288" s="31"/>
      <c r="GF288" s="31"/>
      <c r="GG288" s="31"/>
      <c r="GH288" s="31"/>
    </row>
    <row r="289" spans="1:190" ht="15.75" customHeight="1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>
        <v>287</v>
      </c>
      <c r="U289" s="31" t="s">
        <v>194</v>
      </c>
      <c r="V289" s="31" t="s">
        <v>724</v>
      </c>
      <c r="W289" s="31" t="s">
        <v>789</v>
      </c>
      <c r="X289" s="31" t="s">
        <v>2207</v>
      </c>
      <c r="Y289" s="31" t="s">
        <v>2208</v>
      </c>
      <c r="Z289" s="31" t="s">
        <v>556</v>
      </c>
      <c r="AA289" s="32" t="s">
        <v>202</v>
      </c>
      <c r="AB289" s="32" t="s">
        <v>725</v>
      </c>
      <c r="AC289" s="32" t="s">
        <v>793</v>
      </c>
      <c r="AD289" s="31" t="s">
        <v>303</v>
      </c>
      <c r="AE289" s="31"/>
      <c r="AF289" s="31" t="s">
        <v>760</v>
      </c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  <c r="DT289" s="31"/>
      <c r="DU289" s="31"/>
      <c r="DV289" s="31"/>
      <c r="DW289" s="31"/>
      <c r="DX289" s="31"/>
      <c r="DY289" s="31"/>
      <c r="DZ289" s="31"/>
      <c r="EA289" s="31"/>
      <c r="EB289" s="31"/>
      <c r="EC289" s="31"/>
      <c r="ED289" s="31"/>
      <c r="EE289" s="31"/>
      <c r="EF289" s="31"/>
      <c r="EG289" s="31"/>
      <c r="EH289" s="31"/>
      <c r="EI289" s="31"/>
      <c r="EJ289" s="31"/>
      <c r="EK289" s="31"/>
      <c r="EL289" s="31"/>
      <c r="EM289" s="31"/>
      <c r="EN289" s="31"/>
      <c r="EO289" s="31"/>
      <c r="EP289" s="31"/>
      <c r="EQ289" s="31"/>
      <c r="ER289" s="31"/>
      <c r="ES289" s="31"/>
      <c r="ET289" s="31"/>
      <c r="EU289" s="31"/>
      <c r="EV289" s="31"/>
      <c r="EW289" s="31"/>
      <c r="EX289" s="31"/>
      <c r="EY289" s="31"/>
      <c r="EZ289" s="31"/>
      <c r="FA289" s="31"/>
      <c r="FB289" s="31"/>
      <c r="FC289" s="31"/>
      <c r="FD289" s="31"/>
      <c r="FE289" s="31"/>
      <c r="FF289" s="31"/>
      <c r="FG289" s="31"/>
      <c r="FH289" s="31"/>
      <c r="FI289" s="31"/>
      <c r="FJ289" s="31"/>
      <c r="FK289" s="31"/>
      <c r="FL289" s="31"/>
      <c r="FM289" s="31"/>
      <c r="FN289" s="31"/>
      <c r="FO289" s="31"/>
      <c r="FP289" s="31"/>
      <c r="FQ289" s="31"/>
      <c r="FR289" s="31"/>
      <c r="FS289" s="31"/>
      <c r="FT289" s="31"/>
      <c r="FU289" s="31"/>
      <c r="FV289" s="31"/>
      <c r="FW289" s="31"/>
      <c r="FX289" s="31"/>
      <c r="FY289" s="31"/>
      <c r="FZ289" s="31"/>
      <c r="GA289" s="31"/>
      <c r="GB289" s="31"/>
      <c r="GC289" s="31"/>
      <c r="GD289" s="31"/>
      <c r="GE289" s="31"/>
      <c r="GF289" s="31"/>
      <c r="GG289" s="31"/>
      <c r="GH289" s="31"/>
    </row>
    <row r="290" spans="1:190" ht="15.75" customHeight="1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>
        <v>288</v>
      </c>
      <c r="U290" s="31" t="s">
        <v>194</v>
      </c>
      <c r="V290" s="31" t="s">
        <v>195</v>
      </c>
      <c r="W290" s="31" t="s">
        <v>196</v>
      </c>
      <c r="X290" s="31" t="s">
        <v>2209</v>
      </c>
      <c r="Y290" s="31" t="s">
        <v>2210</v>
      </c>
      <c r="Z290" s="31" t="s">
        <v>2211</v>
      </c>
      <c r="AA290" s="32" t="s">
        <v>202</v>
      </c>
      <c r="AB290" s="32" t="s">
        <v>203</v>
      </c>
      <c r="AC290" s="32" t="s">
        <v>204</v>
      </c>
      <c r="AD290" s="31" t="s">
        <v>205</v>
      </c>
      <c r="AE290" s="31" t="s">
        <v>206</v>
      </c>
      <c r="AF290" s="31" t="s">
        <v>207</v>
      </c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  <c r="DT290" s="31"/>
      <c r="DU290" s="31"/>
      <c r="DV290" s="31"/>
      <c r="DW290" s="31"/>
      <c r="DX290" s="31"/>
      <c r="DY290" s="31"/>
      <c r="DZ290" s="31"/>
      <c r="EA290" s="31"/>
      <c r="EB290" s="31"/>
      <c r="EC290" s="31"/>
      <c r="ED290" s="31"/>
      <c r="EE290" s="31"/>
      <c r="EF290" s="31"/>
      <c r="EG290" s="31"/>
      <c r="EH290" s="31"/>
      <c r="EI290" s="31"/>
      <c r="EJ290" s="31"/>
      <c r="EK290" s="31"/>
      <c r="EL290" s="31"/>
      <c r="EM290" s="31"/>
      <c r="EN290" s="31"/>
      <c r="EO290" s="31"/>
      <c r="EP290" s="31"/>
      <c r="EQ290" s="31"/>
      <c r="ER290" s="31"/>
      <c r="ES290" s="31"/>
      <c r="ET290" s="31"/>
      <c r="EU290" s="31"/>
      <c r="EV290" s="31"/>
      <c r="EW290" s="31"/>
      <c r="EX290" s="31"/>
      <c r="EY290" s="31"/>
      <c r="EZ290" s="31"/>
      <c r="FA290" s="31"/>
      <c r="FB290" s="31"/>
      <c r="FC290" s="31"/>
      <c r="FD290" s="31"/>
      <c r="FE290" s="31"/>
      <c r="FF290" s="31"/>
      <c r="FG290" s="31"/>
      <c r="FH290" s="31"/>
      <c r="FI290" s="31"/>
      <c r="FJ290" s="31"/>
      <c r="FK290" s="31"/>
      <c r="FL290" s="31"/>
      <c r="FM290" s="31"/>
      <c r="FN290" s="31"/>
      <c r="FO290" s="31"/>
      <c r="FP290" s="31"/>
      <c r="FQ290" s="31"/>
      <c r="FR290" s="31"/>
      <c r="FS290" s="31"/>
      <c r="FT290" s="31"/>
      <c r="FU290" s="31"/>
      <c r="FV290" s="31"/>
      <c r="FW290" s="31"/>
      <c r="FX290" s="31"/>
      <c r="FY290" s="31"/>
      <c r="FZ290" s="31"/>
      <c r="GA290" s="31"/>
      <c r="GB290" s="31"/>
      <c r="GC290" s="31"/>
      <c r="GD290" s="31"/>
      <c r="GE290" s="31"/>
      <c r="GF290" s="31"/>
      <c r="GG290" s="31"/>
      <c r="GH290" s="31"/>
    </row>
    <row r="291" spans="1:190" ht="15.75" customHeight="1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>
        <v>289</v>
      </c>
      <c r="U291" s="31" t="s">
        <v>187</v>
      </c>
      <c r="V291" s="31" t="s">
        <v>194</v>
      </c>
      <c r="W291" s="31" t="s">
        <v>195</v>
      </c>
      <c r="X291" s="31" t="s">
        <v>2212</v>
      </c>
      <c r="Y291" s="31" t="s">
        <v>2213</v>
      </c>
      <c r="Z291" s="31" t="s">
        <v>2214</v>
      </c>
      <c r="AA291" s="32" t="s">
        <v>286</v>
      </c>
      <c r="AB291" s="32" t="s">
        <v>419</v>
      </c>
      <c r="AC291" s="32" t="s">
        <v>675</v>
      </c>
      <c r="AD291" s="31" t="s">
        <v>1134</v>
      </c>
      <c r="AE291" s="31" t="s">
        <v>303</v>
      </c>
      <c r="AF291" s="31" t="s">
        <v>640</v>
      </c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1"/>
      <c r="EH291" s="31"/>
      <c r="EI291" s="31"/>
      <c r="EJ291" s="31"/>
      <c r="EK291" s="31"/>
      <c r="EL291" s="31"/>
      <c r="EM291" s="31"/>
      <c r="EN291" s="31"/>
      <c r="EO291" s="31"/>
      <c r="EP291" s="31"/>
      <c r="EQ291" s="31"/>
      <c r="ER291" s="31"/>
      <c r="ES291" s="31"/>
      <c r="ET291" s="31"/>
      <c r="EU291" s="31"/>
      <c r="EV291" s="31"/>
      <c r="EW291" s="31"/>
      <c r="EX291" s="31"/>
      <c r="EY291" s="31"/>
      <c r="EZ291" s="31"/>
      <c r="FA291" s="31"/>
      <c r="FB291" s="31"/>
      <c r="FC291" s="31"/>
      <c r="FD291" s="31"/>
      <c r="FE291" s="31"/>
      <c r="FF291" s="31"/>
      <c r="FG291" s="31"/>
      <c r="FH291" s="31"/>
      <c r="FI291" s="31"/>
      <c r="FJ291" s="31"/>
      <c r="FK291" s="31"/>
      <c r="FL291" s="31"/>
      <c r="FM291" s="31"/>
      <c r="FN291" s="31"/>
      <c r="FO291" s="31"/>
      <c r="FP291" s="31"/>
      <c r="FQ291" s="31"/>
      <c r="FR291" s="31"/>
      <c r="FS291" s="31"/>
      <c r="FT291" s="31"/>
      <c r="FU291" s="31"/>
      <c r="FV291" s="31"/>
      <c r="FW291" s="31"/>
      <c r="FX291" s="31"/>
      <c r="FY291" s="31"/>
      <c r="FZ291" s="31"/>
      <c r="GA291" s="31"/>
      <c r="GB291" s="31"/>
      <c r="GC291" s="31"/>
      <c r="GD291" s="31"/>
      <c r="GE291" s="31"/>
      <c r="GF291" s="31"/>
      <c r="GG291" s="31"/>
      <c r="GH291" s="31"/>
    </row>
    <row r="292" spans="1:190" ht="15.75" customHeight="1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>
        <v>290</v>
      </c>
      <c r="U292" s="31" t="s">
        <v>360</v>
      </c>
      <c r="V292" s="31" t="s">
        <v>647</v>
      </c>
      <c r="W292" s="31" t="s">
        <v>877</v>
      </c>
      <c r="X292" s="31" t="s">
        <v>2215</v>
      </c>
      <c r="Y292" s="31" t="s">
        <v>2216</v>
      </c>
      <c r="Z292" s="31" t="s">
        <v>2217</v>
      </c>
      <c r="AA292" s="32" t="s">
        <v>418</v>
      </c>
      <c r="AB292" s="32" t="s">
        <v>648</v>
      </c>
      <c r="AC292" s="32" t="s">
        <v>878</v>
      </c>
      <c r="AD292" s="31" t="s">
        <v>303</v>
      </c>
      <c r="AE292" s="31"/>
      <c r="AF292" s="31" t="s">
        <v>1361</v>
      </c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  <c r="EO292" s="31"/>
      <c r="EP292" s="31"/>
      <c r="EQ292" s="31"/>
      <c r="ER292" s="31"/>
      <c r="ES292" s="31"/>
      <c r="ET292" s="31"/>
      <c r="EU292" s="31"/>
      <c r="EV292" s="31"/>
      <c r="EW292" s="31"/>
      <c r="EX292" s="31"/>
      <c r="EY292" s="31"/>
      <c r="EZ292" s="31"/>
      <c r="FA292" s="31"/>
      <c r="FB292" s="31"/>
      <c r="FC292" s="31"/>
      <c r="FD292" s="31"/>
      <c r="FE292" s="31"/>
      <c r="FF292" s="31"/>
      <c r="FG292" s="31"/>
      <c r="FH292" s="31"/>
      <c r="FI292" s="31"/>
      <c r="FJ292" s="31"/>
      <c r="FK292" s="31"/>
      <c r="FL292" s="31"/>
      <c r="FM292" s="31"/>
      <c r="FN292" s="31"/>
      <c r="FO292" s="31"/>
      <c r="FP292" s="31"/>
      <c r="FQ292" s="31"/>
      <c r="FR292" s="31"/>
      <c r="FS292" s="31"/>
      <c r="FT292" s="31"/>
      <c r="FU292" s="31"/>
      <c r="FV292" s="31"/>
      <c r="FW292" s="31"/>
      <c r="FX292" s="31"/>
      <c r="FY292" s="31"/>
      <c r="FZ292" s="31"/>
      <c r="GA292" s="31"/>
      <c r="GB292" s="31"/>
      <c r="GC292" s="31"/>
      <c r="GD292" s="31"/>
      <c r="GE292" s="31"/>
      <c r="GF292" s="31"/>
      <c r="GG292" s="31"/>
      <c r="GH292" s="31"/>
    </row>
    <row r="293" spans="1:190" ht="15.75" customHeight="1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>
        <v>291</v>
      </c>
      <c r="U293" s="31" t="s">
        <v>187</v>
      </c>
      <c r="V293" s="31" t="s">
        <v>287</v>
      </c>
      <c r="W293" s="31" t="s">
        <v>600</v>
      </c>
      <c r="X293" s="31" t="s">
        <v>2218</v>
      </c>
      <c r="Y293" s="31" t="s">
        <v>2219</v>
      </c>
      <c r="Z293" s="31" t="s">
        <v>2220</v>
      </c>
      <c r="AA293" s="32" t="s">
        <v>286</v>
      </c>
      <c r="AB293" s="32" t="s">
        <v>290</v>
      </c>
      <c r="AC293" s="32" t="s">
        <v>627</v>
      </c>
      <c r="AD293" s="31" t="s">
        <v>2135</v>
      </c>
      <c r="AE293" s="31" t="s">
        <v>303</v>
      </c>
      <c r="AF293" s="31" t="s">
        <v>1068</v>
      </c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  <c r="DI293" s="31"/>
      <c r="DJ293" s="31"/>
      <c r="DK293" s="31"/>
      <c r="DL293" s="31"/>
      <c r="DM293" s="31"/>
      <c r="DN293" s="31"/>
      <c r="DO293" s="31"/>
      <c r="DP293" s="31"/>
      <c r="DQ293" s="31"/>
      <c r="DR293" s="31"/>
      <c r="DS293" s="31"/>
      <c r="DT293" s="31"/>
      <c r="DU293" s="31"/>
      <c r="DV293" s="31"/>
      <c r="DW293" s="31"/>
      <c r="DX293" s="31"/>
      <c r="DY293" s="31"/>
      <c r="DZ293" s="31"/>
      <c r="EA293" s="31"/>
      <c r="EB293" s="31"/>
      <c r="EC293" s="31"/>
      <c r="ED293" s="31"/>
      <c r="EE293" s="31"/>
      <c r="EF293" s="31"/>
      <c r="EG293" s="31"/>
      <c r="EH293" s="31"/>
      <c r="EI293" s="31"/>
      <c r="EJ293" s="31"/>
      <c r="EK293" s="31"/>
      <c r="EL293" s="31"/>
      <c r="EM293" s="31"/>
      <c r="EN293" s="31"/>
      <c r="EO293" s="31"/>
      <c r="EP293" s="31"/>
      <c r="EQ293" s="31"/>
      <c r="ER293" s="31"/>
      <c r="ES293" s="31"/>
      <c r="ET293" s="31"/>
      <c r="EU293" s="31"/>
      <c r="EV293" s="31"/>
      <c r="EW293" s="31"/>
      <c r="EX293" s="31"/>
      <c r="EY293" s="31"/>
      <c r="EZ293" s="31"/>
      <c r="FA293" s="31"/>
      <c r="FB293" s="31"/>
      <c r="FC293" s="31"/>
      <c r="FD293" s="31"/>
      <c r="FE293" s="31"/>
      <c r="FF293" s="31"/>
      <c r="FG293" s="31"/>
      <c r="FH293" s="31"/>
      <c r="FI293" s="31"/>
      <c r="FJ293" s="31"/>
      <c r="FK293" s="31"/>
      <c r="FL293" s="31"/>
      <c r="FM293" s="31"/>
      <c r="FN293" s="31"/>
      <c r="FO293" s="31"/>
      <c r="FP293" s="31"/>
      <c r="FQ293" s="31"/>
      <c r="FR293" s="31"/>
      <c r="FS293" s="31"/>
      <c r="FT293" s="31"/>
      <c r="FU293" s="31"/>
      <c r="FV293" s="31"/>
      <c r="FW293" s="31"/>
      <c r="FX293" s="31"/>
      <c r="FY293" s="31"/>
      <c r="FZ293" s="31"/>
      <c r="GA293" s="31"/>
      <c r="GB293" s="31"/>
      <c r="GC293" s="31"/>
      <c r="GD293" s="31"/>
      <c r="GE293" s="31"/>
      <c r="GF293" s="31"/>
      <c r="GG293" s="31"/>
      <c r="GH293" s="31"/>
    </row>
    <row r="294" spans="1:190" ht="15.75" customHeight="1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>
        <v>292</v>
      </c>
      <c r="U294" s="31" t="s">
        <v>194</v>
      </c>
      <c r="V294" s="31" t="s">
        <v>195</v>
      </c>
      <c r="W294" s="31" t="s">
        <v>196</v>
      </c>
      <c r="X294" s="31" t="s">
        <v>2221</v>
      </c>
      <c r="Y294" s="31" t="s">
        <v>2222</v>
      </c>
      <c r="Z294" s="31" t="s">
        <v>2223</v>
      </c>
      <c r="AA294" s="32" t="s">
        <v>202</v>
      </c>
      <c r="AB294" s="32" t="s">
        <v>203</v>
      </c>
      <c r="AC294" s="32" t="s">
        <v>204</v>
      </c>
      <c r="AD294" s="31" t="s">
        <v>1517</v>
      </c>
      <c r="AE294" s="31" t="s">
        <v>303</v>
      </c>
      <c r="AF294" s="31" t="s">
        <v>1198</v>
      </c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1"/>
      <c r="DH294" s="31"/>
      <c r="DI294" s="31"/>
      <c r="DJ294" s="31"/>
      <c r="DK294" s="31"/>
      <c r="DL294" s="31"/>
      <c r="DM294" s="31"/>
      <c r="DN294" s="31"/>
      <c r="DO294" s="31"/>
      <c r="DP294" s="31"/>
      <c r="DQ294" s="31"/>
      <c r="DR294" s="31"/>
      <c r="DS294" s="31"/>
      <c r="DT294" s="31"/>
      <c r="DU294" s="31"/>
      <c r="DV294" s="31"/>
      <c r="DW294" s="31"/>
      <c r="DX294" s="31"/>
      <c r="DY294" s="31"/>
      <c r="DZ294" s="31"/>
      <c r="EA294" s="31"/>
      <c r="EB294" s="31"/>
      <c r="EC294" s="31"/>
      <c r="ED294" s="31"/>
      <c r="EE294" s="31"/>
      <c r="EF294" s="31"/>
      <c r="EG294" s="31"/>
      <c r="EH294" s="31"/>
      <c r="EI294" s="31"/>
      <c r="EJ294" s="31"/>
      <c r="EK294" s="31"/>
      <c r="EL294" s="31"/>
      <c r="EM294" s="31"/>
      <c r="EN294" s="31"/>
      <c r="EO294" s="31"/>
      <c r="EP294" s="31"/>
      <c r="EQ294" s="31"/>
      <c r="ER294" s="31"/>
      <c r="ES294" s="31"/>
      <c r="ET294" s="31"/>
      <c r="EU294" s="31"/>
      <c r="EV294" s="31"/>
      <c r="EW294" s="31"/>
      <c r="EX294" s="31"/>
      <c r="EY294" s="31"/>
      <c r="EZ294" s="31"/>
      <c r="FA294" s="31"/>
      <c r="FB294" s="31"/>
      <c r="FC294" s="31"/>
      <c r="FD294" s="31"/>
      <c r="FE294" s="31"/>
      <c r="FF294" s="31"/>
      <c r="FG294" s="31"/>
      <c r="FH294" s="31"/>
      <c r="FI294" s="31"/>
      <c r="FJ294" s="31"/>
      <c r="FK294" s="31"/>
      <c r="FL294" s="31"/>
      <c r="FM294" s="31"/>
      <c r="FN294" s="31"/>
      <c r="FO294" s="31"/>
      <c r="FP294" s="31"/>
      <c r="FQ294" s="31"/>
      <c r="FR294" s="31"/>
      <c r="FS294" s="31"/>
      <c r="FT294" s="31"/>
      <c r="FU294" s="31"/>
      <c r="FV294" s="31"/>
      <c r="FW294" s="31"/>
      <c r="FX294" s="31"/>
      <c r="FY294" s="31"/>
      <c r="FZ294" s="31"/>
      <c r="GA294" s="31"/>
      <c r="GB294" s="31"/>
      <c r="GC294" s="31"/>
      <c r="GD294" s="31"/>
      <c r="GE294" s="31"/>
      <c r="GF294" s="31"/>
      <c r="GG294" s="31"/>
      <c r="GH294" s="31"/>
    </row>
    <row r="295" spans="1:190" ht="15.75" customHeight="1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>
        <v>293</v>
      </c>
      <c r="U295" s="31" t="s">
        <v>194</v>
      </c>
      <c r="V295" s="31" t="s">
        <v>294</v>
      </c>
      <c r="W295" s="31" t="s">
        <v>776</v>
      </c>
      <c r="X295" s="31" t="s">
        <v>2224</v>
      </c>
      <c r="Y295" s="31" t="s">
        <v>2225</v>
      </c>
      <c r="Z295" s="31" t="s">
        <v>623</v>
      </c>
      <c r="AA295" s="32" t="s">
        <v>202</v>
      </c>
      <c r="AB295" s="32" t="s">
        <v>300</v>
      </c>
      <c r="AC295" s="32" t="s">
        <v>779</v>
      </c>
      <c r="AD295" s="31" t="s">
        <v>1186</v>
      </c>
      <c r="AE295" s="31" t="s">
        <v>303</v>
      </c>
      <c r="AF295" s="31" t="s">
        <v>1107</v>
      </c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/>
      <c r="DE295" s="31"/>
      <c r="DF295" s="31"/>
      <c r="DG295" s="31"/>
      <c r="DH295" s="31"/>
      <c r="DI295" s="31"/>
      <c r="DJ295" s="31"/>
      <c r="DK295" s="31"/>
      <c r="DL295" s="31"/>
      <c r="DM295" s="31"/>
      <c r="DN295" s="31"/>
      <c r="DO295" s="31"/>
      <c r="DP295" s="31"/>
      <c r="DQ295" s="31"/>
      <c r="DR295" s="31"/>
      <c r="DS295" s="31"/>
      <c r="DT295" s="31"/>
      <c r="DU295" s="31"/>
      <c r="DV295" s="31"/>
      <c r="DW295" s="31"/>
      <c r="DX295" s="31"/>
      <c r="DY295" s="31"/>
      <c r="DZ295" s="31"/>
      <c r="EA295" s="31"/>
      <c r="EB295" s="31"/>
      <c r="EC295" s="31"/>
      <c r="ED295" s="31"/>
      <c r="EE295" s="31"/>
      <c r="EF295" s="31"/>
      <c r="EG295" s="31"/>
      <c r="EH295" s="31"/>
      <c r="EI295" s="31"/>
      <c r="EJ295" s="31"/>
      <c r="EK295" s="31"/>
      <c r="EL295" s="31"/>
      <c r="EM295" s="31"/>
      <c r="EN295" s="31"/>
      <c r="EO295" s="31"/>
      <c r="EP295" s="31"/>
      <c r="EQ295" s="31"/>
      <c r="ER295" s="31"/>
      <c r="ES295" s="31"/>
      <c r="ET295" s="31"/>
      <c r="EU295" s="31"/>
      <c r="EV295" s="31"/>
      <c r="EW295" s="31"/>
      <c r="EX295" s="31"/>
      <c r="EY295" s="31"/>
      <c r="EZ295" s="31"/>
      <c r="FA295" s="31"/>
      <c r="FB295" s="31"/>
      <c r="FC295" s="31"/>
      <c r="FD295" s="31"/>
      <c r="FE295" s="31"/>
      <c r="FF295" s="31"/>
      <c r="FG295" s="31"/>
      <c r="FH295" s="31"/>
      <c r="FI295" s="31"/>
      <c r="FJ295" s="31"/>
      <c r="FK295" s="31"/>
      <c r="FL295" s="31"/>
      <c r="FM295" s="31"/>
      <c r="FN295" s="31"/>
      <c r="FO295" s="31"/>
      <c r="FP295" s="31"/>
      <c r="FQ295" s="31"/>
      <c r="FR295" s="31"/>
      <c r="FS295" s="31"/>
      <c r="FT295" s="31"/>
      <c r="FU295" s="31"/>
      <c r="FV295" s="31"/>
      <c r="FW295" s="31"/>
      <c r="FX295" s="31"/>
      <c r="FY295" s="31"/>
      <c r="FZ295" s="31"/>
      <c r="GA295" s="31"/>
      <c r="GB295" s="31"/>
      <c r="GC295" s="31"/>
      <c r="GD295" s="31"/>
      <c r="GE295" s="31"/>
      <c r="GF295" s="31"/>
      <c r="GG295" s="31"/>
      <c r="GH295" s="31"/>
    </row>
    <row r="296" spans="1:190" ht="15.75" customHeight="1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>
        <v>294</v>
      </c>
      <c r="U296" s="31" t="s">
        <v>194</v>
      </c>
      <c r="V296" s="31" t="s">
        <v>294</v>
      </c>
      <c r="W296" s="31" t="s">
        <v>295</v>
      </c>
      <c r="X296" s="31" t="s">
        <v>2226</v>
      </c>
      <c r="Y296" s="31" t="s">
        <v>2227</v>
      </c>
      <c r="Z296" s="31" t="s">
        <v>2228</v>
      </c>
      <c r="AA296" s="32" t="s">
        <v>202</v>
      </c>
      <c r="AB296" s="32" t="s">
        <v>300</v>
      </c>
      <c r="AC296" s="32" t="s">
        <v>301</v>
      </c>
      <c r="AD296" s="31" t="s">
        <v>302</v>
      </c>
      <c r="AE296" s="31" t="s">
        <v>303</v>
      </c>
      <c r="AF296" s="31" t="s">
        <v>304</v>
      </c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  <c r="DT296" s="31"/>
      <c r="DU296" s="31"/>
      <c r="DV296" s="31"/>
      <c r="DW296" s="31"/>
      <c r="DX296" s="31"/>
      <c r="DY296" s="31"/>
      <c r="DZ296" s="31"/>
      <c r="EA296" s="31"/>
      <c r="EB296" s="31"/>
      <c r="EC296" s="31"/>
      <c r="ED296" s="31"/>
      <c r="EE296" s="31"/>
      <c r="EF296" s="31"/>
      <c r="EG296" s="31"/>
      <c r="EH296" s="31"/>
      <c r="EI296" s="31"/>
      <c r="EJ296" s="31"/>
      <c r="EK296" s="31"/>
      <c r="EL296" s="31"/>
      <c r="EM296" s="31"/>
      <c r="EN296" s="31"/>
      <c r="EO296" s="31"/>
      <c r="EP296" s="31"/>
      <c r="EQ296" s="31"/>
      <c r="ER296" s="31"/>
      <c r="ES296" s="31"/>
      <c r="ET296" s="31"/>
      <c r="EU296" s="31"/>
      <c r="EV296" s="31"/>
      <c r="EW296" s="31"/>
      <c r="EX296" s="31"/>
      <c r="EY296" s="31"/>
      <c r="EZ296" s="31"/>
      <c r="FA296" s="31"/>
      <c r="FB296" s="31"/>
      <c r="FC296" s="31"/>
      <c r="FD296" s="31"/>
      <c r="FE296" s="31"/>
      <c r="FF296" s="31"/>
      <c r="FG296" s="31"/>
      <c r="FH296" s="31"/>
      <c r="FI296" s="31"/>
      <c r="FJ296" s="31"/>
      <c r="FK296" s="31"/>
      <c r="FL296" s="31"/>
      <c r="FM296" s="31"/>
      <c r="FN296" s="31"/>
      <c r="FO296" s="31"/>
      <c r="FP296" s="31"/>
      <c r="FQ296" s="31"/>
      <c r="FR296" s="31"/>
      <c r="FS296" s="31"/>
      <c r="FT296" s="31"/>
      <c r="FU296" s="31"/>
      <c r="FV296" s="31"/>
      <c r="FW296" s="31"/>
      <c r="FX296" s="31"/>
      <c r="FY296" s="31"/>
      <c r="FZ296" s="31"/>
      <c r="GA296" s="31"/>
      <c r="GB296" s="31"/>
      <c r="GC296" s="31"/>
      <c r="GD296" s="31"/>
      <c r="GE296" s="31"/>
      <c r="GF296" s="31"/>
      <c r="GG296" s="31"/>
      <c r="GH296" s="31"/>
    </row>
    <row r="297" spans="1:190" ht="15.75" customHeight="1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>
        <v>295</v>
      </c>
      <c r="U297" s="31" t="s">
        <v>194</v>
      </c>
      <c r="V297" s="31" t="s">
        <v>294</v>
      </c>
      <c r="W297" s="31" t="s">
        <v>776</v>
      </c>
      <c r="X297" s="31" t="s">
        <v>2229</v>
      </c>
      <c r="Y297" s="31" t="s">
        <v>2230</v>
      </c>
      <c r="Z297" s="31" t="s">
        <v>2231</v>
      </c>
      <c r="AA297" s="32" t="s">
        <v>202</v>
      </c>
      <c r="AB297" s="32" t="s">
        <v>300</v>
      </c>
      <c r="AC297" s="32" t="s">
        <v>779</v>
      </c>
      <c r="AD297" s="31" t="s">
        <v>1186</v>
      </c>
      <c r="AE297" s="31" t="s">
        <v>303</v>
      </c>
      <c r="AF297" s="31" t="s">
        <v>1107</v>
      </c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1"/>
      <c r="DD297" s="31"/>
      <c r="DE297" s="31"/>
      <c r="DF297" s="31"/>
      <c r="DG297" s="31"/>
      <c r="DH297" s="31"/>
      <c r="DI297" s="31"/>
      <c r="DJ297" s="31"/>
      <c r="DK297" s="31"/>
      <c r="DL297" s="31"/>
      <c r="DM297" s="31"/>
      <c r="DN297" s="31"/>
      <c r="DO297" s="31"/>
      <c r="DP297" s="31"/>
      <c r="DQ297" s="31"/>
      <c r="DR297" s="31"/>
      <c r="DS297" s="31"/>
      <c r="DT297" s="31"/>
      <c r="DU297" s="31"/>
      <c r="DV297" s="31"/>
      <c r="DW297" s="31"/>
      <c r="DX297" s="31"/>
      <c r="DY297" s="31"/>
      <c r="DZ297" s="31"/>
      <c r="EA297" s="31"/>
      <c r="EB297" s="31"/>
      <c r="EC297" s="31"/>
      <c r="ED297" s="31"/>
      <c r="EE297" s="31"/>
      <c r="EF297" s="31"/>
      <c r="EG297" s="31"/>
      <c r="EH297" s="31"/>
      <c r="EI297" s="31"/>
      <c r="EJ297" s="31"/>
      <c r="EK297" s="31"/>
      <c r="EL297" s="31"/>
      <c r="EM297" s="31"/>
      <c r="EN297" s="31"/>
      <c r="EO297" s="31"/>
      <c r="EP297" s="31"/>
      <c r="EQ297" s="31"/>
      <c r="ER297" s="31"/>
      <c r="ES297" s="31"/>
      <c r="ET297" s="31"/>
      <c r="EU297" s="31"/>
      <c r="EV297" s="31"/>
      <c r="EW297" s="31"/>
      <c r="EX297" s="31"/>
      <c r="EY297" s="31"/>
      <c r="EZ297" s="31"/>
      <c r="FA297" s="31"/>
      <c r="FB297" s="31"/>
      <c r="FC297" s="31"/>
      <c r="FD297" s="31"/>
      <c r="FE297" s="31"/>
      <c r="FF297" s="31"/>
      <c r="FG297" s="31"/>
      <c r="FH297" s="31"/>
      <c r="FI297" s="31"/>
      <c r="FJ297" s="31"/>
      <c r="FK297" s="31"/>
      <c r="FL297" s="31"/>
      <c r="FM297" s="31"/>
      <c r="FN297" s="31"/>
      <c r="FO297" s="31"/>
      <c r="FP297" s="31"/>
      <c r="FQ297" s="31"/>
      <c r="FR297" s="31"/>
      <c r="FS297" s="31"/>
      <c r="FT297" s="31"/>
      <c r="FU297" s="31"/>
      <c r="FV297" s="31"/>
      <c r="FW297" s="31"/>
      <c r="FX297" s="31"/>
      <c r="FY297" s="31"/>
      <c r="FZ297" s="31"/>
      <c r="GA297" s="31"/>
      <c r="GB297" s="31"/>
      <c r="GC297" s="31"/>
      <c r="GD297" s="31"/>
      <c r="GE297" s="31"/>
      <c r="GF297" s="31"/>
      <c r="GG297" s="31"/>
      <c r="GH297" s="31"/>
    </row>
    <row r="298" spans="1:190" ht="15.75" customHeight="1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>
        <v>296</v>
      </c>
      <c r="U298" s="31" t="s">
        <v>194</v>
      </c>
      <c r="V298" s="31" t="s">
        <v>195</v>
      </c>
      <c r="W298" s="31" t="s">
        <v>196</v>
      </c>
      <c r="X298" s="31" t="s">
        <v>2232</v>
      </c>
      <c r="Y298" s="31" t="s">
        <v>2233</v>
      </c>
      <c r="Z298" s="31" t="s">
        <v>2234</v>
      </c>
      <c r="AA298" s="32" t="s">
        <v>202</v>
      </c>
      <c r="AB298" s="32" t="s">
        <v>203</v>
      </c>
      <c r="AC298" s="32" t="s">
        <v>204</v>
      </c>
      <c r="AD298" s="31" t="s">
        <v>205</v>
      </c>
      <c r="AE298" s="31" t="s">
        <v>206</v>
      </c>
      <c r="AF298" s="31" t="s">
        <v>207</v>
      </c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  <c r="DT298" s="31"/>
      <c r="DU298" s="31"/>
      <c r="DV298" s="31"/>
      <c r="DW298" s="31"/>
      <c r="DX298" s="31"/>
      <c r="DY298" s="31"/>
      <c r="DZ298" s="31"/>
      <c r="EA298" s="31"/>
      <c r="EB298" s="31"/>
      <c r="EC298" s="31"/>
      <c r="ED298" s="31"/>
      <c r="EE298" s="31"/>
      <c r="EF298" s="31"/>
      <c r="EG298" s="31"/>
      <c r="EH298" s="31"/>
      <c r="EI298" s="31"/>
      <c r="EJ298" s="31"/>
      <c r="EK298" s="31"/>
      <c r="EL298" s="31"/>
      <c r="EM298" s="31"/>
      <c r="EN298" s="31"/>
      <c r="EO298" s="31"/>
      <c r="EP298" s="31"/>
      <c r="EQ298" s="31"/>
      <c r="ER298" s="31"/>
      <c r="ES298" s="31"/>
      <c r="ET298" s="31"/>
      <c r="EU298" s="31"/>
      <c r="EV298" s="31"/>
      <c r="EW298" s="31"/>
      <c r="EX298" s="31"/>
      <c r="EY298" s="31"/>
      <c r="EZ298" s="31"/>
      <c r="FA298" s="31"/>
      <c r="FB298" s="31"/>
      <c r="FC298" s="31"/>
      <c r="FD298" s="31"/>
      <c r="FE298" s="31"/>
      <c r="FF298" s="31"/>
      <c r="FG298" s="31"/>
      <c r="FH298" s="31"/>
      <c r="FI298" s="31"/>
      <c r="FJ298" s="31"/>
      <c r="FK298" s="31"/>
      <c r="FL298" s="31"/>
      <c r="FM298" s="31"/>
      <c r="FN298" s="31"/>
      <c r="FO298" s="31"/>
      <c r="FP298" s="31"/>
      <c r="FQ298" s="31"/>
      <c r="FR298" s="31"/>
      <c r="FS298" s="31"/>
      <c r="FT298" s="31"/>
      <c r="FU298" s="31"/>
      <c r="FV298" s="31"/>
      <c r="FW298" s="31"/>
      <c r="FX298" s="31"/>
      <c r="FY298" s="31"/>
      <c r="FZ298" s="31"/>
      <c r="GA298" s="31"/>
      <c r="GB298" s="31"/>
      <c r="GC298" s="31"/>
      <c r="GD298" s="31"/>
      <c r="GE298" s="31"/>
      <c r="GF298" s="31"/>
      <c r="GG298" s="31"/>
      <c r="GH298" s="31"/>
    </row>
    <row r="299" spans="1:190" ht="15.75" customHeight="1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>
        <v>297</v>
      </c>
      <c r="U299" s="31" t="s">
        <v>194</v>
      </c>
      <c r="V299" s="31" t="s">
        <v>294</v>
      </c>
      <c r="W299" s="31" t="s">
        <v>422</v>
      </c>
      <c r="X299" s="31" t="s">
        <v>2235</v>
      </c>
      <c r="Y299" s="31" t="s">
        <v>2236</v>
      </c>
      <c r="Z299" s="31" t="s">
        <v>412</v>
      </c>
      <c r="AA299" s="32" t="s">
        <v>202</v>
      </c>
      <c r="AB299" s="32" t="s">
        <v>300</v>
      </c>
      <c r="AC299" s="32" t="s">
        <v>425</v>
      </c>
      <c r="AD299" s="31" t="s">
        <v>303</v>
      </c>
      <c r="AE299" s="31"/>
      <c r="AF299" s="31" t="s">
        <v>426</v>
      </c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  <c r="DI299" s="31"/>
      <c r="DJ299" s="31"/>
      <c r="DK299" s="31"/>
      <c r="DL299" s="31"/>
      <c r="DM299" s="31"/>
      <c r="DN299" s="31"/>
      <c r="DO299" s="31"/>
      <c r="DP299" s="31"/>
      <c r="DQ299" s="31"/>
      <c r="DR299" s="31"/>
      <c r="DS299" s="31"/>
      <c r="DT299" s="31"/>
      <c r="DU299" s="31"/>
      <c r="DV299" s="31"/>
      <c r="DW299" s="31"/>
      <c r="DX299" s="31"/>
      <c r="DY299" s="31"/>
      <c r="DZ299" s="31"/>
      <c r="EA299" s="31"/>
      <c r="EB299" s="31"/>
      <c r="EC299" s="31"/>
      <c r="ED299" s="31"/>
      <c r="EE299" s="31"/>
      <c r="EF299" s="31"/>
      <c r="EG299" s="31"/>
      <c r="EH299" s="31"/>
      <c r="EI299" s="31"/>
      <c r="EJ299" s="31"/>
      <c r="EK299" s="31"/>
      <c r="EL299" s="31"/>
      <c r="EM299" s="31"/>
      <c r="EN299" s="31"/>
      <c r="EO299" s="31"/>
      <c r="EP299" s="31"/>
      <c r="EQ299" s="31"/>
      <c r="ER299" s="31"/>
      <c r="ES299" s="31"/>
      <c r="ET299" s="31"/>
      <c r="EU299" s="31"/>
      <c r="EV299" s="31"/>
      <c r="EW299" s="31"/>
      <c r="EX299" s="31"/>
      <c r="EY299" s="31"/>
      <c r="EZ299" s="31"/>
      <c r="FA299" s="31"/>
      <c r="FB299" s="31"/>
      <c r="FC299" s="31"/>
      <c r="FD299" s="31"/>
      <c r="FE299" s="31"/>
      <c r="FF299" s="31"/>
      <c r="FG299" s="31"/>
      <c r="FH299" s="31"/>
      <c r="FI299" s="31"/>
      <c r="FJ299" s="31"/>
      <c r="FK299" s="31"/>
      <c r="FL299" s="31"/>
      <c r="FM299" s="31"/>
      <c r="FN299" s="31"/>
      <c r="FO299" s="31"/>
      <c r="FP299" s="31"/>
      <c r="FQ299" s="31"/>
      <c r="FR299" s="31"/>
      <c r="FS299" s="31"/>
      <c r="FT299" s="31"/>
      <c r="FU299" s="31"/>
      <c r="FV299" s="31"/>
      <c r="FW299" s="31"/>
      <c r="FX299" s="31"/>
      <c r="FY299" s="31"/>
      <c r="FZ299" s="31"/>
      <c r="GA299" s="31"/>
      <c r="GB299" s="31"/>
      <c r="GC299" s="31"/>
      <c r="GD299" s="31"/>
      <c r="GE299" s="31"/>
      <c r="GF299" s="31"/>
      <c r="GG299" s="31"/>
      <c r="GH299" s="31"/>
    </row>
    <row r="300" spans="1:190" ht="15.75" customHeight="1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>
        <v>298</v>
      </c>
      <c r="U300" s="31" t="s">
        <v>194</v>
      </c>
      <c r="V300" s="31" t="s">
        <v>729</v>
      </c>
      <c r="W300" s="31" t="s">
        <v>730</v>
      </c>
      <c r="X300" s="31" t="s">
        <v>2237</v>
      </c>
      <c r="Y300" s="31" t="s">
        <v>2238</v>
      </c>
      <c r="Z300" s="31" t="s">
        <v>2239</v>
      </c>
      <c r="AA300" s="32" t="s">
        <v>202</v>
      </c>
      <c r="AB300" s="32" t="s">
        <v>736</v>
      </c>
      <c r="AC300" s="32" t="s">
        <v>737</v>
      </c>
      <c r="AD300" s="31" t="s">
        <v>303</v>
      </c>
      <c r="AE300" s="31"/>
      <c r="AF300" s="31" t="s">
        <v>738</v>
      </c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  <c r="DT300" s="31"/>
      <c r="DU300" s="31"/>
      <c r="DV300" s="31"/>
      <c r="DW300" s="31"/>
      <c r="DX300" s="31"/>
      <c r="DY300" s="31"/>
      <c r="DZ300" s="31"/>
      <c r="EA300" s="31"/>
      <c r="EB300" s="31"/>
      <c r="EC300" s="31"/>
      <c r="ED300" s="31"/>
      <c r="EE300" s="31"/>
      <c r="EF300" s="31"/>
      <c r="EG300" s="31"/>
      <c r="EH300" s="31"/>
      <c r="EI300" s="31"/>
      <c r="EJ300" s="31"/>
      <c r="EK300" s="31"/>
      <c r="EL300" s="31"/>
      <c r="EM300" s="31"/>
      <c r="EN300" s="31"/>
      <c r="EO300" s="31"/>
      <c r="EP300" s="31"/>
      <c r="EQ300" s="31"/>
      <c r="ER300" s="31"/>
      <c r="ES300" s="31"/>
      <c r="ET300" s="31"/>
      <c r="EU300" s="31"/>
      <c r="EV300" s="31"/>
      <c r="EW300" s="31"/>
      <c r="EX300" s="31"/>
      <c r="EY300" s="31"/>
      <c r="EZ300" s="31"/>
      <c r="FA300" s="31"/>
      <c r="FB300" s="31"/>
      <c r="FC300" s="31"/>
      <c r="FD300" s="31"/>
      <c r="FE300" s="31"/>
      <c r="FF300" s="31"/>
      <c r="FG300" s="31"/>
      <c r="FH300" s="31"/>
      <c r="FI300" s="31"/>
      <c r="FJ300" s="31"/>
      <c r="FK300" s="31"/>
      <c r="FL300" s="31"/>
      <c r="FM300" s="31"/>
      <c r="FN300" s="31"/>
      <c r="FO300" s="31"/>
      <c r="FP300" s="31"/>
      <c r="FQ300" s="31"/>
      <c r="FR300" s="31"/>
      <c r="FS300" s="31"/>
      <c r="FT300" s="31"/>
      <c r="FU300" s="31"/>
      <c r="FV300" s="31"/>
      <c r="FW300" s="31"/>
      <c r="FX300" s="31"/>
      <c r="FY300" s="31"/>
      <c r="FZ300" s="31"/>
      <c r="GA300" s="31"/>
      <c r="GB300" s="31"/>
      <c r="GC300" s="31"/>
      <c r="GD300" s="31"/>
      <c r="GE300" s="31"/>
      <c r="GF300" s="31"/>
      <c r="GG300" s="31"/>
      <c r="GH300" s="31"/>
    </row>
    <row r="301" spans="1:190" ht="15.75" customHeight="1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>
        <v>299</v>
      </c>
      <c r="U301" s="31" t="s">
        <v>194</v>
      </c>
      <c r="V301" s="31" t="s">
        <v>724</v>
      </c>
      <c r="W301" s="31" t="s">
        <v>809</v>
      </c>
      <c r="X301" s="31" t="s">
        <v>2240</v>
      </c>
      <c r="Y301" s="31" t="s">
        <v>2241</v>
      </c>
      <c r="Z301" s="31" t="s">
        <v>555</v>
      </c>
      <c r="AA301" s="32" t="s">
        <v>202</v>
      </c>
      <c r="AB301" s="32" t="s">
        <v>725</v>
      </c>
      <c r="AC301" s="32" t="s">
        <v>813</v>
      </c>
      <c r="AD301" s="31" t="s">
        <v>2242</v>
      </c>
      <c r="AE301" s="31" t="s">
        <v>303</v>
      </c>
      <c r="AF301" s="31" t="s">
        <v>857</v>
      </c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1"/>
      <c r="DI301" s="31"/>
      <c r="DJ301" s="31"/>
      <c r="DK301" s="31"/>
      <c r="DL301" s="31"/>
      <c r="DM301" s="31"/>
      <c r="DN301" s="31"/>
      <c r="DO301" s="31"/>
      <c r="DP301" s="31"/>
      <c r="DQ301" s="31"/>
      <c r="DR301" s="31"/>
      <c r="DS301" s="31"/>
      <c r="DT301" s="31"/>
      <c r="DU301" s="31"/>
      <c r="DV301" s="31"/>
      <c r="DW301" s="31"/>
      <c r="DX301" s="31"/>
      <c r="DY301" s="31"/>
      <c r="DZ301" s="31"/>
      <c r="EA301" s="31"/>
      <c r="EB301" s="31"/>
      <c r="EC301" s="31"/>
      <c r="ED301" s="31"/>
      <c r="EE301" s="31"/>
      <c r="EF301" s="31"/>
      <c r="EG301" s="31"/>
      <c r="EH301" s="31"/>
      <c r="EI301" s="31"/>
      <c r="EJ301" s="31"/>
      <c r="EK301" s="31"/>
      <c r="EL301" s="31"/>
      <c r="EM301" s="31"/>
      <c r="EN301" s="31"/>
      <c r="EO301" s="31"/>
      <c r="EP301" s="31"/>
      <c r="EQ301" s="31"/>
      <c r="ER301" s="31"/>
      <c r="ES301" s="31"/>
      <c r="ET301" s="31"/>
      <c r="EU301" s="31"/>
      <c r="EV301" s="31"/>
      <c r="EW301" s="31"/>
      <c r="EX301" s="31"/>
      <c r="EY301" s="31"/>
      <c r="EZ301" s="31"/>
      <c r="FA301" s="31"/>
      <c r="FB301" s="31"/>
      <c r="FC301" s="31"/>
      <c r="FD301" s="31"/>
      <c r="FE301" s="31"/>
      <c r="FF301" s="31"/>
      <c r="FG301" s="31"/>
      <c r="FH301" s="31"/>
      <c r="FI301" s="31"/>
      <c r="FJ301" s="31"/>
      <c r="FK301" s="31"/>
      <c r="FL301" s="31"/>
      <c r="FM301" s="31"/>
      <c r="FN301" s="31"/>
      <c r="FO301" s="31"/>
      <c r="FP301" s="31"/>
      <c r="FQ301" s="31"/>
      <c r="FR301" s="31"/>
      <c r="FS301" s="31"/>
      <c r="FT301" s="31"/>
      <c r="FU301" s="31"/>
      <c r="FV301" s="31"/>
      <c r="FW301" s="31"/>
      <c r="FX301" s="31"/>
      <c r="FY301" s="31"/>
      <c r="FZ301" s="31"/>
      <c r="GA301" s="31"/>
      <c r="GB301" s="31"/>
      <c r="GC301" s="31"/>
      <c r="GD301" s="31"/>
      <c r="GE301" s="31"/>
      <c r="GF301" s="31"/>
      <c r="GG301" s="31"/>
      <c r="GH301" s="31"/>
    </row>
    <row r="302" spans="1:190" ht="15.75" customHeight="1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>
        <v>300</v>
      </c>
      <c r="U302" s="31" t="s">
        <v>360</v>
      </c>
      <c r="V302" s="31" t="s">
        <v>647</v>
      </c>
      <c r="W302" s="31" t="s">
        <v>858</v>
      </c>
      <c r="X302" s="31" t="s">
        <v>2243</v>
      </c>
      <c r="Y302" s="31" t="s">
        <v>2244</v>
      </c>
      <c r="Z302" s="31" t="s">
        <v>2245</v>
      </c>
      <c r="AA302" s="32" t="s">
        <v>418</v>
      </c>
      <c r="AB302" s="32" t="s">
        <v>648</v>
      </c>
      <c r="AC302" s="32" t="s">
        <v>859</v>
      </c>
      <c r="AD302" s="31" t="s">
        <v>1379</v>
      </c>
      <c r="AE302" s="31" t="s">
        <v>303</v>
      </c>
      <c r="AF302" s="31" t="s">
        <v>617</v>
      </c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  <c r="DT302" s="31"/>
      <c r="DU302" s="31"/>
      <c r="DV302" s="31"/>
      <c r="DW302" s="31"/>
      <c r="DX302" s="31"/>
      <c r="DY302" s="31"/>
      <c r="DZ302" s="31"/>
      <c r="EA302" s="31"/>
      <c r="EB302" s="31"/>
      <c r="EC302" s="31"/>
      <c r="ED302" s="31"/>
      <c r="EE302" s="31"/>
      <c r="EF302" s="31"/>
      <c r="EG302" s="31"/>
      <c r="EH302" s="31"/>
      <c r="EI302" s="31"/>
      <c r="EJ302" s="31"/>
      <c r="EK302" s="31"/>
      <c r="EL302" s="31"/>
      <c r="EM302" s="31"/>
      <c r="EN302" s="31"/>
      <c r="EO302" s="31"/>
      <c r="EP302" s="31"/>
      <c r="EQ302" s="31"/>
      <c r="ER302" s="31"/>
      <c r="ES302" s="31"/>
      <c r="ET302" s="31"/>
      <c r="EU302" s="31"/>
      <c r="EV302" s="31"/>
      <c r="EW302" s="31"/>
      <c r="EX302" s="31"/>
      <c r="EY302" s="31"/>
      <c r="EZ302" s="31"/>
      <c r="FA302" s="31"/>
      <c r="FB302" s="31"/>
      <c r="FC302" s="31"/>
      <c r="FD302" s="31"/>
      <c r="FE302" s="31"/>
      <c r="FF302" s="31"/>
      <c r="FG302" s="31"/>
      <c r="FH302" s="31"/>
      <c r="FI302" s="31"/>
      <c r="FJ302" s="31"/>
      <c r="FK302" s="31"/>
      <c r="FL302" s="31"/>
      <c r="FM302" s="31"/>
      <c r="FN302" s="31"/>
      <c r="FO302" s="31"/>
      <c r="FP302" s="31"/>
      <c r="FQ302" s="31"/>
      <c r="FR302" s="31"/>
      <c r="FS302" s="31"/>
      <c r="FT302" s="31"/>
      <c r="FU302" s="31"/>
      <c r="FV302" s="31"/>
      <c r="FW302" s="31"/>
      <c r="FX302" s="31"/>
      <c r="FY302" s="31"/>
      <c r="FZ302" s="31"/>
      <c r="GA302" s="31"/>
      <c r="GB302" s="31"/>
      <c r="GC302" s="31"/>
      <c r="GD302" s="31"/>
      <c r="GE302" s="31"/>
      <c r="GF302" s="31"/>
      <c r="GG302" s="31"/>
      <c r="GH302" s="31"/>
    </row>
    <row r="303" spans="1:190" ht="15.75" customHeight="1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>
        <v>301</v>
      </c>
      <c r="U303" s="31" t="s">
        <v>187</v>
      </c>
      <c r="V303" s="31" t="s">
        <v>520</v>
      </c>
      <c r="W303" s="31" t="s">
        <v>767</v>
      </c>
      <c r="X303" s="31" t="s">
        <v>2246</v>
      </c>
      <c r="Y303" s="31" t="s">
        <v>2247</v>
      </c>
      <c r="Z303" s="31" t="s">
        <v>2248</v>
      </c>
      <c r="AA303" s="32" t="s">
        <v>286</v>
      </c>
      <c r="AB303" s="32" t="s">
        <v>521</v>
      </c>
      <c r="AC303" s="32" t="s">
        <v>768</v>
      </c>
      <c r="AD303" s="31" t="s">
        <v>303</v>
      </c>
      <c r="AE303" s="31"/>
      <c r="AF303" s="31" t="s">
        <v>853</v>
      </c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  <c r="DI303" s="31"/>
      <c r="DJ303" s="31"/>
      <c r="DK303" s="31"/>
      <c r="DL303" s="31"/>
      <c r="DM303" s="31"/>
      <c r="DN303" s="31"/>
      <c r="DO303" s="31"/>
      <c r="DP303" s="31"/>
      <c r="DQ303" s="31"/>
      <c r="DR303" s="31"/>
      <c r="DS303" s="31"/>
      <c r="DT303" s="31"/>
      <c r="DU303" s="31"/>
      <c r="DV303" s="31"/>
      <c r="DW303" s="31"/>
      <c r="DX303" s="31"/>
      <c r="DY303" s="31"/>
      <c r="DZ303" s="31"/>
      <c r="EA303" s="31"/>
      <c r="EB303" s="31"/>
      <c r="EC303" s="31"/>
      <c r="ED303" s="31"/>
      <c r="EE303" s="31"/>
      <c r="EF303" s="31"/>
      <c r="EG303" s="31"/>
      <c r="EH303" s="31"/>
      <c r="EI303" s="31"/>
      <c r="EJ303" s="31"/>
      <c r="EK303" s="31"/>
      <c r="EL303" s="31"/>
      <c r="EM303" s="31"/>
      <c r="EN303" s="31"/>
      <c r="EO303" s="31"/>
      <c r="EP303" s="31"/>
      <c r="EQ303" s="31"/>
      <c r="ER303" s="31"/>
      <c r="ES303" s="31"/>
      <c r="ET303" s="31"/>
      <c r="EU303" s="31"/>
      <c r="EV303" s="31"/>
      <c r="EW303" s="31"/>
      <c r="EX303" s="31"/>
      <c r="EY303" s="31"/>
      <c r="EZ303" s="31"/>
      <c r="FA303" s="31"/>
      <c r="FB303" s="31"/>
      <c r="FC303" s="31"/>
      <c r="FD303" s="31"/>
      <c r="FE303" s="31"/>
      <c r="FF303" s="31"/>
      <c r="FG303" s="31"/>
      <c r="FH303" s="31"/>
      <c r="FI303" s="31"/>
      <c r="FJ303" s="31"/>
      <c r="FK303" s="31"/>
      <c r="FL303" s="31"/>
      <c r="FM303" s="31"/>
      <c r="FN303" s="31"/>
      <c r="FO303" s="31"/>
      <c r="FP303" s="31"/>
      <c r="FQ303" s="31"/>
      <c r="FR303" s="31"/>
      <c r="FS303" s="31"/>
      <c r="FT303" s="31"/>
      <c r="FU303" s="31"/>
      <c r="FV303" s="31"/>
      <c r="FW303" s="31"/>
      <c r="FX303" s="31"/>
      <c r="FY303" s="31"/>
      <c r="FZ303" s="31"/>
      <c r="GA303" s="31"/>
      <c r="GB303" s="31"/>
      <c r="GC303" s="31"/>
      <c r="GD303" s="31"/>
      <c r="GE303" s="31"/>
      <c r="GF303" s="31"/>
      <c r="GG303" s="31"/>
      <c r="GH303" s="31"/>
    </row>
    <row r="304" spans="1:190" ht="15.75" customHeight="1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>
        <v>302</v>
      </c>
      <c r="U304" s="31" t="s">
        <v>187</v>
      </c>
      <c r="V304" s="31" t="s">
        <v>194</v>
      </c>
      <c r="W304" s="31" t="s">
        <v>363</v>
      </c>
      <c r="X304" s="31" t="s">
        <v>2249</v>
      </c>
      <c r="Y304" s="31" t="s">
        <v>2250</v>
      </c>
      <c r="Z304" s="31" t="s">
        <v>2251</v>
      </c>
      <c r="AA304" s="32" t="s">
        <v>286</v>
      </c>
      <c r="AB304" s="32" t="s">
        <v>419</v>
      </c>
      <c r="AC304" s="32" t="s">
        <v>303</v>
      </c>
      <c r="AD304" s="31"/>
      <c r="AE304" s="31"/>
      <c r="AF304" s="31" t="s">
        <v>419</v>
      </c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  <c r="DT304" s="31"/>
      <c r="DU304" s="31"/>
      <c r="DV304" s="31"/>
      <c r="DW304" s="31"/>
      <c r="DX304" s="31"/>
      <c r="DY304" s="31"/>
      <c r="DZ304" s="31"/>
      <c r="EA304" s="31"/>
      <c r="EB304" s="31"/>
      <c r="EC304" s="31"/>
      <c r="ED304" s="31"/>
      <c r="EE304" s="31"/>
      <c r="EF304" s="31"/>
      <c r="EG304" s="31"/>
      <c r="EH304" s="31"/>
      <c r="EI304" s="31"/>
      <c r="EJ304" s="31"/>
      <c r="EK304" s="31"/>
      <c r="EL304" s="31"/>
      <c r="EM304" s="31"/>
      <c r="EN304" s="31"/>
      <c r="EO304" s="31"/>
      <c r="EP304" s="31"/>
      <c r="EQ304" s="31"/>
      <c r="ER304" s="31"/>
      <c r="ES304" s="31"/>
      <c r="ET304" s="31"/>
      <c r="EU304" s="31"/>
      <c r="EV304" s="31"/>
      <c r="EW304" s="31"/>
      <c r="EX304" s="31"/>
      <c r="EY304" s="31"/>
      <c r="EZ304" s="31"/>
      <c r="FA304" s="31"/>
      <c r="FB304" s="31"/>
      <c r="FC304" s="31"/>
      <c r="FD304" s="31"/>
      <c r="FE304" s="31"/>
      <c r="FF304" s="31"/>
      <c r="FG304" s="31"/>
      <c r="FH304" s="31"/>
      <c r="FI304" s="31"/>
      <c r="FJ304" s="31"/>
      <c r="FK304" s="31"/>
      <c r="FL304" s="31"/>
      <c r="FM304" s="31"/>
      <c r="FN304" s="31"/>
      <c r="FO304" s="31"/>
      <c r="FP304" s="31"/>
      <c r="FQ304" s="31"/>
      <c r="FR304" s="31"/>
      <c r="FS304" s="31"/>
      <c r="FT304" s="31"/>
      <c r="FU304" s="31"/>
      <c r="FV304" s="31"/>
      <c r="FW304" s="31"/>
      <c r="FX304" s="31"/>
      <c r="FY304" s="31"/>
      <c r="FZ304" s="31"/>
      <c r="GA304" s="31"/>
      <c r="GB304" s="31"/>
      <c r="GC304" s="31"/>
      <c r="GD304" s="31"/>
      <c r="GE304" s="31"/>
      <c r="GF304" s="31"/>
      <c r="GG304" s="31"/>
      <c r="GH304" s="31"/>
    </row>
    <row r="305" spans="1:190" ht="15.75" customHeight="1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>
        <v>303</v>
      </c>
      <c r="U305" s="31" t="s">
        <v>187</v>
      </c>
      <c r="V305" s="31" t="s">
        <v>287</v>
      </c>
      <c r="W305" s="31" t="s">
        <v>595</v>
      </c>
      <c r="X305" s="31" t="s">
        <v>2252</v>
      </c>
      <c r="Y305" s="31" t="s">
        <v>2253</v>
      </c>
      <c r="Z305" s="31" t="s">
        <v>2254</v>
      </c>
      <c r="AA305" s="32" t="s">
        <v>286</v>
      </c>
      <c r="AB305" s="32" t="s">
        <v>290</v>
      </c>
      <c r="AC305" s="32" t="s">
        <v>599</v>
      </c>
      <c r="AD305" s="31" t="s">
        <v>303</v>
      </c>
      <c r="AE305" s="31"/>
      <c r="AF305" s="31" t="s">
        <v>1051</v>
      </c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  <c r="DT305" s="31"/>
      <c r="DU305" s="31"/>
      <c r="DV305" s="31"/>
      <c r="DW305" s="31"/>
      <c r="DX305" s="31"/>
      <c r="DY305" s="31"/>
      <c r="DZ305" s="31"/>
      <c r="EA305" s="31"/>
      <c r="EB305" s="31"/>
      <c r="EC305" s="31"/>
      <c r="ED305" s="31"/>
      <c r="EE305" s="31"/>
      <c r="EF305" s="31"/>
      <c r="EG305" s="31"/>
      <c r="EH305" s="31"/>
      <c r="EI305" s="31"/>
      <c r="EJ305" s="31"/>
      <c r="EK305" s="31"/>
      <c r="EL305" s="31"/>
      <c r="EM305" s="31"/>
      <c r="EN305" s="31"/>
      <c r="EO305" s="31"/>
      <c r="EP305" s="31"/>
      <c r="EQ305" s="31"/>
      <c r="ER305" s="31"/>
      <c r="ES305" s="31"/>
      <c r="ET305" s="31"/>
      <c r="EU305" s="31"/>
      <c r="EV305" s="31"/>
      <c r="EW305" s="31"/>
      <c r="EX305" s="31"/>
      <c r="EY305" s="31"/>
      <c r="EZ305" s="31"/>
      <c r="FA305" s="31"/>
      <c r="FB305" s="31"/>
      <c r="FC305" s="31"/>
      <c r="FD305" s="31"/>
      <c r="FE305" s="31"/>
      <c r="FF305" s="31"/>
      <c r="FG305" s="31"/>
      <c r="FH305" s="31"/>
      <c r="FI305" s="31"/>
      <c r="FJ305" s="31"/>
      <c r="FK305" s="31"/>
      <c r="FL305" s="31"/>
      <c r="FM305" s="31"/>
      <c r="FN305" s="31"/>
      <c r="FO305" s="31"/>
      <c r="FP305" s="31"/>
      <c r="FQ305" s="31"/>
      <c r="FR305" s="31"/>
      <c r="FS305" s="31"/>
      <c r="FT305" s="31"/>
      <c r="FU305" s="31"/>
      <c r="FV305" s="31"/>
      <c r="FW305" s="31"/>
      <c r="FX305" s="31"/>
      <c r="FY305" s="31"/>
      <c r="FZ305" s="31"/>
      <c r="GA305" s="31"/>
      <c r="GB305" s="31"/>
      <c r="GC305" s="31"/>
      <c r="GD305" s="31"/>
      <c r="GE305" s="31"/>
      <c r="GF305" s="31"/>
      <c r="GG305" s="31"/>
      <c r="GH305" s="31"/>
    </row>
    <row r="306" spans="1:190" ht="15.75" customHeight="1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>
        <v>304</v>
      </c>
      <c r="U306" s="31" t="s">
        <v>287</v>
      </c>
      <c r="V306" s="31" t="s">
        <v>595</v>
      </c>
      <c r="W306" s="31" t="s">
        <v>807</v>
      </c>
      <c r="X306" s="31" t="s">
        <v>2255</v>
      </c>
      <c r="Y306" s="31" t="s">
        <v>2256</v>
      </c>
      <c r="Z306" s="31" t="s">
        <v>2257</v>
      </c>
      <c r="AA306" s="32" t="s">
        <v>359</v>
      </c>
      <c r="AB306" s="32" t="s">
        <v>598</v>
      </c>
      <c r="AC306" s="32" t="s">
        <v>808</v>
      </c>
      <c r="AD306" s="31" t="s">
        <v>303</v>
      </c>
      <c r="AE306" s="31"/>
      <c r="AF306" s="31" t="s">
        <v>1036</v>
      </c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  <c r="DI306" s="31"/>
      <c r="DJ306" s="31"/>
      <c r="DK306" s="31"/>
      <c r="DL306" s="31"/>
      <c r="DM306" s="31"/>
      <c r="DN306" s="31"/>
      <c r="DO306" s="31"/>
      <c r="DP306" s="31"/>
      <c r="DQ306" s="31"/>
      <c r="DR306" s="31"/>
      <c r="DS306" s="31"/>
      <c r="DT306" s="31"/>
      <c r="DU306" s="31"/>
      <c r="DV306" s="31"/>
      <c r="DW306" s="31"/>
      <c r="DX306" s="31"/>
      <c r="DY306" s="31"/>
      <c r="DZ306" s="31"/>
      <c r="EA306" s="31"/>
      <c r="EB306" s="31"/>
      <c r="EC306" s="31"/>
      <c r="ED306" s="31"/>
      <c r="EE306" s="31"/>
      <c r="EF306" s="31"/>
      <c r="EG306" s="31"/>
      <c r="EH306" s="31"/>
      <c r="EI306" s="31"/>
      <c r="EJ306" s="31"/>
      <c r="EK306" s="31"/>
      <c r="EL306" s="31"/>
      <c r="EM306" s="31"/>
      <c r="EN306" s="31"/>
      <c r="EO306" s="31"/>
      <c r="EP306" s="31"/>
      <c r="EQ306" s="31"/>
      <c r="ER306" s="31"/>
      <c r="ES306" s="31"/>
      <c r="ET306" s="31"/>
      <c r="EU306" s="31"/>
      <c r="EV306" s="31"/>
      <c r="EW306" s="31"/>
      <c r="EX306" s="31"/>
      <c r="EY306" s="31"/>
      <c r="EZ306" s="31"/>
      <c r="FA306" s="31"/>
      <c r="FB306" s="31"/>
      <c r="FC306" s="31"/>
      <c r="FD306" s="31"/>
      <c r="FE306" s="31"/>
      <c r="FF306" s="31"/>
      <c r="FG306" s="31"/>
      <c r="FH306" s="31"/>
      <c r="FI306" s="31"/>
      <c r="FJ306" s="31"/>
      <c r="FK306" s="31"/>
      <c r="FL306" s="31"/>
      <c r="FM306" s="31"/>
      <c r="FN306" s="31"/>
      <c r="FO306" s="31"/>
      <c r="FP306" s="31"/>
      <c r="FQ306" s="31"/>
      <c r="FR306" s="31"/>
      <c r="FS306" s="31"/>
      <c r="FT306" s="31"/>
      <c r="FU306" s="31"/>
      <c r="FV306" s="31"/>
      <c r="FW306" s="31"/>
      <c r="FX306" s="31"/>
      <c r="FY306" s="31"/>
      <c r="FZ306" s="31"/>
      <c r="GA306" s="31"/>
      <c r="GB306" s="31"/>
      <c r="GC306" s="31"/>
      <c r="GD306" s="31"/>
      <c r="GE306" s="31"/>
      <c r="GF306" s="31"/>
      <c r="GG306" s="31"/>
      <c r="GH306" s="31"/>
    </row>
    <row r="307" spans="1:190" ht="15.75" customHeight="1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>
        <v>305</v>
      </c>
      <c r="U307" s="31" t="s">
        <v>194</v>
      </c>
      <c r="V307" s="31" t="s">
        <v>294</v>
      </c>
      <c r="W307" s="31" t="s">
        <v>911</v>
      </c>
      <c r="X307" s="31" t="s">
        <v>2258</v>
      </c>
      <c r="Y307" s="31" t="s">
        <v>2259</v>
      </c>
      <c r="Z307" s="31" t="s">
        <v>1513</v>
      </c>
      <c r="AA307" s="32" t="s">
        <v>202</v>
      </c>
      <c r="AB307" s="32" t="s">
        <v>300</v>
      </c>
      <c r="AC307" s="32" t="s">
        <v>912</v>
      </c>
      <c r="AD307" s="31" t="s">
        <v>303</v>
      </c>
      <c r="AE307" s="31"/>
      <c r="AF307" s="31" t="s">
        <v>1122</v>
      </c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  <c r="CX307" s="31"/>
      <c r="CY307" s="31"/>
      <c r="CZ307" s="31"/>
      <c r="DA307" s="31"/>
      <c r="DB307" s="31"/>
      <c r="DC307" s="31"/>
      <c r="DD307" s="31"/>
      <c r="DE307" s="31"/>
      <c r="DF307" s="31"/>
      <c r="DG307" s="31"/>
      <c r="DH307" s="31"/>
      <c r="DI307" s="31"/>
      <c r="DJ307" s="31"/>
      <c r="DK307" s="31"/>
      <c r="DL307" s="31"/>
      <c r="DM307" s="31"/>
      <c r="DN307" s="31"/>
      <c r="DO307" s="31"/>
      <c r="DP307" s="31"/>
      <c r="DQ307" s="31"/>
      <c r="DR307" s="31"/>
      <c r="DS307" s="31"/>
      <c r="DT307" s="31"/>
      <c r="DU307" s="31"/>
      <c r="DV307" s="31"/>
      <c r="DW307" s="31"/>
      <c r="DX307" s="31"/>
      <c r="DY307" s="31"/>
      <c r="DZ307" s="31"/>
      <c r="EA307" s="31"/>
      <c r="EB307" s="31"/>
      <c r="EC307" s="31"/>
      <c r="ED307" s="31"/>
      <c r="EE307" s="31"/>
      <c r="EF307" s="31"/>
      <c r="EG307" s="31"/>
      <c r="EH307" s="31"/>
      <c r="EI307" s="31"/>
      <c r="EJ307" s="31"/>
      <c r="EK307" s="31"/>
      <c r="EL307" s="31"/>
      <c r="EM307" s="31"/>
      <c r="EN307" s="31"/>
      <c r="EO307" s="31"/>
      <c r="EP307" s="31"/>
      <c r="EQ307" s="31"/>
      <c r="ER307" s="31"/>
      <c r="ES307" s="31"/>
      <c r="ET307" s="31"/>
      <c r="EU307" s="31"/>
      <c r="EV307" s="31"/>
      <c r="EW307" s="31"/>
      <c r="EX307" s="31"/>
      <c r="EY307" s="31"/>
      <c r="EZ307" s="31"/>
      <c r="FA307" s="31"/>
      <c r="FB307" s="31"/>
      <c r="FC307" s="31"/>
      <c r="FD307" s="31"/>
      <c r="FE307" s="31"/>
      <c r="FF307" s="31"/>
      <c r="FG307" s="31"/>
      <c r="FH307" s="31"/>
      <c r="FI307" s="31"/>
      <c r="FJ307" s="31"/>
      <c r="FK307" s="31"/>
      <c r="FL307" s="31"/>
      <c r="FM307" s="31"/>
      <c r="FN307" s="31"/>
      <c r="FO307" s="31"/>
      <c r="FP307" s="31"/>
      <c r="FQ307" s="31"/>
      <c r="FR307" s="31"/>
      <c r="FS307" s="31"/>
      <c r="FT307" s="31"/>
      <c r="FU307" s="31"/>
      <c r="FV307" s="31"/>
      <c r="FW307" s="31"/>
      <c r="FX307" s="31"/>
      <c r="FY307" s="31"/>
      <c r="FZ307" s="31"/>
      <c r="GA307" s="31"/>
      <c r="GB307" s="31"/>
      <c r="GC307" s="31"/>
      <c r="GD307" s="31"/>
      <c r="GE307" s="31"/>
      <c r="GF307" s="31"/>
      <c r="GG307" s="31"/>
      <c r="GH307" s="31"/>
    </row>
    <row r="308" spans="1:190" ht="15.75" customHeight="1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>
        <v>306</v>
      </c>
      <c r="U308" s="31" t="s">
        <v>194</v>
      </c>
      <c r="V308" s="31" t="s">
        <v>294</v>
      </c>
      <c r="W308" s="31" t="s">
        <v>422</v>
      </c>
      <c r="X308" s="31" t="s">
        <v>2260</v>
      </c>
      <c r="Y308" s="31" t="s">
        <v>2261</v>
      </c>
      <c r="Z308" s="31" t="s">
        <v>461</v>
      </c>
      <c r="AA308" s="32" t="s">
        <v>202</v>
      </c>
      <c r="AB308" s="32" t="s">
        <v>300</v>
      </c>
      <c r="AC308" s="32" t="s">
        <v>425</v>
      </c>
      <c r="AD308" s="31" t="s">
        <v>303</v>
      </c>
      <c r="AE308" s="31"/>
      <c r="AF308" s="31" t="s">
        <v>426</v>
      </c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  <c r="DI308" s="31"/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  <c r="DT308" s="31"/>
      <c r="DU308" s="31"/>
      <c r="DV308" s="31"/>
      <c r="DW308" s="31"/>
      <c r="DX308" s="31"/>
      <c r="DY308" s="31"/>
      <c r="DZ308" s="31"/>
      <c r="EA308" s="31"/>
      <c r="EB308" s="31"/>
      <c r="EC308" s="31"/>
      <c r="ED308" s="31"/>
      <c r="EE308" s="31"/>
      <c r="EF308" s="31"/>
      <c r="EG308" s="31"/>
      <c r="EH308" s="31"/>
      <c r="EI308" s="31"/>
      <c r="EJ308" s="31"/>
      <c r="EK308" s="31"/>
      <c r="EL308" s="31"/>
      <c r="EM308" s="31"/>
      <c r="EN308" s="31"/>
      <c r="EO308" s="31"/>
      <c r="EP308" s="31"/>
      <c r="EQ308" s="31"/>
      <c r="ER308" s="31"/>
      <c r="ES308" s="31"/>
      <c r="ET308" s="31"/>
      <c r="EU308" s="31"/>
      <c r="EV308" s="31"/>
      <c r="EW308" s="31"/>
      <c r="EX308" s="31"/>
      <c r="EY308" s="31"/>
      <c r="EZ308" s="31"/>
      <c r="FA308" s="31"/>
      <c r="FB308" s="31"/>
      <c r="FC308" s="31"/>
      <c r="FD308" s="31"/>
      <c r="FE308" s="31"/>
      <c r="FF308" s="31"/>
      <c r="FG308" s="31"/>
      <c r="FH308" s="31"/>
      <c r="FI308" s="31"/>
      <c r="FJ308" s="31"/>
      <c r="FK308" s="31"/>
      <c r="FL308" s="31"/>
      <c r="FM308" s="31"/>
      <c r="FN308" s="31"/>
      <c r="FO308" s="31"/>
      <c r="FP308" s="31"/>
      <c r="FQ308" s="31"/>
      <c r="FR308" s="31"/>
      <c r="FS308" s="31"/>
      <c r="FT308" s="31"/>
      <c r="FU308" s="31"/>
      <c r="FV308" s="31"/>
      <c r="FW308" s="31"/>
      <c r="FX308" s="31"/>
      <c r="FY308" s="31"/>
      <c r="FZ308" s="31"/>
      <c r="GA308" s="31"/>
      <c r="GB308" s="31"/>
      <c r="GC308" s="31"/>
      <c r="GD308" s="31"/>
      <c r="GE308" s="31"/>
      <c r="GF308" s="31"/>
      <c r="GG308" s="31"/>
      <c r="GH308" s="31"/>
    </row>
    <row r="309" spans="1:190" ht="15.75" customHeight="1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>
        <v>307</v>
      </c>
      <c r="U309" s="31" t="s">
        <v>360</v>
      </c>
      <c r="V309" s="31" t="s">
        <v>600</v>
      </c>
      <c r="W309" s="31" t="s">
        <v>839</v>
      </c>
      <c r="X309" s="31" t="s">
        <v>2262</v>
      </c>
      <c r="Y309" s="31" t="s">
        <v>2263</v>
      </c>
      <c r="Z309" s="31" t="s">
        <v>2264</v>
      </c>
      <c r="AA309" s="32" t="s">
        <v>418</v>
      </c>
      <c r="AB309" s="32" t="s">
        <v>605</v>
      </c>
      <c r="AC309" s="32" t="s">
        <v>840</v>
      </c>
      <c r="AD309" s="31" t="s">
        <v>303</v>
      </c>
      <c r="AE309" s="31"/>
      <c r="AF309" s="31" t="s">
        <v>1274</v>
      </c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  <c r="DI309" s="31"/>
      <c r="DJ309" s="31"/>
      <c r="DK309" s="31"/>
      <c r="DL309" s="31"/>
      <c r="DM309" s="31"/>
      <c r="DN309" s="31"/>
      <c r="DO309" s="31"/>
      <c r="DP309" s="31"/>
      <c r="DQ309" s="31"/>
      <c r="DR309" s="31"/>
      <c r="DS309" s="31"/>
      <c r="DT309" s="31"/>
      <c r="DU309" s="31"/>
      <c r="DV309" s="31"/>
      <c r="DW309" s="31"/>
      <c r="DX309" s="31"/>
      <c r="DY309" s="31"/>
      <c r="DZ309" s="31"/>
      <c r="EA309" s="31"/>
      <c r="EB309" s="31"/>
      <c r="EC309" s="31"/>
      <c r="ED309" s="31"/>
      <c r="EE309" s="31"/>
      <c r="EF309" s="31"/>
      <c r="EG309" s="31"/>
      <c r="EH309" s="31"/>
      <c r="EI309" s="31"/>
      <c r="EJ309" s="31"/>
      <c r="EK309" s="31"/>
      <c r="EL309" s="31"/>
      <c r="EM309" s="31"/>
      <c r="EN309" s="31"/>
      <c r="EO309" s="31"/>
      <c r="EP309" s="31"/>
      <c r="EQ309" s="31"/>
      <c r="ER309" s="31"/>
      <c r="ES309" s="31"/>
      <c r="ET309" s="31"/>
      <c r="EU309" s="31"/>
      <c r="EV309" s="31"/>
      <c r="EW309" s="31"/>
      <c r="EX309" s="31"/>
      <c r="EY309" s="31"/>
      <c r="EZ309" s="31"/>
      <c r="FA309" s="31"/>
      <c r="FB309" s="31"/>
      <c r="FC309" s="31"/>
      <c r="FD309" s="31"/>
      <c r="FE309" s="31"/>
      <c r="FF309" s="31"/>
      <c r="FG309" s="31"/>
      <c r="FH309" s="31"/>
      <c r="FI309" s="31"/>
      <c r="FJ309" s="31"/>
      <c r="FK309" s="31"/>
      <c r="FL309" s="31"/>
      <c r="FM309" s="31"/>
      <c r="FN309" s="31"/>
      <c r="FO309" s="31"/>
      <c r="FP309" s="31"/>
      <c r="FQ309" s="31"/>
      <c r="FR309" s="31"/>
      <c r="FS309" s="31"/>
      <c r="FT309" s="31"/>
      <c r="FU309" s="31"/>
      <c r="FV309" s="31"/>
      <c r="FW309" s="31"/>
      <c r="FX309" s="31"/>
      <c r="FY309" s="31"/>
      <c r="FZ309" s="31"/>
      <c r="GA309" s="31"/>
      <c r="GB309" s="31"/>
      <c r="GC309" s="31"/>
      <c r="GD309" s="31"/>
      <c r="GE309" s="31"/>
      <c r="GF309" s="31"/>
      <c r="GG309" s="31"/>
      <c r="GH309" s="31"/>
    </row>
    <row r="310" spans="1:190" ht="15.75" customHeight="1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>
        <v>308</v>
      </c>
      <c r="U310" s="31" t="s">
        <v>287</v>
      </c>
      <c r="V310" s="31" t="s">
        <v>595</v>
      </c>
      <c r="W310" s="31" t="s">
        <v>807</v>
      </c>
      <c r="X310" s="31" t="s">
        <v>2265</v>
      </c>
      <c r="Y310" s="31" t="s">
        <v>2266</v>
      </c>
      <c r="Z310" s="31" t="s">
        <v>2267</v>
      </c>
      <c r="AA310" s="32" t="s">
        <v>359</v>
      </c>
      <c r="AB310" s="32" t="s">
        <v>598</v>
      </c>
      <c r="AC310" s="32" t="s">
        <v>808</v>
      </c>
      <c r="AD310" s="31" t="s">
        <v>1547</v>
      </c>
      <c r="AE310" s="31" t="s">
        <v>303</v>
      </c>
      <c r="AF310" s="31" t="s">
        <v>1282</v>
      </c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  <c r="DT310" s="31"/>
      <c r="DU310" s="31"/>
      <c r="DV310" s="31"/>
      <c r="DW310" s="31"/>
      <c r="DX310" s="31"/>
      <c r="DY310" s="31"/>
      <c r="DZ310" s="31"/>
      <c r="EA310" s="31"/>
      <c r="EB310" s="31"/>
      <c r="EC310" s="31"/>
      <c r="ED310" s="31"/>
      <c r="EE310" s="31"/>
      <c r="EF310" s="31"/>
      <c r="EG310" s="31"/>
      <c r="EH310" s="31"/>
      <c r="EI310" s="31"/>
      <c r="EJ310" s="31"/>
      <c r="EK310" s="31"/>
      <c r="EL310" s="31"/>
      <c r="EM310" s="31"/>
      <c r="EN310" s="31"/>
      <c r="EO310" s="31"/>
      <c r="EP310" s="31"/>
      <c r="EQ310" s="31"/>
      <c r="ER310" s="31"/>
      <c r="ES310" s="31"/>
      <c r="ET310" s="31"/>
      <c r="EU310" s="31"/>
      <c r="EV310" s="31"/>
      <c r="EW310" s="31"/>
      <c r="EX310" s="31"/>
      <c r="EY310" s="31"/>
      <c r="EZ310" s="31"/>
      <c r="FA310" s="31"/>
      <c r="FB310" s="31"/>
      <c r="FC310" s="31"/>
      <c r="FD310" s="31"/>
      <c r="FE310" s="31"/>
      <c r="FF310" s="31"/>
      <c r="FG310" s="31"/>
      <c r="FH310" s="31"/>
      <c r="FI310" s="31"/>
      <c r="FJ310" s="31"/>
      <c r="FK310" s="31"/>
      <c r="FL310" s="31"/>
      <c r="FM310" s="31"/>
      <c r="FN310" s="31"/>
      <c r="FO310" s="31"/>
      <c r="FP310" s="31"/>
      <c r="FQ310" s="31"/>
      <c r="FR310" s="31"/>
      <c r="FS310" s="31"/>
      <c r="FT310" s="31"/>
      <c r="FU310" s="31"/>
      <c r="FV310" s="31"/>
      <c r="FW310" s="31"/>
      <c r="FX310" s="31"/>
      <c r="FY310" s="31"/>
      <c r="FZ310" s="31"/>
      <c r="GA310" s="31"/>
      <c r="GB310" s="31"/>
      <c r="GC310" s="31"/>
      <c r="GD310" s="31"/>
      <c r="GE310" s="31"/>
      <c r="GF310" s="31"/>
      <c r="GG310" s="31"/>
      <c r="GH310" s="31"/>
    </row>
    <row r="311" spans="1:190" ht="15.75" customHeight="1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>
        <v>309</v>
      </c>
      <c r="U311" s="31" t="s">
        <v>187</v>
      </c>
      <c r="V311" s="31" t="s">
        <v>287</v>
      </c>
      <c r="W311" s="31" t="s">
        <v>469</v>
      </c>
      <c r="X311" s="31" t="s">
        <v>2268</v>
      </c>
      <c r="Y311" s="31" t="s">
        <v>2269</v>
      </c>
      <c r="Z311" s="31" t="s">
        <v>2270</v>
      </c>
      <c r="AA311" s="32" t="s">
        <v>286</v>
      </c>
      <c r="AB311" s="32" t="s">
        <v>290</v>
      </c>
      <c r="AC311" s="32" t="s">
        <v>473</v>
      </c>
      <c r="AD311" s="31" t="s">
        <v>303</v>
      </c>
      <c r="AE311" s="31"/>
      <c r="AF311" s="31" t="s">
        <v>580</v>
      </c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1"/>
      <c r="DD311" s="31"/>
      <c r="DE311" s="31"/>
      <c r="DF311" s="31"/>
      <c r="DG311" s="31"/>
      <c r="DH311" s="31"/>
      <c r="DI311" s="31"/>
      <c r="DJ311" s="31"/>
      <c r="DK311" s="31"/>
      <c r="DL311" s="31"/>
      <c r="DM311" s="31"/>
      <c r="DN311" s="31"/>
      <c r="DO311" s="31"/>
      <c r="DP311" s="31"/>
      <c r="DQ311" s="31"/>
      <c r="DR311" s="31"/>
      <c r="DS311" s="31"/>
      <c r="DT311" s="31"/>
      <c r="DU311" s="31"/>
      <c r="DV311" s="31"/>
      <c r="DW311" s="31"/>
      <c r="DX311" s="31"/>
      <c r="DY311" s="31"/>
      <c r="DZ311" s="31"/>
      <c r="EA311" s="31"/>
      <c r="EB311" s="31"/>
      <c r="EC311" s="31"/>
      <c r="ED311" s="31"/>
      <c r="EE311" s="31"/>
      <c r="EF311" s="31"/>
      <c r="EG311" s="31"/>
      <c r="EH311" s="31"/>
      <c r="EI311" s="31"/>
      <c r="EJ311" s="31"/>
      <c r="EK311" s="31"/>
      <c r="EL311" s="31"/>
      <c r="EM311" s="31"/>
      <c r="EN311" s="31"/>
      <c r="EO311" s="31"/>
      <c r="EP311" s="31"/>
      <c r="EQ311" s="31"/>
      <c r="ER311" s="31"/>
      <c r="ES311" s="31"/>
      <c r="ET311" s="31"/>
      <c r="EU311" s="31"/>
      <c r="EV311" s="31"/>
      <c r="EW311" s="31"/>
      <c r="EX311" s="31"/>
      <c r="EY311" s="31"/>
      <c r="EZ311" s="31"/>
      <c r="FA311" s="31"/>
      <c r="FB311" s="31"/>
      <c r="FC311" s="31"/>
      <c r="FD311" s="31"/>
      <c r="FE311" s="31"/>
      <c r="FF311" s="31"/>
      <c r="FG311" s="31"/>
      <c r="FH311" s="31"/>
      <c r="FI311" s="31"/>
      <c r="FJ311" s="31"/>
      <c r="FK311" s="31"/>
      <c r="FL311" s="31"/>
      <c r="FM311" s="31"/>
      <c r="FN311" s="31"/>
      <c r="FO311" s="31"/>
      <c r="FP311" s="31"/>
      <c r="FQ311" s="31"/>
      <c r="FR311" s="31"/>
      <c r="FS311" s="31"/>
      <c r="FT311" s="31"/>
      <c r="FU311" s="31"/>
      <c r="FV311" s="31"/>
      <c r="FW311" s="31"/>
      <c r="FX311" s="31"/>
      <c r="FY311" s="31"/>
      <c r="FZ311" s="31"/>
      <c r="GA311" s="31"/>
      <c r="GB311" s="31"/>
      <c r="GC311" s="31"/>
      <c r="GD311" s="31"/>
      <c r="GE311" s="31"/>
      <c r="GF311" s="31"/>
      <c r="GG311" s="31"/>
      <c r="GH311" s="31"/>
    </row>
    <row r="312" spans="1:190" ht="15.75" customHeight="1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>
        <v>310</v>
      </c>
      <c r="U312" s="31" t="s">
        <v>194</v>
      </c>
      <c r="V312" s="31" t="s">
        <v>294</v>
      </c>
      <c r="W312" s="31" t="s">
        <v>422</v>
      </c>
      <c r="X312" s="31" t="s">
        <v>2271</v>
      </c>
      <c r="Y312" s="31" t="s">
        <v>2272</v>
      </c>
      <c r="Z312" s="31" t="s">
        <v>511</v>
      </c>
      <c r="AA312" s="32" t="s">
        <v>202</v>
      </c>
      <c r="AB312" s="32" t="s">
        <v>300</v>
      </c>
      <c r="AC312" s="32" t="s">
        <v>425</v>
      </c>
      <c r="AD312" s="31" t="s">
        <v>303</v>
      </c>
      <c r="AE312" s="31"/>
      <c r="AF312" s="31" t="s">
        <v>426</v>
      </c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  <c r="DT312" s="31"/>
      <c r="DU312" s="31"/>
      <c r="DV312" s="31"/>
      <c r="DW312" s="31"/>
      <c r="DX312" s="31"/>
      <c r="DY312" s="31"/>
      <c r="DZ312" s="31"/>
      <c r="EA312" s="31"/>
      <c r="EB312" s="31"/>
      <c r="EC312" s="31"/>
      <c r="ED312" s="31"/>
      <c r="EE312" s="31"/>
      <c r="EF312" s="31"/>
      <c r="EG312" s="31"/>
      <c r="EH312" s="31"/>
      <c r="EI312" s="31"/>
      <c r="EJ312" s="31"/>
      <c r="EK312" s="31"/>
      <c r="EL312" s="31"/>
      <c r="EM312" s="31"/>
      <c r="EN312" s="31"/>
      <c r="EO312" s="31"/>
      <c r="EP312" s="31"/>
      <c r="EQ312" s="31"/>
      <c r="ER312" s="31"/>
      <c r="ES312" s="31"/>
      <c r="ET312" s="31"/>
      <c r="EU312" s="31"/>
      <c r="EV312" s="31"/>
      <c r="EW312" s="31"/>
      <c r="EX312" s="31"/>
      <c r="EY312" s="31"/>
      <c r="EZ312" s="31"/>
      <c r="FA312" s="31"/>
      <c r="FB312" s="31"/>
      <c r="FC312" s="31"/>
      <c r="FD312" s="31"/>
      <c r="FE312" s="31"/>
      <c r="FF312" s="31"/>
      <c r="FG312" s="31"/>
      <c r="FH312" s="31"/>
      <c r="FI312" s="31"/>
      <c r="FJ312" s="31"/>
      <c r="FK312" s="31"/>
      <c r="FL312" s="31"/>
      <c r="FM312" s="31"/>
      <c r="FN312" s="31"/>
      <c r="FO312" s="31"/>
      <c r="FP312" s="31"/>
      <c r="FQ312" s="31"/>
      <c r="FR312" s="31"/>
      <c r="FS312" s="31"/>
      <c r="FT312" s="31"/>
      <c r="FU312" s="31"/>
      <c r="FV312" s="31"/>
      <c r="FW312" s="31"/>
      <c r="FX312" s="31"/>
      <c r="FY312" s="31"/>
      <c r="FZ312" s="31"/>
      <c r="GA312" s="31"/>
      <c r="GB312" s="31"/>
      <c r="GC312" s="31"/>
      <c r="GD312" s="31"/>
      <c r="GE312" s="31"/>
      <c r="GF312" s="31"/>
      <c r="GG312" s="31"/>
      <c r="GH312" s="31"/>
    </row>
    <row r="313" spans="1:190" ht="15.75" customHeight="1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>
        <v>311</v>
      </c>
      <c r="U313" s="31" t="s">
        <v>187</v>
      </c>
      <c r="V313" s="31" t="s">
        <v>520</v>
      </c>
      <c r="W313" s="31" t="s">
        <v>767</v>
      </c>
      <c r="X313" s="31" t="s">
        <v>2273</v>
      </c>
      <c r="Y313" s="31" t="s">
        <v>2274</v>
      </c>
      <c r="Z313" s="31" t="s">
        <v>2275</v>
      </c>
      <c r="AA313" s="32" t="s">
        <v>286</v>
      </c>
      <c r="AB313" s="32" t="s">
        <v>521</v>
      </c>
      <c r="AC313" s="32" t="s">
        <v>768</v>
      </c>
      <c r="AD313" s="31" t="s">
        <v>1468</v>
      </c>
      <c r="AE313" s="31" t="s">
        <v>303</v>
      </c>
      <c r="AF313" s="31" t="s">
        <v>853</v>
      </c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  <c r="DT313" s="31"/>
      <c r="DU313" s="31"/>
      <c r="DV313" s="31"/>
      <c r="DW313" s="31"/>
      <c r="DX313" s="31"/>
      <c r="DY313" s="31"/>
      <c r="DZ313" s="31"/>
      <c r="EA313" s="31"/>
      <c r="EB313" s="31"/>
      <c r="EC313" s="31"/>
      <c r="ED313" s="31"/>
      <c r="EE313" s="31"/>
      <c r="EF313" s="31"/>
      <c r="EG313" s="31"/>
      <c r="EH313" s="31"/>
      <c r="EI313" s="31"/>
      <c r="EJ313" s="31"/>
      <c r="EK313" s="31"/>
      <c r="EL313" s="31"/>
      <c r="EM313" s="31"/>
      <c r="EN313" s="31"/>
      <c r="EO313" s="31"/>
      <c r="EP313" s="31"/>
      <c r="EQ313" s="31"/>
      <c r="ER313" s="31"/>
      <c r="ES313" s="31"/>
      <c r="ET313" s="31"/>
      <c r="EU313" s="31"/>
      <c r="EV313" s="31"/>
      <c r="EW313" s="31"/>
      <c r="EX313" s="31"/>
      <c r="EY313" s="31"/>
      <c r="EZ313" s="31"/>
      <c r="FA313" s="31"/>
      <c r="FB313" s="31"/>
      <c r="FC313" s="31"/>
      <c r="FD313" s="31"/>
      <c r="FE313" s="31"/>
      <c r="FF313" s="31"/>
      <c r="FG313" s="31"/>
      <c r="FH313" s="31"/>
      <c r="FI313" s="31"/>
      <c r="FJ313" s="31"/>
      <c r="FK313" s="31"/>
      <c r="FL313" s="31"/>
      <c r="FM313" s="31"/>
      <c r="FN313" s="31"/>
      <c r="FO313" s="31"/>
      <c r="FP313" s="31"/>
      <c r="FQ313" s="31"/>
      <c r="FR313" s="31"/>
      <c r="FS313" s="31"/>
      <c r="FT313" s="31"/>
      <c r="FU313" s="31"/>
      <c r="FV313" s="31"/>
      <c r="FW313" s="31"/>
      <c r="FX313" s="31"/>
      <c r="FY313" s="31"/>
      <c r="FZ313" s="31"/>
      <c r="GA313" s="31"/>
      <c r="GB313" s="31"/>
      <c r="GC313" s="31"/>
      <c r="GD313" s="31"/>
      <c r="GE313" s="31"/>
      <c r="GF313" s="31"/>
      <c r="GG313" s="31"/>
      <c r="GH313" s="31"/>
    </row>
    <row r="314" spans="1:190" ht="15.75" customHeight="1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>
        <v>312</v>
      </c>
      <c r="U314" s="31" t="s">
        <v>360</v>
      </c>
      <c r="V314" s="31" t="s">
        <v>647</v>
      </c>
      <c r="W314" s="31" t="s">
        <v>867</v>
      </c>
      <c r="X314" s="31" t="s">
        <v>2276</v>
      </c>
      <c r="Y314" s="31" t="s">
        <v>2277</v>
      </c>
      <c r="Z314" s="31" t="s">
        <v>2278</v>
      </c>
      <c r="AA314" s="32" t="s">
        <v>418</v>
      </c>
      <c r="AB314" s="32" t="s">
        <v>648</v>
      </c>
      <c r="AC314" s="32" t="s">
        <v>868</v>
      </c>
      <c r="AD314" s="31" t="s">
        <v>1161</v>
      </c>
      <c r="AE314" s="31" t="s">
        <v>303</v>
      </c>
      <c r="AF314" s="31" t="s">
        <v>1162</v>
      </c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  <c r="DT314" s="31"/>
      <c r="DU314" s="31"/>
      <c r="DV314" s="31"/>
      <c r="DW314" s="31"/>
      <c r="DX314" s="31"/>
      <c r="DY314" s="31"/>
      <c r="DZ314" s="31"/>
      <c r="EA314" s="31"/>
      <c r="EB314" s="31"/>
      <c r="EC314" s="31"/>
      <c r="ED314" s="31"/>
      <c r="EE314" s="31"/>
      <c r="EF314" s="31"/>
      <c r="EG314" s="31"/>
      <c r="EH314" s="31"/>
      <c r="EI314" s="31"/>
      <c r="EJ314" s="31"/>
      <c r="EK314" s="31"/>
      <c r="EL314" s="31"/>
      <c r="EM314" s="31"/>
      <c r="EN314" s="31"/>
      <c r="EO314" s="31"/>
      <c r="EP314" s="31"/>
      <c r="EQ314" s="31"/>
      <c r="ER314" s="31"/>
      <c r="ES314" s="31"/>
      <c r="ET314" s="31"/>
      <c r="EU314" s="31"/>
      <c r="EV314" s="31"/>
      <c r="EW314" s="31"/>
      <c r="EX314" s="31"/>
      <c r="EY314" s="31"/>
      <c r="EZ314" s="31"/>
      <c r="FA314" s="31"/>
      <c r="FB314" s="31"/>
      <c r="FC314" s="31"/>
      <c r="FD314" s="31"/>
      <c r="FE314" s="31"/>
      <c r="FF314" s="31"/>
      <c r="FG314" s="31"/>
      <c r="FH314" s="31"/>
      <c r="FI314" s="31"/>
      <c r="FJ314" s="31"/>
      <c r="FK314" s="31"/>
      <c r="FL314" s="31"/>
      <c r="FM314" s="31"/>
      <c r="FN314" s="31"/>
      <c r="FO314" s="31"/>
      <c r="FP314" s="31"/>
      <c r="FQ314" s="31"/>
      <c r="FR314" s="31"/>
      <c r="FS314" s="31"/>
      <c r="FT314" s="31"/>
      <c r="FU314" s="31"/>
      <c r="FV314" s="31"/>
      <c r="FW314" s="31"/>
      <c r="FX314" s="31"/>
      <c r="FY314" s="31"/>
      <c r="FZ314" s="31"/>
      <c r="GA314" s="31"/>
      <c r="GB314" s="31"/>
      <c r="GC314" s="31"/>
      <c r="GD314" s="31"/>
      <c r="GE314" s="31"/>
      <c r="GF314" s="31"/>
      <c r="GG314" s="31"/>
      <c r="GH314" s="31"/>
    </row>
    <row r="315" spans="1:190" ht="15.75" customHeight="1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>
        <v>313</v>
      </c>
      <c r="U315" s="31" t="s">
        <v>194</v>
      </c>
      <c r="V315" s="31" t="s">
        <v>294</v>
      </c>
      <c r="W315" s="31" t="s">
        <v>776</v>
      </c>
      <c r="X315" s="31" t="s">
        <v>2279</v>
      </c>
      <c r="Y315" s="31" t="s">
        <v>2280</v>
      </c>
      <c r="Z315" s="31" t="s">
        <v>2281</v>
      </c>
      <c r="AA315" s="32" t="s">
        <v>202</v>
      </c>
      <c r="AB315" s="32" t="s">
        <v>300</v>
      </c>
      <c r="AC315" s="32" t="s">
        <v>779</v>
      </c>
      <c r="AD315" s="31" t="s">
        <v>1658</v>
      </c>
      <c r="AE315" s="31" t="s">
        <v>303</v>
      </c>
      <c r="AF315" s="31" t="s">
        <v>1174</v>
      </c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1"/>
      <c r="DD315" s="31"/>
      <c r="DE315" s="31"/>
      <c r="DF315" s="31"/>
      <c r="DG315" s="31"/>
      <c r="DH315" s="31"/>
      <c r="DI315" s="31"/>
      <c r="DJ315" s="31"/>
      <c r="DK315" s="31"/>
      <c r="DL315" s="31"/>
      <c r="DM315" s="31"/>
      <c r="DN315" s="31"/>
      <c r="DO315" s="31"/>
      <c r="DP315" s="31"/>
      <c r="DQ315" s="31"/>
      <c r="DR315" s="31"/>
      <c r="DS315" s="31"/>
      <c r="DT315" s="31"/>
      <c r="DU315" s="31"/>
      <c r="DV315" s="31"/>
      <c r="DW315" s="31"/>
      <c r="DX315" s="31"/>
      <c r="DY315" s="31"/>
      <c r="DZ315" s="31"/>
      <c r="EA315" s="31"/>
      <c r="EB315" s="31"/>
      <c r="EC315" s="31"/>
      <c r="ED315" s="31"/>
      <c r="EE315" s="31"/>
      <c r="EF315" s="31"/>
      <c r="EG315" s="31"/>
      <c r="EH315" s="31"/>
      <c r="EI315" s="31"/>
      <c r="EJ315" s="31"/>
      <c r="EK315" s="31"/>
      <c r="EL315" s="31"/>
      <c r="EM315" s="31"/>
      <c r="EN315" s="31"/>
      <c r="EO315" s="31"/>
      <c r="EP315" s="31"/>
      <c r="EQ315" s="31"/>
      <c r="ER315" s="31"/>
      <c r="ES315" s="31"/>
      <c r="ET315" s="31"/>
      <c r="EU315" s="31"/>
      <c r="EV315" s="31"/>
      <c r="EW315" s="31"/>
      <c r="EX315" s="31"/>
      <c r="EY315" s="31"/>
      <c r="EZ315" s="31"/>
      <c r="FA315" s="31"/>
      <c r="FB315" s="31"/>
      <c r="FC315" s="31"/>
      <c r="FD315" s="31"/>
      <c r="FE315" s="31"/>
      <c r="FF315" s="31"/>
      <c r="FG315" s="31"/>
      <c r="FH315" s="31"/>
      <c r="FI315" s="31"/>
      <c r="FJ315" s="31"/>
      <c r="FK315" s="31"/>
      <c r="FL315" s="31"/>
      <c r="FM315" s="31"/>
      <c r="FN315" s="31"/>
      <c r="FO315" s="31"/>
      <c r="FP315" s="31"/>
      <c r="FQ315" s="31"/>
      <c r="FR315" s="31"/>
      <c r="FS315" s="31"/>
      <c r="FT315" s="31"/>
      <c r="FU315" s="31"/>
      <c r="FV315" s="31"/>
      <c r="FW315" s="31"/>
      <c r="FX315" s="31"/>
      <c r="FY315" s="31"/>
      <c r="FZ315" s="31"/>
      <c r="GA315" s="31"/>
      <c r="GB315" s="31"/>
      <c r="GC315" s="31"/>
      <c r="GD315" s="31"/>
      <c r="GE315" s="31"/>
      <c r="GF315" s="31"/>
      <c r="GG315" s="31"/>
      <c r="GH315" s="31"/>
    </row>
    <row r="316" spans="1:190" ht="15.75" customHeight="1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>
        <v>314</v>
      </c>
      <c r="U316" s="31" t="s">
        <v>360</v>
      </c>
      <c r="V316" s="31" t="s">
        <v>647</v>
      </c>
      <c r="W316" s="31" t="s">
        <v>858</v>
      </c>
      <c r="X316" s="31" t="s">
        <v>2282</v>
      </c>
      <c r="Y316" s="31" t="s">
        <v>2283</v>
      </c>
      <c r="Z316" s="31" t="s">
        <v>2284</v>
      </c>
      <c r="AA316" s="32" t="s">
        <v>418</v>
      </c>
      <c r="AB316" s="32" t="s">
        <v>648</v>
      </c>
      <c r="AC316" s="32" t="s">
        <v>859</v>
      </c>
      <c r="AD316" s="31" t="s">
        <v>1963</v>
      </c>
      <c r="AE316" s="31" t="s">
        <v>303</v>
      </c>
      <c r="AF316" s="31" t="s">
        <v>1020</v>
      </c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  <c r="DT316" s="31"/>
      <c r="DU316" s="31"/>
      <c r="DV316" s="31"/>
      <c r="DW316" s="31"/>
      <c r="DX316" s="31"/>
      <c r="DY316" s="31"/>
      <c r="DZ316" s="31"/>
      <c r="EA316" s="31"/>
      <c r="EB316" s="31"/>
      <c r="EC316" s="31"/>
      <c r="ED316" s="31"/>
      <c r="EE316" s="31"/>
      <c r="EF316" s="31"/>
      <c r="EG316" s="31"/>
      <c r="EH316" s="31"/>
      <c r="EI316" s="31"/>
      <c r="EJ316" s="31"/>
      <c r="EK316" s="31"/>
      <c r="EL316" s="31"/>
      <c r="EM316" s="31"/>
      <c r="EN316" s="31"/>
      <c r="EO316" s="31"/>
      <c r="EP316" s="31"/>
      <c r="EQ316" s="31"/>
      <c r="ER316" s="31"/>
      <c r="ES316" s="31"/>
      <c r="ET316" s="31"/>
      <c r="EU316" s="31"/>
      <c r="EV316" s="31"/>
      <c r="EW316" s="31"/>
      <c r="EX316" s="31"/>
      <c r="EY316" s="31"/>
      <c r="EZ316" s="31"/>
      <c r="FA316" s="31"/>
      <c r="FB316" s="31"/>
      <c r="FC316" s="31"/>
      <c r="FD316" s="31"/>
      <c r="FE316" s="31"/>
      <c r="FF316" s="31"/>
      <c r="FG316" s="31"/>
      <c r="FH316" s="31"/>
      <c r="FI316" s="31"/>
      <c r="FJ316" s="31"/>
      <c r="FK316" s="31"/>
      <c r="FL316" s="31"/>
      <c r="FM316" s="31"/>
      <c r="FN316" s="31"/>
      <c r="FO316" s="31"/>
      <c r="FP316" s="31"/>
      <c r="FQ316" s="31"/>
      <c r="FR316" s="31"/>
      <c r="FS316" s="31"/>
      <c r="FT316" s="31"/>
      <c r="FU316" s="31"/>
      <c r="FV316" s="31"/>
      <c r="FW316" s="31"/>
      <c r="FX316" s="31"/>
      <c r="FY316" s="31"/>
      <c r="FZ316" s="31"/>
      <c r="GA316" s="31"/>
      <c r="GB316" s="31"/>
      <c r="GC316" s="31"/>
      <c r="GD316" s="31"/>
      <c r="GE316" s="31"/>
      <c r="GF316" s="31"/>
      <c r="GG316" s="31"/>
      <c r="GH316" s="31"/>
    </row>
    <row r="317" spans="1:190" ht="15.75" customHeight="1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>
        <v>315</v>
      </c>
      <c r="U317" s="31" t="s">
        <v>187</v>
      </c>
      <c r="V317" s="31" t="s">
        <v>561</v>
      </c>
      <c r="W317" s="31" t="s">
        <v>787</v>
      </c>
      <c r="X317" s="31" t="s">
        <v>2285</v>
      </c>
      <c r="Y317" s="31" t="s">
        <v>2286</v>
      </c>
      <c r="Z317" s="31" t="s">
        <v>2287</v>
      </c>
      <c r="AA317" s="32" t="s">
        <v>286</v>
      </c>
      <c r="AB317" s="32" t="s">
        <v>562</v>
      </c>
      <c r="AC317" s="32" t="s">
        <v>788</v>
      </c>
      <c r="AD317" s="31" t="s">
        <v>1725</v>
      </c>
      <c r="AE317" s="31" t="s">
        <v>303</v>
      </c>
      <c r="AF317" s="31" t="s">
        <v>1463</v>
      </c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1"/>
      <c r="DD317" s="31"/>
      <c r="DE317" s="31"/>
      <c r="DF317" s="31"/>
      <c r="DG317" s="31"/>
      <c r="DH317" s="31"/>
      <c r="DI317" s="31"/>
      <c r="DJ317" s="31"/>
      <c r="DK317" s="31"/>
      <c r="DL317" s="31"/>
      <c r="DM317" s="31"/>
      <c r="DN317" s="31"/>
      <c r="DO317" s="31"/>
      <c r="DP317" s="31"/>
      <c r="DQ317" s="31"/>
      <c r="DR317" s="31"/>
      <c r="DS317" s="31"/>
      <c r="DT317" s="31"/>
      <c r="DU317" s="31"/>
      <c r="DV317" s="31"/>
      <c r="DW317" s="31"/>
      <c r="DX317" s="31"/>
      <c r="DY317" s="31"/>
      <c r="DZ317" s="31"/>
      <c r="EA317" s="31"/>
      <c r="EB317" s="31"/>
      <c r="EC317" s="31"/>
      <c r="ED317" s="31"/>
      <c r="EE317" s="31"/>
      <c r="EF317" s="31"/>
      <c r="EG317" s="31"/>
      <c r="EH317" s="31"/>
      <c r="EI317" s="31"/>
      <c r="EJ317" s="31"/>
      <c r="EK317" s="31"/>
      <c r="EL317" s="31"/>
      <c r="EM317" s="31"/>
      <c r="EN317" s="31"/>
      <c r="EO317" s="31"/>
      <c r="EP317" s="31"/>
      <c r="EQ317" s="31"/>
      <c r="ER317" s="31"/>
      <c r="ES317" s="31"/>
      <c r="ET317" s="31"/>
      <c r="EU317" s="31"/>
      <c r="EV317" s="31"/>
      <c r="EW317" s="31"/>
      <c r="EX317" s="31"/>
      <c r="EY317" s="31"/>
      <c r="EZ317" s="31"/>
      <c r="FA317" s="31"/>
      <c r="FB317" s="31"/>
      <c r="FC317" s="31"/>
      <c r="FD317" s="31"/>
      <c r="FE317" s="31"/>
      <c r="FF317" s="31"/>
      <c r="FG317" s="31"/>
      <c r="FH317" s="31"/>
      <c r="FI317" s="31"/>
      <c r="FJ317" s="31"/>
      <c r="FK317" s="31"/>
      <c r="FL317" s="31"/>
      <c r="FM317" s="31"/>
      <c r="FN317" s="31"/>
      <c r="FO317" s="31"/>
      <c r="FP317" s="31"/>
      <c r="FQ317" s="31"/>
      <c r="FR317" s="31"/>
      <c r="FS317" s="31"/>
      <c r="FT317" s="31"/>
      <c r="FU317" s="31"/>
      <c r="FV317" s="31"/>
      <c r="FW317" s="31"/>
      <c r="FX317" s="31"/>
      <c r="FY317" s="31"/>
      <c r="FZ317" s="31"/>
      <c r="GA317" s="31"/>
      <c r="GB317" s="31"/>
      <c r="GC317" s="31"/>
      <c r="GD317" s="31"/>
      <c r="GE317" s="31"/>
      <c r="GF317" s="31"/>
      <c r="GG317" s="31"/>
      <c r="GH317" s="31"/>
    </row>
    <row r="318" spans="1:190" ht="15.75" customHeight="1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>
        <v>316</v>
      </c>
      <c r="U318" s="31" t="s">
        <v>194</v>
      </c>
      <c r="V318" s="31" t="s">
        <v>294</v>
      </c>
      <c r="W318" s="31" t="s">
        <v>422</v>
      </c>
      <c r="X318" s="31" t="s">
        <v>2288</v>
      </c>
      <c r="Y318" s="31" t="s">
        <v>2289</v>
      </c>
      <c r="Z318" s="31" t="s">
        <v>2290</v>
      </c>
      <c r="AA318" s="32" t="s">
        <v>202</v>
      </c>
      <c r="AB318" s="32" t="s">
        <v>300</v>
      </c>
      <c r="AC318" s="32" t="s">
        <v>425</v>
      </c>
      <c r="AD318" s="31" t="s">
        <v>303</v>
      </c>
      <c r="AE318" s="31"/>
      <c r="AF318" s="31" t="s">
        <v>426</v>
      </c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  <c r="DT318" s="31"/>
      <c r="DU318" s="31"/>
      <c r="DV318" s="31"/>
      <c r="DW318" s="31"/>
      <c r="DX318" s="31"/>
      <c r="DY318" s="31"/>
      <c r="DZ318" s="31"/>
      <c r="EA318" s="31"/>
      <c r="EB318" s="31"/>
      <c r="EC318" s="31"/>
      <c r="ED318" s="31"/>
      <c r="EE318" s="31"/>
      <c r="EF318" s="31"/>
      <c r="EG318" s="31"/>
      <c r="EH318" s="31"/>
      <c r="EI318" s="31"/>
      <c r="EJ318" s="31"/>
      <c r="EK318" s="31"/>
      <c r="EL318" s="31"/>
      <c r="EM318" s="31"/>
      <c r="EN318" s="31"/>
      <c r="EO318" s="31"/>
      <c r="EP318" s="31"/>
      <c r="EQ318" s="31"/>
      <c r="ER318" s="31"/>
      <c r="ES318" s="31"/>
      <c r="ET318" s="31"/>
      <c r="EU318" s="31"/>
      <c r="EV318" s="31"/>
      <c r="EW318" s="31"/>
      <c r="EX318" s="31"/>
      <c r="EY318" s="31"/>
      <c r="EZ318" s="31"/>
      <c r="FA318" s="31"/>
      <c r="FB318" s="31"/>
      <c r="FC318" s="31"/>
      <c r="FD318" s="31"/>
      <c r="FE318" s="31"/>
      <c r="FF318" s="31"/>
      <c r="FG318" s="31"/>
      <c r="FH318" s="31"/>
      <c r="FI318" s="31"/>
      <c r="FJ318" s="31"/>
      <c r="FK318" s="31"/>
      <c r="FL318" s="31"/>
      <c r="FM318" s="31"/>
      <c r="FN318" s="31"/>
      <c r="FO318" s="31"/>
      <c r="FP318" s="31"/>
      <c r="FQ318" s="31"/>
      <c r="FR318" s="31"/>
      <c r="FS318" s="31"/>
      <c r="FT318" s="31"/>
      <c r="FU318" s="31"/>
      <c r="FV318" s="31"/>
      <c r="FW318" s="31"/>
      <c r="FX318" s="31"/>
      <c r="FY318" s="31"/>
      <c r="FZ318" s="31"/>
      <c r="GA318" s="31"/>
      <c r="GB318" s="31"/>
      <c r="GC318" s="31"/>
      <c r="GD318" s="31"/>
      <c r="GE318" s="31"/>
      <c r="GF318" s="31"/>
      <c r="GG318" s="31"/>
      <c r="GH318" s="31"/>
    </row>
    <row r="319" spans="1:190" ht="15.75" customHeight="1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>
        <v>317</v>
      </c>
      <c r="U319" s="31" t="s">
        <v>194</v>
      </c>
      <c r="V319" s="31" t="s">
        <v>195</v>
      </c>
      <c r="W319" s="31" t="s">
        <v>196</v>
      </c>
      <c r="X319" s="31" t="s">
        <v>2291</v>
      </c>
      <c r="Y319" s="31" t="s">
        <v>2292</v>
      </c>
      <c r="Z319" s="31" t="s">
        <v>2293</v>
      </c>
      <c r="AA319" s="32" t="s">
        <v>202</v>
      </c>
      <c r="AB319" s="32" t="s">
        <v>203</v>
      </c>
      <c r="AC319" s="32" t="s">
        <v>204</v>
      </c>
      <c r="AD319" s="31" t="s">
        <v>205</v>
      </c>
      <c r="AE319" s="31" t="s">
        <v>206</v>
      </c>
      <c r="AF319" s="31" t="s">
        <v>207</v>
      </c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1"/>
      <c r="DD319" s="31"/>
      <c r="DE319" s="31"/>
      <c r="DF319" s="31"/>
      <c r="DG319" s="31"/>
      <c r="DH319" s="31"/>
      <c r="DI319" s="31"/>
      <c r="DJ319" s="31"/>
      <c r="DK319" s="31"/>
      <c r="DL319" s="31"/>
      <c r="DM319" s="31"/>
      <c r="DN319" s="31"/>
      <c r="DO319" s="31"/>
      <c r="DP319" s="31"/>
      <c r="DQ319" s="31"/>
      <c r="DR319" s="31"/>
      <c r="DS319" s="31"/>
      <c r="DT319" s="31"/>
      <c r="DU319" s="31"/>
      <c r="DV319" s="31"/>
      <c r="DW319" s="31"/>
      <c r="DX319" s="31"/>
      <c r="DY319" s="31"/>
      <c r="DZ319" s="31"/>
      <c r="EA319" s="31"/>
      <c r="EB319" s="31"/>
      <c r="EC319" s="31"/>
      <c r="ED319" s="31"/>
      <c r="EE319" s="31"/>
      <c r="EF319" s="31"/>
      <c r="EG319" s="31"/>
      <c r="EH319" s="31"/>
      <c r="EI319" s="31"/>
      <c r="EJ319" s="31"/>
      <c r="EK319" s="31"/>
      <c r="EL319" s="31"/>
      <c r="EM319" s="31"/>
      <c r="EN319" s="31"/>
      <c r="EO319" s="31"/>
      <c r="EP319" s="31"/>
      <c r="EQ319" s="31"/>
      <c r="ER319" s="31"/>
      <c r="ES319" s="31"/>
      <c r="ET319" s="31"/>
      <c r="EU319" s="31"/>
      <c r="EV319" s="31"/>
      <c r="EW319" s="31"/>
      <c r="EX319" s="31"/>
      <c r="EY319" s="31"/>
      <c r="EZ319" s="31"/>
      <c r="FA319" s="31"/>
      <c r="FB319" s="31"/>
      <c r="FC319" s="31"/>
      <c r="FD319" s="31"/>
      <c r="FE319" s="31"/>
      <c r="FF319" s="31"/>
      <c r="FG319" s="31"/>
      <c r="FH319" s="31"/>
      <c r="FI319" s="31"/>
      <c r="FJ319" s="31"/>
      <c r="FK319" s="31"/>
      <c r="FL319" s="31"/>
      <c r="FM319" s="31"/>
      <c r="FN319" s="31"/>
      <c r="FO319" s="31"/>
      <c r="FP319" s="31"/>
      <c r="FQ319" s="31"/>
      <c r="FR319" s="31"/>
      <c r="FS319" s="31"/>
      <c r="FT319" s="31"/>
      <c r="FU319" s="31"/>
      <c r="FV319" s="31"/>
      <c r="FW319" s="31"/>
      <c r="FX319" s="31"/>
      <c r="FY319" s="31"/>
      <c r="FZ319" s="31"/>
      <c r="GA319" s="31"/>
      <c r="GB319" s="31"/>
      <c r="GC319" s="31"/>
      <c r="GD319" s="31"/>
      <c r="GE319" s="31"/>
      <c r="GF319" s="31"/>
      <c r="GG319" s="31"/>
      <c r="GH319" s="31"/>
    </row>
    <row r="320" spans="1:190" ht="15.75" customHeight="1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>
        <v>318</v>
      </c>
      <c r="U320" s="31" t="s">
        <v>187</v>
      </c>
      <c r="V320" s="31" t="s">
        <v>194</v>
      </c>
      <c r="W320" s="31" t="s">
        <v>729</v>
      </c>
      <c r="X320" s="31" t="s">
        <v>2294</v>
      </c>
      <c r="Y320" s="31" t="s">
        <v>2295</v>
      </c>
      <c r="Z320" s="31" t="s">
        <v>2296</v>
      </c>
      <c r="AA320" s="32" t="s">
        <v>286</v>
      </c>
      <c r="AB320" s="32" t="s">
        <v>419</v>
      </c>
      <c r="AC320" s="32" t="s">
        <v>747</v>
      </c>
      <c r="AD320" s="31" t="s">
        <v>1210</v>
      </c>
      <c r="AE320" s="31" t="s">
        <v>303</v>
      </c>
      <c r="AF320" s="31" t="s">
        <v>1211</v>
      </c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  <c r="DT320" s="31"/>
      <c r="DU320" s="31"/>
      <c r="DV320" s="31"/>
      <c r="DW320" s="31"/>
      <c r="DX320" s="31"/>
      <c r="DY320" s="31"/>
      <c r="DZ320" s="31"/>
      <c r="EA320" s="31"/>
      <c r="EB320" s="31"/>
      <c r="EC320" s="31"/>
      <c r="ED320" s="31"/>
      <c r="EE320" s="31"/>
      <c r="EF320" s="31"/>
      <c r="EG320" s="31"/>
      <c r="EH320" s="31"/>
      <c r="EI320" s="31"/>
      <c r="EJ320" s="31"/>
      <c r="EK320" s="31"/>
      <c r="EL320" s="31"/>
      <c r="EM320" s="31"/>
      <c r="EN320" s="31"/>
      <c r="EO320" s="31"/>
      <c r="EP320" s="31"/>
      <c r="EQ320" s="31"/>
      <c r="ER320" s="31"/>
      <c r="ES320" s="31"/>
      <c r="ET320" s="31"/>
      <c r="EU320" s="31"/>
      <c r="EV320" s="31"/>
      <c r="EW320" s="31"/>
      <c r="EX320" s="31"/>
      <c r="EY320" s="31"/>
      <c r="EZ320" s="31"/>
      <c r="FA320" s="31"/>
      <c r="FB320" s="31"/>
      <c r="FC320" s="31"/>
      <c r="FD320" s="31"/>
      <c r="FE320" s="31"/>
      <c r="FF320" s="31"/>
      <c r="FG320" s="31"/>
      <c r="FH320" s="31"/>
      <c r="FI320" s="31"/>
      <c r="FJ320" s="31"/>
      <c r="FK320" s="31"/>
      <c r="FL320" s="31"/>
      <c r="FM320" s="31"/>
      <c r="FN320" s="31"/>
      <c r="FO320" s="31"/>
      <c r="FP320" s="31"/>
      <c r="FQ320" s="31"/>
      <c r="FR320" s="31"/>
      <c r="FS320" s="31"/>
      <c r="FT320" s="31"/>
      <c r="FU320" s="31"/>
      <c r="FV320" s="31"/>
      <c r="FW320" s="31"/>
      <c r="FX320" s="31"/>
      <c r="FY320" s="31"/>
      <c r="FZ320" s="31"/>
      <c r="GA320" s="31"/>
      <c r="GB320" s="31"/>
      <c r="GC320" s="31"/>
      <c r="GD320" s="31"/>
      <c r="GE320" s="31"/>
      <c r="GF320" s="31"/>
      <c r="GG320" s="31"/>
      <c r="GH320" s="31"/>
    </row>
    <row r="321" spans="1:190" ht="15.75" customHeight="1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>
        <v>319</v>
      </c>
      <c r="U321" s="31" t="s">
        <v>194</v>
      </c>
      <c r="V321" s="31" t="s">
        <v>729</v>
      </c>
      <c r="W321" s="31" t="s">
        <v>730</v>
      </c>
      <c r="X321" s="31" t="s">
        <v>2297</v>
      </c>
      <c r="Y321" s="31" t="s">
        <v>2298</v>
      </c>
      <c r="Z321" s="31" t="s">
        <v>2299</v>
      </c>
      <c r="AA321" s="32" t="s">
        <v>202</v>
      </c>
      <c r="AB321" s="32" t="s">
        <v>736</v>
      </c>
      <c r="AC321" s="32" t="s">
        <v>737</v>
      </c>
      <c r="AD321" s="31" t="s">
        <v>303</v>
      </c>
      <c r="AE321" s="31"/>
      <c r="AF321" s="31" t="s">
        <v>738</v>
      </c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  <c r="DT321" s="31"/>
      <c r="DU321" s="31"/>
      <c r="DV321" s="31"/>
      <c r="DW321" s="31"/>
      <c r="DX321" s="31"/>
      <c r="DY321" s="31"/>
      <c r="DZ321" s="31"/>
      <c r="EA321" s="31"/>
      <c r="EB321" s="31"/>
      <c r="EC321" s="31"/>
      <c r="ED321" s="31"/>
      <c r="EE321" s="31"/>
      <c r="EF321" s="31"/>
      <c r="EG321" s="31"/>
      <c r="EH321" s="31"/>
      <c r="EI321" s="31"/>
      <c r="EJ321" s="31"/>
      <c r="EK321" s="31"/>
      <c r="EL321" s="31"/>
      <c r="EM321" s="31"/>
      <c r="EN321" s="31"/>
      <c r="EO321" s="31"/>
      <c r="EP321" s="31"/>
      <c r="EQ321" s="31"/>
      <c r="ER321" s="31"/>
      <c r="ES321" s="31"/>
      <c r="ET321" s="31"/>
      <c r="EU321" s="31"/>
      <c r="EV321" s="31"/>
      <c r="EW321" s="31"/>
      <c r="EX321" s="31"/>
      <c r="EY321" s="31"/>
      <c r="EZ321" s="31"/>
      <c r="FA321" s="31"/>
      <c r="FB321" s="31"/>
      <c r="FC321" s="31"/>
      <c r="FD321" s="31"/>
      <c r="FE321" s="31"/>
      <c r="FF321" s="31"/>
      <c r="FG321" s="31"/>
      <c r="FH321" s="31"/>
      <c r="FI321" s="31"/>
      <c r="FJ321" s="31"/>
      <c r="FK321" s="31"/>
      <c r="FL321" s="31"/>
      <c r="FM321" s="31"/>
      <c r="FN321" s="31"/>
      <c r="FO321" s="31"/>
      <c r="FP321" s="31"/>
      <c r="FQ321" s="31"/>
      <c r="FR321" s="31"/>
      <c r="FS321" s="31"/>
      <c r="FT321" s="31"/>
      <c r="FU321" s="31"/>
      <c r="FV321" s="31"/>
      <c r="FW321" s="31"/>
      <c r="FX321" s="31"/>
      <c r="FY321" s="31"/>
      <c r="FZ321" s="31"/>
      <c r="GA321" s="31"/>
      <c r="GB321" s="31"/>
      <c r="GC321" s="31"/>
      <c r="GD321" s="31"/>
      <c r="GE321" s="31"/>
      <c r="GF321" s="31"/>
      <c r="GG321" s="31"/>
      <c r="GH321" s="31"/>
    </row>
    <row r="322" spans="1:190" ht="15.75" customHeight="1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>
        <v>320</v>
      </c>
      <c r="U322" s="31" t="s">
        <v>187</v>
      </c>
      <c r="V322" s="31" t="s">
        <v>194</v>
      </c>
      <c r="W322" s="31" t="s">
        <v>195</v>
      </c>
      <c r="X322" s="31" t="s">
        <v>2300</v>
      </c>
      <c r="Y322" s="31" t="s">
        <v>2301</v>
      </c>
      <c r="Z322" s="31" t="s">
        <v>2302</v>
      </c>
      <c r="AA322" s="32" t="s">
        <v>286</v>
      </c>
      <c r="AB322" s="32" t="s">
        <v>419</v>
      </c>
      <c r="AC322" s="32" t="s">
        <v>675</v>
      </c>
      <c r="AD322" s="31" t="s">
        <v>1134</v>
      </c>
      <c r="AE322" s="31" t="s">
        <v>1898</v>
      </c>
      <c r="AF322" s="31" t="s">
        <v>640</v>
      </c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  <c r="DI322" s="31"/>
      <c r="DJ322" s="31"/>
      <c r="DK322" s="31"/>
      <c r="DL322" s="31"/>
      <c r="DM322" s="31"/>
      <c r="DN322" s="31"/>
      <c r="DO322" s="31"/>
      <c r="DP322" s="31"/>
      <c r="DQ322" s="31"/>
      <c r="DR322" s="31"/>
      <c r="DS322" s="31"/>
      <c r="DT322" s="31"/>
      <c r="DU322" s="31"/>
      <c r="DV322" s="31"/>
      <c r="DW322" s="31"/>
      <c r="DX322" s="31"/>
      <c r="DY322" s="31"/>
      <c r="DZ322" s="31"/>
      <c r="EA322" s="31"/>
      <c r="EB322" s="31"/>
      <c r="EC322" s="31"/>
      <c r="ED322" s="31"/>
      <c r="EE322" s="31"/>
      <c r="EF322" s="31"/>
      <c r="EG322" s="31"/>
      <c r="EH322" s="31"/>
      <c r="EI322" s="31"/>
      <c r="EJ322" s="31"/>
      <c r="EK322" s="31"/>
      <c r="EL322" s="31"/>
      <c r="EM322" s="31"/>
      <c r="EN322" s="31"/>
      <c r="EO322" s="31"/>
      <c r="EP322" s="31"/>
      <c r="EQ322" s="31"/>
      <c r="ER322" s="31"/>
      <c r="ES322" s="31"/>
      <c r="ET322" s="31"/>
      <c r="EU322" s="31"/>
      <c r="EV322" s="31"/>
      <c r="EW322" s="31"/>
      <c r="EX322" s="31"/>
      <c r="EY322" s="31"/>
      <c r="EZ322" s="31"/>
      <c r="FA322" s="31"/>
      <c r="FB322" s="31"/>
      <c r="FC322" s="31"/>
      <c r="FD322" s="31"/>
      <c r="FE322" s="31"/>
      <c r="FF322" s="31"/>
      <c r="FG322" s="31"/>
      <c r="FH322" s="31"/>
      <c r="FI322" s="31"/>
      <c r="FJ322" s="31"/>
      <c r="FK322" s="31"/>
      <c r="FL322" s="31"/>
      <c r="FM322" s="31"/>
      <c r="FN322" s="31"/>
      <c r="FO322" s="31"/>
      <c r="FP322" s="31"/>
      <c r="FQ322" s="31"/>
      <c r="FR322" s="31"/>
      <c r="FS322" s="31"/>
      <c r="FT322" s="31"/>
      <c r="FU322" s="31"/>
      <c r="FV322" s="31"/>
      <c r="FW322" s="31"/>
      <c r="FX322" s="31"/>
      <c r="FY322" s="31"/>
      <c r="FZ322" s="31"/>
      <c r="GA322" s="31"/>
      <c r="GB322" s="31"/>
      <c r="GC322" s="31"/>
      <c r="GD322" s="31"/>
      <c r="GE322" s="31"/>
      <c r="GF322" s="31"/>
      <c r="GG322" s="31"/>
      <c r="GH322" s="31"/>
    </row>
    <row r="323" spans="1:190" ht="15.75" customHeight="1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>
        <v>321</v>
      </c>
      <c r="U323" s="31" t="s">
        <v>194</v>
      </c>
      <c r="V323" s="31" t="s">
        <v>729</v>
      </c>
      <c r="W323" s="31" t="s">
        <v>987</v>
      </c>
      <c r="X323" s="31" t="s">
        <v>2303</v>
      </c>
      <c r="Y323" s="31" t="s">
        <v>2304</v>
      </c>
      <c r="Z323" s="31" t="s">
        <v>2305</v>
      </c>
      <c r="AA323" s="32" t="s">
        <v>202</v>
      </c>
      <c r="AB323" s="32" t="s">
        <v>736</v>
      </c>
      <c r="AC323" s="32" t="s">
        <v>901</v>
      </c>
      <c r="AD323" s="31" t="s">
        <v>303</v>
      </c>
      <c r="AE323" s="31"/>
      <c r="AF323" s="31" t="s">
        <v>1201</v>
      </c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1"/>
      <c r="DD323" s="31"/>
      <c r="DE323" s="31"/>
      <c r="DF323" s="31"/>
      <c r="DG323" s="31"/>
      <c r="DH323" s="31"/>
      <c r="DI323" s="31"/>
      <c r="DJ323" s="31"/>
      <c r="DK323" s="31"/>
      <c r="DL323" s="31"/>
      <c r="DM323" s="31"/>
      <c r="DN323" s="31"/>
      <c r="DO323" s="31"/>
      <c r="DP323" s="31"/>
      <c r="DQ323" s="31"/>
      <c r="DR323" s="31"/>
      <c r="DS323" s="31"/>
      <c r="DT323" s="31"/>
      <c r="DU323" s="31"/>
      <c r="DV323" s="31"/>
      <c r="DW323" s="31"/>
      <c r="DX323" s="31"/>
      <c r="DY323" s="31"/>
      <c r="DZ323" s="31"/>
      <c r="EA323" s="31"/>
      <c r="EB323" s="31"/>
      <c r="EC323" s="31"/>
      <c r="ED323" s="31"/>
      <c r="EE323" s="31"/>
      <c r="EF323" s="31"/>
      <c r="EG323" s="31"/>
      <c r="EH323" s="31"/>
      <c r="EI323" s="31"/>
      <c r="EJ323" s="31"/>
      <c r="EK323" s="31"/>
      <c r="EL323" s="31"/>
      <c r="EM323" s="31"/>
      <c r="EN323" s="31"/>
      <c r="EO323" s="31"/>
      <c r="EP323" s="31"/>
      <c r="EQ323" s="31"/>
      <c r="ER323" s="31"/>
      <c r="ES323" s="31"/>
      <c r="ET323" s="31"/>
      <c r="EU323" s="31"/>
      <c r="EV323" s="31"/>
      <c r="EW323" s="31"/>
      <c r="EX323" s="31"/>
      <c r="EY323" s="31"/>
      <c r="EZ323" s="31"/>
      <c r="FA323" s="31"/>
      <c r="FB323" s="31"/>
      <c r="FC323" s="31"/>
      <c r="FD323" s="31"/>
      <c r="FE323" s="31"/>
      <c r="FF323" s="31"/>
      <c r="FG323" s="31"/>
      <c r="FH323" s="31"/>
      <c r="FI323" s="31"/>
      <c r="FJ323" s="31"/>
      <c r="FK323" s="31"/>
      <c r="FL323" s="31"/>
      <c r="FM323" s="31"/>
      <c r="FN323" s="31"/>
      <c r="FO323" s="31"/>
      <c r="FP323" s="31"/>
      <c r="FQ323" s="31"/>
      <c r="FR323" s="31"/>
      <c r="FS323" s="31"/>
      <c r="FT323" s="31"/>
      <c r="FU323" s="31"/>
      <c r="FV323" s="31"/>
      <c r="FW323" s="31"/>
      <c r="FX323" s="31"/>
      <c r="FY323" s="31"/>
      <c r="FZ323" s="31"/>
      <c r="GA323" s="31"/>
      <c r="GB323" s="31"/>
      <c r="GC323" s="31"/>
      <c r="GD323" s="31"/>
      <c r="GE323" s="31"/>
      <c r="GF323" s="31"/>
      <c r="GG323" s="31"/>
      <c r="GH323" s="31"/>
    </row>
    <row r="324" spans="1:190" ht="15.75" customHeight="1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>
        <v>322</v>
      </c>
      <c r="U324" s="31" t="s">
        <v>194</v>
      </c>
      <c r="V324" s="31" t="s">
        <v>729</v>
      </c>
      <c r="W324" s="31" t="s">
        <v>730</v>
      </c>
      <c r="X324" s="31" t="s">
        <v>2306</v>
      </c>
      <c r="Y324" s="31" t="s">
        <v>2307</v>
      </c>
      <c r="Z324" s="31" t="s">
        <v>2308</v>
      </c>
      <c r="AA324" s="32" t="s">
        <v>202</v>
      </c>
      <c r="AB324" s="32" t="s">
        <v>736</v>
      </c>
      <c r="AC324" s="32" t="s">
        <v>737</v>
      </c>
      <c r="AD324" s="31" t="s">
        <v>303</v>
      </c>
      <c r="AE324" s="31"/>
      <c r="AF324" s="31" t="s">
        <v>738</v>
      </c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  <c r="DT324" s="31"/>
      <c r="DU324" s="31"/>
      <c r="DV324" s="31"/>
      <c r="DW324" s="31"/>
      <c r="DX324" s="31"/>
      <c r="DY324" s="31"/>
      <c r="DZ324" s="31"/>
      <c r="EA324" s="31"/>
      <c r="EB324" s="31"/>
      <c r="EC324" s="31"/>
      <c r="ED324" s="31"/>
      <c r="EE324" s="31"/>
      <c r="EF324" s="31"/>
      <c r="EG324" s="31"/>
      <c r="EH324" s="31"/>
      <c r="EI324" s="31"/>
      <c r="EJ324" s="31"/>
      <c r="EK324" s="31"/>
      <c r="EL324" s="31"/>
      <c r="EM324" s="31"/>
      <c r="EN324" s="31"/>
      <c r="EO324" s="31"/>
      <c r="EP324" s="31"/>
      <c r="EQ324" s="31"/>
      <c r="ER324" s="31"/>
      <c r="ES324" s="31"/>
      <c r="ET324" s="31"/>
      <c r="EU324" s="31"/>
      <c r="EV324" s="31"/>
      <c r="EW324" s="31"/>
      <c r="EX324" s="31"/>
      <c r="EY324" s="31"/>
      <c r="EZ324" s="31"/>
      <c r="FA324" s="31"/>
      <c r="FB324" s="31"/>
      <c r="FC324" s="31"/>
      <c r="FD324" s="31"/>
      <c r="FE324" s="31"/>
      <c r="FF324" s="31"/>
      <c r="FG324" s="31"/>
      <c r="FH324" s="31"/>
      <c r="FI324" s="31"/>
      <c r="FJ324" s="31"/>
      <c r="FK324" s="31"/>
      <c r="FL324" s="31"/>
      <c r="FM324" s="31"/>
      <c r="FN324" s="31"/>
      <c r="FO324" s="31"/>
      <c r="FP324" s="31"/>
      <c r="FQ324" s="31"/>
      <c r="FR324" s="31"/>
      <c r="FS324" s="31"/>
      <c r="FT324" s="31"/>
      <c r="FU324" s="31"/>
      <c r="FV324" s="31"/>
      <c r="FW324" s="31"/>
      <c r="FX324" s="31"/>
      <c r="FY324" s="31"/>
      <c r="FZ324" s="31"/>
      <c r="GA324" s="31"/>
      <c r="GB324" s="31"/>
      <c r="GC324" s="31"/>
      <c r="GD324" s="31"/>
      <c r="GE324" s="31"/>
      <c r="GF324" s="31"/>
      <c r="GG324" s="31"/>
      <c r="GH324" s="31"/>
    </row>
    <row r="325" spans="1:190" ht="15.75" customHeight="1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>
        <v>323</v>
      </c>
      <c r="U325" s="31" t="s">
        <v>194</v>
      </c>
      <c r="V325" s="31" t="s">
        <v>729</v>
      </c>
      <c r="W325" s="31" t="s">
        <v>970</v>
      </c>
      <c r="X325" s="31" t="s">
        <v>2309</v>
      </c>
      <c r="Y325" s="31" t="s">
        <v>2310</v>
      </c>
      <c r="Z325" s="31" t="s">
        <v>2311</v>
      </c>
      <c r="AA325" s="32" t="s">
        <v>202</v>
      </c>
      <c r="AB325" s="32" t="s">
        <v>736</v>
      </c>
      <c r="AC325" s="32" t="s">
        <v>885</v>
      </c>
      <c r="AD325" s="31" t="s">
        <v>1451</v>
      </c>
      <c r="AE325" s="31" t="s">
        <v>303</v>
      </c>
      <c r="AF325" s="31" t="s">
        <v>1384</v>
      </c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1"/>
      <c r="DD325" s="31"/>
      <c r="DE325" s="31"/>
      <c r="DF325" s="31"/>
      <c r="DG325" s="31"/>
      <c r="DH325" s="31"/>
      <c r="DI325" s="31"/>
      <c r="DJ325" s="31"/>
      <c r="DK325" s="31"/>
      <c r="DL325" s="31"/>
      <c r="DM325" s="31"/>
      <c r="DN325" s="31"/>
      <c r="DO325" s="31"/>
      <c r="DP325" s="31"/>
      <c r="DQ325" s="31"/>
      <c r="DR325" s="31"/>
      <c r="DS325" s="31"/>
      <c r="DT325" s="31"/>
      <c r="DU325" s="31"/>
      <c r="DV325" s="31"/>
      <c r="DW325" s="31"/>
      <c r="DX325" s="31"/>
      <c r="DY325" s="31"/>
      <c r="DZ325" s="31"/>
      <c r="EA325" s="31"/>
      <c r="EB325" s="31"/>
      <c r="EC325" s="31"/>
      <c r="ED325" s="31"/>
      <c r="EE325" s="31"/>
      <c r="EF325" s="31"/>
      <c r="EG325" s="31"/>
      <c r="EH325" s="31"/>
      <c r="EI325" s="31"/>
      <c r="EJ325" s="31"/>
      <c r="EK325" s="31"/>
      <c r="EL325" s="31"/>
      <c r="EM325" s="31"/>
      <c r="EN325" s="31"/>
      <c r="EO325" s="31"/>
      <c r="EP325" s="31"/>
      <c r="EQ325" s="31"/>
      <c r="ER325" s="31"/>
      <c r="ES325" s="31"/>
      <c r="ET325" s="31"/>
      <c r="EU325" s="31"/>
      <c r="EV325" s="31"/>
      <c r="EW325" s="31"/>
      <c r="EX325" s="31"/>
      <c r="EY325" s="31"/>
      <c r="EZ325" s="31"/>
      <c r="FA325" s="31"/>
      <c r="FB325" s="31"/>
      <c r="FC325" s="31"/>
      <c r="FD325" s="31"/>
      <c r="FE325" s="31"/>
      <c r="FF325" s="31"/>
      <c r="FG325" s="31"/>
      <c r="FH325" s="31"/>
      <c r="FI325" s="31"/>
      <c r="FJ325" s="31"/>
      <c r="FK325" s="31"/>
      <c r="FL325" s="31"/>
      <c r="FM325" s="31"/>
      <c r="FN325" s="31"/>
      <c r="FO325" s="31"/>
      <c r="FP325" s="31"/>
      <c r="FQ325" s="31"/>
      <c r="FR325" s="31"/>
      <c r="FS325" s="31"/>
      <c r="FT325" s="31"/>
      <c r="FU325" s="31"/>
      <c r="FV325" s="31"/>
      <c r="FW325" s="31"/>
      <c r="FX325" s="31"/>
      <c r="FY325" s="31"/>
      <c r="FZ325" s="31"/>
      <c r="GA325" s="31"/>
      <c r="GB325" s="31"/>
      <c r="GC325" s="31"/>
      <c r="GD325" s="31"/>
      <c r="GE325" s="31"/>
      <c r="GF325" s="31"/>
      <c r="GG325" s="31"/>
      <c r="GH325" s="31"/>
    </row>
    <row r="326" spans="1:190" ht="15.75" customHeight="1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>
        <v>324</v>
      </c>
      <c r="U326" s="31" t="s">
        <v>194</v>
      </c>
      <c r="V326" s="31" t="s">
        <v>724</v>
      </c>
      <c r="W326" s="31" t="s">
        <v>789</v>
      </c>
      <c r="X326" s="31" t="s">
        <v>2312</v>
      </c>
      <c r="Y326" s="31" t="s">
        <v>2313</v>
      </c>
      <c r="Z326" s="31" t="s">
        <v>2314</v>
      </c>
      <c r="AA326" s="32" t="s">
        <v>202</v>
      </c>
      <c r="AB326" s="32" t="s">
        <v>725</v>
      </c>
      <c r="AC326" s="32" t="s">
        <v>793</v>
      </c>
      <c r="AD326" s="31" t="s">
        <v>794</v>
      </c>
      <c r="AE326" s="31" t="s">
        <v>303</v>
      </c>
      <c r="AF326" s="31" t="s">
        <v>688</v>
      </c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  <c r="DT326" s="31"/>
      <c r="DU326" s="31"/>
      <c r="DV326" s="31"/>
      <c r="DW326" s="31"/>
      <c r="DX326" s="31"/>
      <c r="DY326" s="31"/>
      <c r="DZ326" s="31"/>
      <c r="EA326" s="31"/>
      <c r="EB326" s="31"/>
      <c r="EC326" s="31"/>
      <c r="ED326" s="31"/>
      <c r="EE326" s="31"/>
      <c r="EF326" s="31"/>
      <c r="EG326" s="31"/>
      <c r="EH326" s="31"/>
      <c r="EI326" s="31"/>
      <c r="EJ326" s="31"/>
      <c r="EK326" s="31"/>
      <c r="EL326" s="31"/>
      <c r="EM326" s="31"/>
      <c r="EN326" s="31"/>
      <c r="EO326" s="31"/>
      <c r="EP326" s="31"/>
      <c r="EQ326" s="31"/>
      <c r="ER326" s="31"/>
      <c r="ES326" s="31"/>
      <c r="ET326" s="31"/>
      <c r="EU326" s="31"/>
      <c r="EV326" s="31"/>
      <c r="EW326" s="31"/>
      <c r="EX326" s="31"/>
      <c r="EY326" s="31"/>
      <c r="EZ326" s="31"/>
      <c r="FA326" s="31"/>
      <c r="FB326" s="31"/>
      <c r="FC326" s="31"/>
      <c r="FD326" s="31"/>
      <c r="FE326" s="31"/>
      <c r="FF326" s="31"/>
      <c r="FG326" s="31"/>
      <c r="FH326" s="31"/>
      <c r="FI326" s="31"/>
      <c r="FJ326" s="31"/>
      <c r="FK326" s="31"/>
      <c r="FL326" s="31"/>
      <c r="FM326" s="31"/>
      <c r="FN326" s="31"/>
      <c r="FO326" s="31"/>
      <c r="FP326" s="31"/>
      <c r="FQ326" s="31"/>
      <c r="FR326" s="31"/>
      <c r="FS326" s="31"/>
      <c r="FT326" s="31"/>
      <c r="FU326" s="31"/>
      <c r="FV326" s="31"/>
      <c r="FW326" s="31"/>
      <c r="FX326" s="31"/>
      <c r="FY326" s="31"/>
      <c r="FZ326" s="31"/>
      <c r="GA326" s="31"/>
      <c r="GB326" s="31"/>
      <c r="GC326" s="31"/>
      <c r="GD326" s="31"/>
      <c r="GE326" s="31"/>
      <c r="GF326" s="31"/>
      <c r="GG326" s="31"/>
      <c r="GH326" s="31"/>
    </row>
    <row r="327" spans="1:190" ht="15.75" customHeight="1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>
        <v>325</v>
      </c>
      <c r="U327" s="31" t="s">
        <v>194</v>
      </c>
      <c r="V327" s="31" t="s">
        <v>294</v>
      </c>
      <c r="W327" s="31" t="s">
        <v>776</v>
      </c>
      <c r="X327" s="31" t="s">
        <v>2315</v>
      </c>
      <c r="Y327" s="31" t="s">
        <v>2316</v>
      </c>
      <c r="Z327" s="31" t="s">
        <v>2317</v>
      </c>
      <c r="AA327" s="32" t="s">
        <v>202</v>
      </c>
      <c r="AB327" s="32" t="s">
        <v>300</v>
      </c>
      <c r="AC327" s="32" t="s">
        <v>779</v>
      </c>
      <c r="AD327" s="31" t="s">
        <v>1658</v>
      </c>
      <c r="AE327" s="31" t="s">
        <v>303</v>
      </c>
      <c r="AF327" s="31" t="s">
        <v>1174</v>
      </c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  <c r="DI327" s="31"/>
      <c r="DJ327" s="31"/>
      <c r="DK327" s="31"/>
      <c r="DL327" s="31"/>
      <c r="DM327" s="31"/>
      <c r="DN327" s="31"/>
      <c r="DO327" s="31"/>
      <c r="DP327" s="31"/>
      <c r="DQ327" s="31"/>
      <c r="DR327" s="31"/>
      <c r="DS327" s="31"/>
      <c r="DT327" s="31"/>
      <c r="DU327" s="31"/>
      <c r="DV327" s="31"/>
      <c r="DW327" s="31"/>
      <c r="DX327" s="31"/>
      <c r="DY327" s="31"/>
      <c r="DZ327" s="31"/>
      <c r="EA327" s="31"/>
      <c r="EB327" s="31"/>
      <c r="EC327" s="31"/>
      <c r="ED327" s="31"/>
      <c r="EE327" s="31"/>
      <c r="EF327" s="31"/>
      <c r="EG327" s="31"/>
      <c r="EH327" s="31"/>
      <c r="EI327" s="31"/>
      <c r="EJ327" s="31"/>
      <c r="EK327" s="31"/>
      <c r="EL327" s="31"/>
      <c r="EM327" s="31"/>
      <c r="EN327" s="31"/>
      <c r="EO327" s="31"/>
      <c r="EP327" s="31"/>
      <c r="EQ327" s="31"/>
      <c r="ER327" s="31"/>
      <c r="ES327" s="31"/>
      <c r="ET327" s="31"/>
      <c r="EU327" s="31"/>
      <c r="EV327" s="31"/>
      <c r="EW327" s="31"/>
      <c r="EX327" s="31"/>
      <c r="EY327" s="31"/>
      <c r="EZ327" s="31"/>
      <c r="FA327" s="31"/>
      <c r="FB327" s="31"/>
      <c r="FC327" s="31"/>
      <c r="FD327" s="31"/>
      <c r="FE327" s="31"/>
      <c r="FF327" s="31"/>
      <c r="FG327" s="31"/>
      <c r="FH327" s="31"/>
      <c r="FI327" s="31"/>
      <c r="FJ327" s="31"/>
      <c r="FK327" s="31"/>
      <c r="FL327" s="31"/>
      <c r="FM327" s="31"/>
      <c r="FN327" s="31"/>
      <c r="FO327" s="31"/>
      <c r="FP327" s="31"/>
      <c r="FQ327" s="31"/>
      <c r="FR327" s="31"/>
      <c r="FS327" s="31"/>
      <c r="FT327" s="31"/>
      <c r="FU327" s="31"/>
      <c r="FV327" s="31"/>
      <c r="FW327" s="31"/>
      <c r="FX327" s="31"/>
      <c r="FY327" s="31"/>
      <c r="FZ327" s="31"/>
      <c r="GA327" s="31"/>
      <c r="GB327" s="31"/>
      <c r="GC327" s="31"/>
      <c r="GD327" s="31"/>
      <c r="GE327" s="31"/>
      <c r="GF327" s="31"/>
      <c r="GG327" s="31"/>
      <c r="GH327" s="31"/>
    </row>
    <row r="328" spans="1:190" ht="15.75" customHeight="1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>
        <v>326</v>
      </c>
      <c r="U328" s="31" t="s">
        <v>194</v>
      </c>
      <c r="V328" s="31" t="s">
        <v>195</v>
      </c>
      <c r="W328" s="31" t="s">
        <v>196</v>
      </c>
      <c r="X328" s="31" t="s">
        <v>2318</v>
      </c>
      <c r="Y328" s="31" t="s">
        <v>2319</v>
      </c>
      <c r="Z328" s="31" t="s">
        <v>2320</v>
      </c>
      <c r="AA328" s="32" t="s">
        <v>202</v>
      </c>
      <c r="AB328" s="32" t="s">
        <v>203</v>
      </c>
      <c r="AC328" s="32" t="s">
        <v>204</v>
      </c>
      <c r="AD328" s="31" t="s">
        <v>205</v>
      </c>
      <c r="AE328" s="31" t="s">
        <v>897</v>
      </c>
      <c r="AF328" s="31" t="s">
        <v>207</v>
      </c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  <c r="DI328" s="31"/>
      <c r="DJ328" s="31"/>
      <c r="DK328" s="31"/>
      <c r="DL328" s="31"/>
      <c r="DM328" s="31"/>
      <c r="DN328" s="31"/>
      <c r="DO328" s="31"/>
      <c r="DP328" s="31"/>
      <c r="DQ328" s="31"/>
      <c r="DR328" s="31"/>
      <c r="DS328" s="31"/>
      <c r="DT328" s="31"/>
      <c r="DU328" s="31"/>
      <c r="DV328" s="31"/>
      <c r="DW328" s="31"/>
      <c r="DX328" s="31"/>
      <c r="DY328" s="31"/>
      <c r="DZ328" s="31"/>
      <c r="EA328" s="31"/>
      <c r="EB328" s="31"/>
      <c r="EC328" s="31"/>
      <c r="ED328" s="31"/>
      <c r="EE328" s="31"/>
      <c r="EF328" s="31"/>
      <c r="EG328" s="31"/>
      <c r="EH328" s="31"/>
      <c r="EI328" s="31"/>
      <c r="EJ328" s="31"/>
      <c r="EK328" s="31"/>
      <c r="EL328" s="31"/>
      <c r="EM328" s="31"/>
      <c r="EN328" s="31"/>
      <c r="EO328" s="31"/>
      <c r="EP328" s="31"/>
      <c r="EQ328" s="31"/>
      <c r="ER328" s="31"/>
      <c r="ES328" s="31"/>
      <c r="ET328" s="31"/>
      <c r="EU328" s="31"/>
      <c r="EV328" s="31"/>
      <c r="EW328" s="31"/>
      <c r="EX328" s="31"/>
      <c r="EY328" s="31"/>
      <c r="EZ328" s="31"/>
      <c r="FA328" s="31"/>
      <c r="FB328" s="31"/>
      <c r="FC328" s="31"/>
      <c r="FD328" s="31"/>
      <c r="FE328" s="31"/>
      <c r="FF328" s="31"/>
      <c r="FG328" s="31"/>
      <c r="FH328" s="31"/>
      <c r="FI328" s="31"/>
      <c r="FJ328" s="31"/>
      <c r="FK328" s="31"/>
      <c r="FL328" s="31"/>
      <c r="FM328" s="31"/>
      <c r="FN328" s="31"/>
      <c r="FO328" s="31"/>
      <c r="FP328" s="31"/>
      <c r="FQ328" s="31"/>
      <c r="FR328" s="31"/>
      <c r="FS328" s="31"/>
      <c r="FT328" s="31"/>
      <c r="FU328" s="31"/>
      <c r="FV328" s="31"/>
      <c r="FW328" s="31"/>
      <c r="FX328" s="31"/>
      <c r="FY328" s="31"/>
      <c r="FZ328" s="31"/>
      <c r="GA328" s="31"/>
      <c r="GB328" s="31"/>
      <c r="GC328" s="31"/>
      <c r="GD328" s="31"/>
      <c r="GE328" s="31"/>
      <c r="GF328" s="31"/>
      <c r="GG328" s="31"/>
      <c r="GH328" s="31"/>
    </row>
    <row r="329" spans="1:190" ht="15.75" customHeight="1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>
        <v>327</v>
      </c>
      <c r="U329" s="31" t="s">
        <v>187</v>
      </c>
      <c r="V329" s="31" t="s">
        <v>287</v>
      </c>
      <c r="W329" s="31" t="s">
        <v>600</v>
      </c>
      <c r="X329" s="31" t="s">
        <v>2321</v>
      </c>
      <c r="Y329" s="31" t="s">
        <v>2322</v>
      </c>
      <c r="Z329" s="31" t="s">
        <v>2323</v>
      </c>
      <c r="AA329" s="32" t="s">
        <v>286</v>
      </c>
      <c r="AB329" s="32" t="s">
        <v>290</v>
      </c>
      <c r="AC329" s="32" t="s">
        <v>627</v>
      </c>
      <c r="AD329" s="31" t="s">
        <v>2135</v>
      </c>
      <c r="AE329" s="31" t="s">
        <v>303</v>
      </c>
      <c r="AF329" s="31" t="s">
        <v>1068</v>
      </c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/>
      <c r="DD329" s="31"/>
      <c r="DE329" s="31"/>
      <c r="DF329" s="31"/>
      <c r="DG329" s="31"/>
      <c r="DH329" s="31"/>
      <c r="DI329" s="31"/>
      <c r="DJ329" s="31"/>
      <c r="DK329" s="31"/>
      <c r="DL329" s="31"/>
      <c r="DM329" s="31"/>
      <c r="DN329" s="31"/>
      <c r="DO329" s="31"/>
      <c r="DP329" s="31"/>
      <c r="DQ329" s="31"/>
      <c r="DR329" s="31"/>
      <c r="DS329" s="31"/>
      <c r="DT329" s="31"/>
      <c r="DU329" s="31"/>
      <c r="DV329" s="31"/>
      <c r="DW329" s="31"/>
      <c r="DX329" s="31"/>
      <c r="DY329" s="31"/>
      <c r="DZ329" s="31"/>
      <c r="EA329" s="31"/>
      <c r="EB329" s="31"/>
      <c r="EC329" s="31"/>
      <c r="ED329" s="31"/>
      <c r="EE329" s="31"/>
      <c r="EF329" s="31"/>
      <c r="EG329" s="31"/>
      <c r="EH329" s="31"/>
      <c r="EI329" s="31"/>
      <c r="EJ329" s="31"/>
      <c r="EK329" s="31"/>
      <c r="EL329" s="31"/>
      <c r="EM329" s="31"/>
      <c r="EN329" s="31"/>
      <c r="EO329" s="31"/>
      <c r="EP329" s="31"/>
      <c r="EQ329" s="31"/>
      <c r="ER329" s="31"/>
      <c r="ES329" s="31"/>
      <c r="ET329" s="31"/>
      <c r="EU329" s="31"/>
      <c r="EV329" s="31"/>
      <c r="EW329" s="31"/>
      <c r="EX329" s="31"/>
      <c r="EY329" s="31"/>
      <c r="EZ329" s="31"/>
      <c r="FA329" s="31"/>
      <c r="FB329" s="31"/>
      <c r="FC329" s="31"/>
      <c r="FD329" s="31"/>
      <c r="FE329" s="31"/>
      <c r="FF329" s="31"/>
      <c r="FG329" s="31"/>
      <c r="FH329" s="31"/>
      <c r="FI329" s="31"/>
      <c r="FJ329" s="31"/>
      <c r="FK329" s="31"/>
      <c r="FL329" s="31"/>
      <c r="FM329" s="31"/>
      <c r="FN329" s="31"/>
      <c r="FO329" s="31"/>
      <c r="FP329" s="31"/>
      <c r="FQ329" s="31"/>
      <c r="FR329" s="31"/>
      <c r="FS329" s="31"/>
      <c r="FT329" s="31"/>
      <c r="FU329" s="31"/>
      <c r="FV329" s="31"/>
      <c r="FW329" s="31"/>
      <c r="FX329" s="31"/>
      <c r="FY329" s="31"/>
      <c r="FZ329" s="31"/>
      <c r="GA329" s="31"/>
      <c r="GB329" s="31"/>
      <c r="GC329" s="31"/>
      <c r="GD329" s="31"/>
      <c r="GE329" s="31"/>
      <c r="GF329" s="31"/>
      <c r="GG329" s="31"/>
      <c r="GH329" s="31"/>
    </row>
    <row r="330" spans="1:190" ht="15.75" customHeight="1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>
        <v>328</v>
      </c>
      <c r="U330" s="31" t="s">
        <v>194</v>
      </c>
      <c r="V330" s="31" t="s">
        <v>729</v>
      </c>
      <c r="W330" s="31" t="s">
        <v>970</v>
      </c>
      <c r="X330" s="31" t="s">
        <v>2324</v>
      </c>
      <c r="Y330" s="31" t="s">
        <v>2325</v>
      </c>
      <c r="Z330" s="31" t="s">
        <v>464</v>
      </c>
      <c r="AA330" s="32" t="s">
        <v>202</v>
      </c>
      <c r="AB330" s="32" t="s">
        <v>736</v>
      </c>
      <c r="AC330" s="32" t="s">
        <v>885</v>
      </c>
      <c r="AD330" s="31" t="s">
        <v>1451</v>
      </c>
      <c r="AE330" s="31" t="s">
        <v>303</v>
      </c>
      <c r="AF330" s="31" t="s">
        <v>1384</v>
      </c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  <c r="DT330" s="31"/>
      <c r="DU330" s="31"/>
      <c r="DV330" s="31"/>
      <c r="DW330" s="31"/>
      <c r="DX330" s="31"/>
      <c r="DY330" s="31"/>
      <c r="DZ330" s="31"/>
      <c r="EA330" s="31"/>
      <c r="EB330" s="31"/>
      <c r="EC330" s="31"/>
      <c r="ED330" s="31"/>
      <c r="EE330" s="31"/>
      <c r="EF330" s="31"/>
      <c r="EG330" s="31"/>
      <c r="EH330" s="31"/>
      <c r="EI330" s="31"/>
      <c r="EJ330" s="31"/>
      <c r="EK330" s="31"/>
      <c r="EL330" s="31"/>
      <c r="EM330" s="31"/>
      <c r="EN330" s="31"/>
      <c r="EO330" s="31"/>
      <c r="EP330" s="31"/>
      <c r="EQ330" s="31"/>
      <c r="ER330" s="31"/>
      <c r="ES330" s="31"/>
      <c r="ET330" s="31"/>
      <c r="EU330" s="31"/>
      <c r="EV330" s="31"/>
      <c r="EW330" s="31"/>
      <c r="EX330" s="31"/>
      <c r="EY330" s="31"/>
      <c r="EZ330" s="31"/>
      <c r="FA330" s="31"/>
      <c r="FB330" s="31"/>
      <c r="FC330" s="31"/>
      <c r="FD330" s="31"/>
      <c r="FE330" s="31"/>
      <c r="FF330" s="31"/>
      <c r="FG330" s="31"/>
      <c r="FH330" s="31"/>
      <c r="FI330" s="31"/>
      <c r="FJ330" s="31"/>
      <c r="FK330" s="31"/>
      <c r="FL330" s="31"/>
      <c r="FM330" s="31"/>
      <c r="FN330" s="31"/>
      <c r="FO330" s="31"/>
      <c r="FP330" s="31"/>
      <c r="FQ330" s="31"/>
      <c r="FR330" s="31"/>
      <c r="FS330" s="31"/>
      <c r="FT330" s="31"/>
      <c r="FU330" s="31"/>
      <c r="FV330" s="31"/>
      <c r="FW330" s="31"/>
      <c r="FX330" s="31"/>
      <c r="FY330" s="31"/>
      <c r="FZ330" s="31"/>
      <c r="GA330" s="31"/>
      <c r="GB330" s="31"/>
      <c r="GC330" s="31"/>
      <c r="GD330" s="31"/>
      <c r="GE330" s="31"/>
      <c r="GF330" s="31"/>
      <c r="GG330" s="31"/>
      <c r="GH330" s="31"/>
    </row>
    <row r="331" spans="1:190" ht="15.75" customHeight="1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>
        <v>329</v>
      </c>
      <c r="U331" s="31" t="s">
        <v>194</v>
      </c>
      <c r="V331" s="31" t="s">
        <v>724</v>
      </c>
      <c r="W331" s="31" t="s">
        <v>789</v>
      </c>
      <c r="X331" s="31" t="s">
        <v>2326</v>
      </c>
      <c r="Y331" s="31" t="s">
        <v>2327</v>
      </c>
      <c r="Z331" s="31" t="s">
        <v>2328</v>
      </c>
      <c r="AA331" s="32" t="s">
        <v>202</v>
      </c>
      <c r="AB331" s="32" t="s">
        <v>725</v>
      </c>
      <c r="AC331" s="32" t="s">
        <v>793</v>
      </c>
      <c r="AD331" s="31" t="s">
        <v>794</v>
      </c>
      <c r="AE331" s="31" t="s">
        <v>303</v>
      </c>
      <c r="AF331" s="31" t="s">
        <v>688</v>
      </c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  <c r="DI331" s="31"/>
      <c r="DJ331" s="31"/>
      <c r="DK331" s="31"/>
      <c r="DL331" s="31"/>
      <c r="DM331" s="31"/>
      <c r="DN331" s="31"/>
      <c r="DO331" s="31"/>
      <c r="DP331" s="31"/>
      <c r="DQ331" s="31"/>
      <c r="DR331" s="31"/>
      <c r="DS331" s="31"/>
      <c r="DT331" s="31"/>
      <c r="DU331" s="31"/>
      <c r="DV331" s="31"/>
      <c r="DW331" s="31"/>
      <c r="DX331" s="31"/>
      <c r="DY331" s="31"/>
      <c r="DZ331" s="31"/>
      <c r="EA331" s="31"/>
      <c r="EB331" s="31"/>
      <c r="EC331" s="31"/>
      <c r="ED331" s="31"/>
      <c r="EE331" s="31"/>
      <c r="EF331" s="31"/>
      <c r="EG331" s="31"/>
      <c r="EH331" s="31"/>
      <c r="EI331" s="31"/>
      <c r="EJ331" s="31"/>
      <c r="EK331" s="31"/>
      <c r="EL331" s="31"/>
      <c r="EM331" s="31"/>
      <c r="EN331" s="31"/>
      <c r="EO331" s="31"/>
      <c r="EP331" s="31"/>
      <c r="EQ331" s="31"/>
      <c r="ER331" s="31"/>
      <c r="ES331" s="31"/>
      <c r="ET331" s="31"/>
      <c r="EU331" s="31"/>
      <c r="EV331" s="31"/>
      <c r="EW331" s="31"/>
      <c r="EX331" s="31"/>
      <c r="EY331" s="31"/>
      <c r="EZ331" s="31"/>
      <c r="FA331" s="31"/>
      <c r="FB331" s="31"/>
      <c r="FC331" s="31"/>
      <c r="FD331" s="31"/>
      <c r="FE331" s="31"/>
      <c r="FF331" s="31"/>
      <c r="FG331" s="31"/>
      <c r="FH331" s="31"/>
      <c r="FI331" s="31"/>
      <c r="FJ331" s="31"/>
      <c r="FK331" s="31"/>
      <c r="FL331" s="31"/>
      <c r="FM331" s="31"/>
      <c r="FN331" s="31"/>
      <c r="FO331" s="31"/>
      <c r="FP331" s="31"/>
      <c r="FQ331" s="31"/>
      <c r="FR331" s="31"/>
      <c r="FS331" s="31"/>
      <c r="FT331" s="31"/>
      <c r="FU331" s="31"/>
      <c r="FV331" s="31"/>
      <c r="FW331" s="31"/>
      <c r="FX331" s="31"/>
      <c r="FY331" s="31"/>
      <c r="FZ331" s="31"/>
      <c r="GA331" s="31"/>
      <c r="GB331" s="31"/>
      <c r="GC331" s="31"/>
      <c r="GD331" s="31"/>
      <c r="GE331" s="31"/>
      <c r="GF331" s="31"/>
      <c r="GG331" s="31"/>
      <c r="GH331" s="31"/>
    </row>
    <row r="332" spans="1:190" ht="15.75" customHeight="1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>
        <v>330</v>
      </c>
      <c r="U332" s="31" t="s">
        <v>194</v>
      </c>
      <c r="V332" s="31" t="s">
        <v>195</v>
      </c>
      <c r="W332" s="31" t="s">
        <v>196</v>
      </c>
      <c r="X332" s="31" t="s">
        <v>2326</v>
      </c>
      <c r="Y332" s="31" t="s">
        <v>2329</v>
      </c>
      <c r="Z332" s="31" t="s">
        <v>2330</v>
      </c>
      <c r="AA332" s="32" t="s">
        <v>202</v>
      </c>
      <c r="AB332" s="32" t="s">
        <v>203</v>
      </c>
      <c r="AC332" s="32" t="s">
        <v>204</v>
      </c>
      <c r="AD332" s="31" t="s">
        <v>1888</v>
      </c>
      <c r="AE332" s="31" t="s">
        <v>1889</v>
      </c>
      <c r="AF332" s="31" t="s">
        <v>1216</v>
      </c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  <c r="DT332" s="31"/>
      <c r="DU332" s="31"/>
      <c r="DV332" s="31"/>
      <c r="DW332" s="31"/>
      <c r="DX332" s="31"/>
      <c r="DY332" s="31"/>
      <c r="DZ332" s="31"/>
      <c r="EA332" s="31"/>
      <c r="EB332" s="31"/>
      <c r="EC332" s="31"/>
      <c r="ED332" s="31"/>
      <c r="EE332" s="31"/>
      <c r="EF332" s="31"/>
      <c r="EG332" s="31"/>
      <c r="EH332" s="31"/>
      <c r="EI332" s="31"/>
      <c r="EJ332" s="31"/>
      <c r="EK332" s="31"/>
      <c r="EL332" s="31"/>
      <c r="EM332" s="31"/>
      <c r="EN332" s="31"/>
      <c r="EO332" s="31"/>
      <c r="EP332" s="31"/>
      <c r="EQ332" s="31"/>
      <c r="ER332" s="31"/>
      <c r="ES332" s="31"/>
      <c r="ET332" s="31"/>
      <c r="EU332" s="31"/>
      <c r="EV332" s="31"/>
      <c r="EW332" s="31"/>
      <c r="EX332" s="31"/>
      <c r="EY332" s="31"/>
      <c r="EZ332" s="31"/>
      <c r="FA332" s="31"/>
      <c r="FB332" s="31"/>
      <c r="FC332" s="31"/>
      <c r="FD332" s="31"/>
      <c r="FE332" s="31"/>
      <c r="FF332" s="31"/>
      <c r="FG332" s="31"/>
      <c r="FH332" s="31"/>
      <c r="FI332" s="31"/>
      <c r="FJ332" s="31"/>
      <c r="FK332" s="31"/>
      <c r="FL332" s="31"/>
      <c r="FM332" s="31"/>
      <c r="FN332" s="31"/>
      <c r="FO332" s="31"/>
      <c r="FP332" s="31"/>
      <c r="FQ332" s="31"/>
      <c r="FR332" s="31"/>
      <c r="FS332" s="31"/>
      <c r="FT332" s="31"/>
      <c r="FU332" s="31"/>
      <c r="FV332" s="31"/>
      <c r="FW332" s="31"/>
      <c r="FX332" s="31"/>
      <c r="FY332" s="31"/>
      <c r="FZ332" s="31"/>
      <c r="GA332" s="31"/>
      <c r="GB332" s="31"/>
      <c r="GC332" s="31"/>
      <c r="GD332" s="31"/>
      <c r="GE332" s="31"/>
      <c r="GF332" s="31"/>
      <c r="GG332" s="31"/>
      <c r="GH332" s="31"/>
    </row>
    <row r="333" spans="1:190" ht="15.75" customHeight="1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>
        <v>331</v>
      </c>
      <c r="U333" s="31" t="s">
        <v>360</v>
      </c>
      <c r="V333" s="31" t="s">
        <v>647</v>
      </c>
      <c r="W333" s="31" t="s">
        <v>867</v>
      </c>
      <c r="X333" s="31" t="s">
        <v>2331</v>
      </c>
      <c r="Y333" s="31" t="s">
        <v>2332</v>
      </c>
      <c r="Z333" s="31" t="s">
        <v>2333</v>
      </c>
      <c r="AA333" s="32" t="s">
        <v>418</v>
      </c>
      <c r="AB333" s="32" t="s">
        <v>648</v>
      </c>
      <c r="AC333" s="32" t="s">
        <v>868</v>
      </c>
      <c r="AD333" s="31" t="s">
        <v>1161</v>
      </c>
      <c r="AE333" s="31" t="s">
        <v>303</v>
      </c>
      <c r="AF333" s="31" t="s">
        <v>1162</v>
      </c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  <c r="DT333" s="31"/>
      <c r="DU333" s="31"/>
      <c r="DV333" s="31"/>
      <c r="DW333" s="31"/>
      <c r="DX333" s="31"/>
      <c r="DY333" s="31"/>
      <c r="DZ333" s="31"/>
      <c r="EA333" s="31"/>
      <c r="EB333" s="31"/>
      <c r="EC333" s="31"/>
      <c r="ED333" s="31"/>
      <c r="EE333" s="31"/>
      <c r="EF333" s="31"/>
      <c r="EG333" s="31"/>
      <c r="EH333" s="31"/>
      <c r="EI333" s="31"/>
      <c r="EJ333" s="31"/>
      <c r="EK333" s="31"/>
      <c r="EL333" s="31"/>
      <c r="EM333" s="31"/>
      <c r="EN333" s="31"/>
      <c r="EO333" s="31"/>
      <c r="EP333" s="31"/>
      <c r="EQ333" s="31"/>
      <c r="ER333" s="31"/>
      <c r="ES333" s="31"/>
      <c r="ET333" s="31"/>
      <c r="EU333" s="31"/>
      <c r="EV333" s="31"/>
      <c r="EW333" s="31"/>
      <c r="EX333" s="31"/>
      <c r="EY333" s="31"/>
      <c r="EZ333" s="31"/>
      <c r="FA333" s="31"/>
      <c r="FB333" s="31"/>
      <c r="FC333" s="31"/>
      <c r="FD333" s="31"/>
      <c r="FE333" s="31"/>
      <c r="FF333" s="31"/>
      <c r="FG333" s="31"/>
      <c r="FH333" s="31"/>
      <c r="FI333" s="31"/>
      <c r="FJ333" s="31"/>
      <c r="FK333" s="31"/>
      <c r="FL333" s="31"/>
      <c r="FM333" s="31"/>
      <c r="FN333" s="31"/>
      <c r="FO333" s="31"/>
      <c r="FP333" s="31"/>
      <c r="FQ333" s="31"/>
      <c r="FR333" s="31"/>
      <c r="FS333" s="31"/>
      <c r="FT333" s="31"/>
      <c r="FU333" s="31"/>
      <c r="FV333" s="31"/>
      <c r="FW333" s="31"/>
      <c r="FX333" s="31"/>
      <c r="FY333" s="31"/>
      <c r="FZ333" s="31"/>
      <c r="GA333" s="31"/>
      <c r="GB333" s="31"/>
      <c r="GC333" s="31"/>
      <c r="GD333" s="31"/>
      <c r="GE333" s="31"/>
      <c r="GF333" s="31"/>
      <c r="GG333" s="31"/>
      <c r="GH333" s="31"/>
    </row>
    <row r="334" spans="1:190" ht="15.75" customHeight="1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>
        <v>332</v>
      </c>
      <c r="U334" s="31" t="s">
        <v>187</v>
      </c>
      <c r="V334" s="31" t="s">
        <v>561</v>
      </c>
      <c r="W334" s="31" t="s">
        <v>787</v>
      </c>
      <c r="X334" s="31" t="s">
        <v>2334</v>
      </c>
      <c r="Y334" s="31" t="s">
        <v>2335</v>
      </c>
      <c r="Z334" s="31" t="s">
        <v>2336</v>
      </c>
      <c r="AA334" s="32" t="s">
        <v>286</v>
      </c>
      <c r="AB334" s="32" t="s">
        <v>562</v>
      </c>
      <c r="AC334" s="32" t="s">
        <v>788</v>
      </c>
      <c r="AD334" s="31" t="s">
        <v>303</v>
      </c>
      <c r="AE334" s="31"/>
      <c r="AF334" s="31" t="s">
        <v>922</v>
      </c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  <c r="DT334" s="31"/>
      <c r="DU334" s="31"/>
      <c r="DV334" s="31"/>
      <c r="DW334" s="31"/>
      <c r="DX334" s="31"/>
      <c r="DY334" s="31"/>
      <c r="DZ334" s="31"/>
      <c r="EA334" s="31"/>
      <c r="EB334" s="31"/>
      <c r="EC334" s="31"/>
      <c r="ED334" s="31"/>
      <c r="EE334" s="31"/>
      <c r="EF334" s="31"/>
      <c r="EG334" s="31"/>
      <c r="EH334" s="31"/>
      <c r="EI334" s="31"/>
      <c r="EJ334" s="31"/>
      <c r="EK334" s="31"/>
      <c r="EL334" s="31"/>
      <c r="EM334" s="31"/>
      <c r="EN334" s="31"/>
      <c r="EO334" s="31"/>
      <c r="EP334" s="31"/>
      <c r="EQ334" s="31"/>
      <c r="ER334" s="31"/>
      <c r="ES334" s="31"/>
      <c r="ET334" s="31"/>
      <c r="EU334" s="31"/>
      <c r="EV334" s="31"/>
      <c r="EW334" s="31"/>
      <c r="EX334" s="31"/>
      <c r="EY334" s="31"/>
      <c r="EZ334" s="31"/>
      <c r="FA334" s="31"/>
      <c r="FB334" s="31"/>
      <c r="FC334" s="31"/>
      <c r="FD334" s="31"/>
      <c r="FE334" s="31"/>
      <c r="FF334" s="31"/>
      <c r="FG334" s="31"/>
      <c r="FH334" s="31"/>
      <c r="FI334" s="31"/>
      <c r="FJ334" s="31"/>
      <c r="FK334" s="31"/>
      <c r="FL334" s="31"/>
      <c r="FM334" s="31"/>
      <c r="FN334" s="31"/>
      <c r="FO334" s="31"/>
      <c r="FP334" s="31"/>
      <c r="FQ334" s="31"/>
      <c r="FR334" s="31"/>
      <c r="FS334" s="31"/>
      <c r="FT334" s="31"/>
      <c r="FU334" s="31"/>
      <c r="FV334" s="31"/>
      <c r="FW334" s="31"/>
      <c r="FX334" s="31"/>
      <c r="FY334" s="31"/>
      <c r="FZ334" s="31"/>
      <c r="GA334" s="31"/>
      <c r="GB334" s="31"/>
      <c r="GC334" s="31"/>
      <c r="GD334" s="31"/>
      <c r="GE334" s="31"/>
      <c r="GF334" s="31"/>
      <c r="GG334" s="31"/>
      <c r="GH334" s="31"/>
    </row>
    <row r="335" spans="1:190" ht="15.75" customHeight="1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>
        <v>333</v>
      </c>
      <c r="U335" s="31" t="s">
        <v>194</v>
      </c>
      <c r="V335" s="31" t="s">
        <v>294</v>
      </c>
      <c r="W335" s="31" t="s">
        <v>902</v>
      </c>
      <c r="X335" s="31" t="s">
        <v>2337</v>
      </c>
      <c r="Y335" s="31" t="s">
        <v>2338</v>
      </c>
      <c r="Z335" s="31" t="s">
        <v>2339</v>
      </c>
      <c r="AA335" s="32" t="s">
        <v>202</v>
      </c>
      <c r="AB335" s="32" t="s">
        <v>300</v>
      </c>
      <c r="AC335" s="32" t="s">
        <v>903</v>
      </c>
      <c r="AD335" s="31" t="s">
        <v>303</v>
      </c>
      <c r="AE335" s="31"/>
      <c r="AF335" s="31" t="s">
        <v>999</v>
      </c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1"/>
      <c r="DD335" s="31"/>
      <c r="DE335" s="31"/>
      <c r="DF335" s="31"/>
      <c r="DG335" s="31"/>
      <c r="DH335" s="31"/>
      <c r="DI335" s="31"/>
      <c r="DJ335" s="31"/>
      <c r="DK335" s="31"/>
      <c r="DL335" s="31"/>
      <c r="DM335" s="31"/>
      <c r="DN335" s="31"/>
      <c r="DO335" s="31"/>
      <c r="DP335" s="31"/>
      <c r="DQ335" s="31"/>
      <c r="DR335" s="31"/>
      <c r="DS335" s="31"/>
      <c r="DT335" s="31"/>
      <c r="DU335" s="31"/>
      <c r="DV335" s="31"/>
      <c r="DW335" s="31"/>
      <c r="DX335" s="31"/>
      <c r="DY335" s="31"/>
      <c r="DZ335" s="31"/>
      <c r="EA335" s="31"/>
      <c r="EB335" s="31"/>
      <c r="EC335" s="31"/>
      <c r="ED335" s="31"/>
      <c r="EE335" s="31"/>
      <c r="EF335" s="31"/>
      <c r="EG335" s="31"/>
      <c r="EH335" s="31"/>
      <c r="EI335" s="31"/>
      <c r="EJ335" s="31"/>
      <c r="EK335" s="31"/>
      <c r="EL335" s="31"/>
      <c r="EM335" s="31"/>
      <c r="EN335" s="31"/>
      <c r="EO335" s="31"/>
      <c r="EP335" s="31"/>
      <c r="EQ335" s="31"/>
      <c r="ER335" s="31"/>
      <c r="ES335" s="31"/>
      <c r="ET335" s="31"/>
      <c r="EU335" s="31"/>
      <c r="EV335" s="31"/>
      <c r="EW335" s="31"/>
      <c r="EX335" s="31"/>
      <c r="EY335" s="31"/>
      <c r="EZ335" s="31"/>
      <c r="FA335" s="31"/>
      <c r="FB335" s="31"/>
      <c r="FC335" s="31"/>
      <c r="FD335" s="31"/>
      <c r="FE335" s="31"/>
      <c r="FF335" s="31"/>
      <c r="FG335" s="31"/>
      <c r="FH335" s="31"/>
      <c r="FI335" s="31"/>
      <c r="FJ335" s="31"/>
      <c r="FK335" s="31"/>
      <c r="FL335" s="31"/>
      <c r="FM335" s="31"/>
      <c r="FN335" s="31"/>
      <c r="FO335" s="31"/>
      <c r="FP335" s="31"/>
      <c r="FQ335" s="31"/>
      <c r="FR335" s="31"/>
      <c r="FS335" s="31"/>
      <c r="FT335" s="31"/>
      <c r="FU335" s="31"/>
      <c r="FV335" s="31"/>
      <c r="FW335" s="31"/>
      <c r="FX335" s="31"/>
      <c r="FY335" s="31"/>
      <c r="FZ335" s="31"/>
      <c r="GA335" s="31"/>
      <c r="GB335" s="31"/>
      <c r="GC335" s="31"/>
      <c r="GD335" s="31"/>
      <c r="GE335" s="31"/>
      <c r="GF335" s="31"/>
      <c r="GG335" s="31"/>
      <c r="GH335" s="31"/>
    </row>
    <row r="336" spans="1:190" ht="15.75" customHeight="1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>
        <v>334</v>
      </c>
      <c r="U336" s="31" t="s">
        <v>187</v>
      </c>
      <c r="V336" s="31" t="s">
        <v>187</v>
      </c>
      <c r="W336" s="31" t="s">
        <v>363</v>
      </c>
      <c r="X336" s="31" t="s">
        <v>2340</v>
      </c>
      <c r="Y336" s="31" t="s">
        <v>2341</v>
      </c>
      <c r="Z336" s="31" t="s">
        <v>2342</v>
      </c>
      <c r="AA336" s="32" t="s">
        <v>286</v>
      </c>
      <c r="AB336" s="32" t="s">
        <v>190</v>
      </c>
      <c r="AC336" s="32" t="s">
        <v>303</v>
      </c>
      <c r="AD336" s="31"/>
      <c r="AE336" s="31"/>
      <c r="AF336" s="31" t="s">
        <v>571</v>
      </c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  <c r="DI336" s="31"/>
      <c r="DJ336" s="31"/>
      <c r="DK336" s="31"/>
      <c r="DL336" s="31"/>
      <c r="DM336" s="31"/>
      <c r="DN336" s="31"/>
      <c r="DO336" s="31"/>
      <c r="DP336" s="31"/>
      <c r="DQ336" s="31"/>
      <c r="DR336" s="31"/>
      <c r="DS336" s="31"/>
      <c r="DT336" s="31"/>
      <c r="DU336" s="31"/>
      <c r="DV336" s="31"/>
      <c r="DW336" s="31"/>
      <c r="DX336" s="31"/>
      <c r="DY336" s="31"/>
      <c r="DZ336" s="31"/>
      <c r="EA336" s="31"/>
      <c r="EB336" s="31"/>
      <c r="EC336" s="31"/>
      <c r="ED336" s="31"/>
      <c r="EE336" s="31"/>
      <c r="EF336" s="31"/>
      <c r="EG336" s="31"/>
      <c r="EH336" s="31"/>
      <c r="EI336" s="31"/>
      <c r="EJ336" s="31"/>
      <c r="EK336" s="31"/>
      <c r="EL336" s="31"/>
      <c r="EM336" s="31"/>
      <c r="EN336" s="31"/>
      <c r="EO336" s="31"/>
      <c r="EP336" s="31"/>
      <c r="EQ336" s="31"/>
      <c r="ER336" s="31"/>
      <c r="ES336" s="31"/>
      <c r="ET336" s="31"/>
      <c r="EU336" s="31"/>
      <c r="EV336" s="31"/>
      <c r="EW336" s="31"/>
      <c r="EX336" s="31"/>
      <c r="EY336" s="31"/>
      <c r="EZ336" s="31"/>
      <c r="FA336" s="31"/>
      <c r="FB336" s="31"/>
      <c r="FC336" s="31"/>
      <c r="FD336" s="31"/>
      <c r="FE336" s="31"/>
      <c r="FF336" s="31"/>
      <c r="FG336" s="31"/>
      <c r="FH336" s="31"/>
      <c r="FI336" s="31"/>
      <c r="FJ336" s="31"/>
      <c r="FK336" s="31"/>
      <c r="FL336" s="31"/>
      <c r="FM336" s="31"/>
      <c r="FN336" s="31"/>
      <c r="FO336" s="31"/>
      <c r="FP336" s="31"/>
      <c r="FQ336" s="31"/>
      <c r="FR336" s="31"/>
      <c r="FS336" s="31"/>
      <c r="FT336" s="31"/>
      <c r="FU336" s="31"/>
      <c r="FV336" s="31"/>
      <c r="FW336" s="31"/>
      <c r="FX336" s="31"/>
      <c r="FY336" s="31"/>
      <c r="FZ336" s="31"/>
      <c r="GA336" s="31"/>
      <c r="GB336" s="31"/>
      <c r="GC336" s="31"/>
      <c r="GD336" s="31"/>
      <c r="GE336" s="31"/>
      <c r="GF336" s="31"/>
      <c r="GG336" s="31"/>
      <c r="GH336" s="31"/>
    </row>
    <row r="337" spans="1:190" ht="15.75" customHeight="1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>
        <v>335</v>
      </c>
      <c r="U337" s="31" t="s">
        <v>194</v>
      </c>
      <c r="V337" s="31" t="s">
        <v>724</v>
      </c>
      <c r="W337" s="31" t="s">
        <v>789</v>
      </c>
      <c r="X337" s="31" t="s">
        <v>2343</v>
      </c>
      <c r="Y337" s="31" t="s">
        <v>2344</v>
      </c>
      <c r="Z337" s="31" t="s">
        <v>593</v>
      </c>
      <c r="AA337" s="32" t="s">
        <v>202</v>
      </c>
      <c r="AB337" s="32" t="s">
        <v>725</v>
      </c>
      <c r="AC337" s="32" t="s">
        <v>793</v>
      </c>
      <c r="AD337" s="31" t="s">
        <v>303</v>
      </c>
      <c r="AE337" s="31"/>
      <c r="AF337" s="31" t="s">
        <v>760</v>
      </c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  <c r="DI337" s="31"/>
      <c r="DJ337" s="31"/>
      <c r="DK337" s="31"/>
      <c r="DL337" s="31"/>
      <c r="DM337" s="31"/>
      <c r="DN337" s="31"/>
      <c r="DO337" s="31"/>
      <c r="DP337" s="31"/>
      <c r="DQ337" s="31"/>
      <c r="DR337" s="31"/>
      <c r="DS337" s="31"/>
      <c r="DT337" s="31"/>
      <c r="DU337" s="31"/>
      <c r="DV337" s="31"/>
      <c r="DW337" s="31"/>
      <c r="DX337" s="31"/>
      <c r="DY337" s="31"/>
      <c r="DZ337" s="31"/>
      <c r="EA337" s="31"/>
      <c r="EB337" s="31"/>
      <c r="EC337" s="31"/>
      <c r="ED337" s="31"/>
      <c r="EE337" s="31"/>
      <c r="EF337" s="31"/>
      <c r="EG337" s="31"/>
      <c r="EH337" s="31"/>
      <c r="EI337" s="31"/>
      <c r="EJ337" s="31"/>
      <c r="EK337" s="31"/>
      <c r="EL337" s="31"/>
      <c r="EM337" s="31"/>
      <c r="EN337" s="31"/>
      <c r="EO337" s="31"/>
      <c r="EP337" s="31"/>
      <c r="EQ337" s="31"/>
      <c r="ER337" s="31"/>
      <c r="ES337" s="31"/>
      <c r="ET337" s="31"/>
      <c r="EU337" s="31"/>
      <c r="EV337" s="31"/>
      <c r="EW337" s="31"/>
      <c r="EX337" s="31"/>
      <c r="EY337" s="31"/>
      <c r="EZ337" s="31"/>
      <c r="FA337" s="31"/>
      <c r="FB337" s="31"/>
      <c r="FC337" s="31"/>
      <c r="FD337" s="31"/>
      <c r="FE337" s="31"/>
      <c r="FF337" s="31"/>
      <c r="FG337" s="31"/>
      <c r="FH337" s="31"/>
      <c r="FI337" s="31"/>
      <c r="FJ337" s="31"/>
      <c r="FK337" s="31"/>
      <c r="FL337" s="31"/>
      <c r="FM337" s="31"/>
      <c r="FN337" s="31"/>
      <c r="FO337" s="31"/>
      <c r="FP337" s="31"/>
      <c r="FQ337" s="31"/>
      <c r="FR337" s="31"/>
      <c r="FS337" s="31"/>
      <c r="FT337" s="31"/>
      <c r="FU337" s="31"/>
      <c r="FV337" s="31"/>
      <c r="FW337" s="31"/>
      <c r="FX337" s="31"/>
      <c r="FY337" s="31"/>
      <c r="FZ337" s="31"/>
      <c r="GA337" s="31"/>
      <c r="GB337" s="31"/>
      <c r="GC337" s="31"/>
      <c r="GD337" s="31"/>
      <c r="GE337" s="31"/>
      <c r="GF337" s="31"/>
      <c r="GG337" s="31"/>
      <c r="GH337" s="31"/>
    </row>
    <row r="338" spans="1:190" ht="15.75" customHeight="1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>
        <v>336</v>
      </c>
      <c r="U338" s="31" t="s">
        <v>187</v>
      </c>
      <c r="V338" s="31" t="s">
        <v>561</v>
      </c>
      <c r="W338" s="31" t="s">
        <v>787</v>
      </c>
      <c r="X338" s="31" t="s">
        <v>2345</v>
      </c>
      <c r="Y338" s="31" t="s">
        <v>2346</v>
      </c>
      <c r="Z338" s="31" t="s">
        <v>2347</v>
      </c>
      <c r="AA338" s="32" t="s">
        <v>286</v>
      </c>
      <c r="AB338" s="32" t="s">
        <v>562</v>
      </c>
      <c r="AC338" s="32" t="s">
        <v>788</v>
      </c>
      <c r="AD338" s="31" t="s">
        <v>1725</v>
      </c>
      <c r="AE338" s="31" t="s">
        <v>303</v>
      </c>
      <c r="AF338" s="31" t="s">
        <v>1463</v>
      </c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  <c r="DT338" s="31"/>
      <c r="DU338" s="31"/>
      <c r="DV338" s="31"/>
      <c r="DW338" s="31"/>
      <c r="DX338" s="31"/>
      <c r="DY338" s="31"/>
      <c r="DZ338" s="31"/>
      <c r="EA338" s="31"/>
      <c r="EB338" s="31"/>
      <c r="EC338" s="31"/>
      <c r="ED338" s="31"/>
      <c r="EE338" s="31"/>
      <c r="EF338" s="31"/>
      <c r="EG338" s="31"/>
      <c r="EH338" s="31"/>
      <c r="EI338" s="31"/>
      <c r="EJ338" s="31"/>
      <c r="EK338" s="31"/>
      <c r="EL338" s="31"/>
      <c r="EM338" s="31"/>
      <c r="EN338" s="31"/>
      <c r="EO338" s="31"/>
      <c r="EP338" s="31"/>
      <c r="EQ338" s="31"/>
      <c r="ER338" s="31"/>
      <c r="ES338" s="31"/>
      <c r="ET338" s="31"/>
      <c r="EU338" s="31"/>
      <c r="EV338" s="31"/>
      <c r="EW338" s="31"/>
      <c r="EX338" s="31"/>
      <c r="EY338" s="31"/>
      <c r="EZ338" s="31"/>
      <c r="FA338" s="31"/>
      <c r="FB338" s="31"/>
      <c r="FC338" s="31"/>
      <c r="FD338" s="31"/>
      <c r="FE338" s="31"/>
      <c r="FF338" s="31"/>
      <c r="FG338" s="31"/>
      <c r="FH338" s="31"/>
      <c r="FI338" s="31"/>
      <c r="FJ338" s="31"/>
      <c r="FK338" s="31"/>
      <c r="FL338" s="31"/>
      <c r="FM338" s="31"/>
      <c r="FN338" s="31"/>
      <c r="FO338" s="31"/>
      <c r="FP338" s="31"/>
      <c r="FQ338" s="31"/>
      <c r="FR338" s="31"/>
      <c r="FS338" s="31"/>
      <c r="FT338" s="31"/>
      <c r="FU338" s="31"/>
      <c r="FV338" s="31"/>
      <c r="FW338" s="31"/>
      <c r="FX338" s="31"/>
      <c r="FY338" s="31"/>
      <c r="FZ338" s="31"/>
      <c r="GA338" s="31"/>
      <c r="GB338" s="31"/>
      <c r="GC338" s="31"/>
      <c r="GD338" s="31"/>
      <c r="GE338" s="31"/>
      <c r="GF338" s="31"/>
      <c r="GG338" s="31"/>
      <c r="GH338" s="31"/>
    </row>
    <row r="339" spans="1:190" ht="15.75" customHeight="1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>
        <v>337</v>
      </c>
      <c r="U339" s="31" t="s">
        <v>187</v>
      </c>
      <c r="V339" s="31" t="s">
        <v>287</v>
      </c>
      <c r="W339" s="31" t="s">
        <v>600</v>
      </c>
      <c r="X339" s="31" t="s">
        <v>2348</v>
      </c>
      <c r="Y339" s="31" t="s">
        <v>2349</v>
      </c>
      <c r="Z339" s="31" t="s">
        <v>2350</v>
      </c>
      <c r="AA339" s="32" t="s">
        <v>286</v>
      </c>
      <c r="AB339" s="32" t="s">
        <v>290</v>
      </c>
      <c r="AC339" s="32" t="s">
        <v>627</v>
      </c>
      <c r="AD339" s="31" t="s">
        <v>1485</v>
      </c>
      <c r="AE339" s="31" t="s">
        <v>303</v>
      </c>
      <c r="AF339" s="31" t="s">
        <v>1068</v>
      </c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  <c r="CX339" s="31"/>
      <c r="CY339" s="31"/>
      <c r="CZ339" s="31"/>
      <c r="DA339" s="31"/>
      <c r="DB339" s="31"/>
      <c r="DC339" s="31"/>
      <c r="DD339" s="31"/>
      <c r="DE339" s="31"/>
      <c r="DF339" s="31"/>
      <c r="DG339" s="31"/>
      <c r="DH339" s="31"/>
      <c r="DI339" s="31"/>
      <c r="DJ339" s="31"/>
      <c r="DK339" s="31"/>
      <c r="DL339" s="31"/>
      <c r="DM339" s="31"/>
      <c r="DN339" s="31"/>
      <c r="DO339" s="31"/>
      <c r="DP339" s="31"/>
      <c r="DQ339" s="31"/>
      <c r="DR339" s="31"/>
      <c r="DS339" s="31"/>
      <c r="DT339" s="31"/>
      <c r="DU339" s="31"/>
      <c r="DV339" s="31"/>
      <c r="DW339" s="31"/>
      <c r="DX339" s="31"/>
      <c r="DY339" s="31"/>
      <c r="DZ339" s="31"/>
      <c r="EA339" s="31"/>
      <c r="EB339" s="31"/>
      <c r="EC339" s="31"/>
      <c r="ED339" s="31"/>
      <c r="EE339" s="31"/>
      <c r="EF339" s="31"/>
      <c r="EG339" s="31"/>
      <c r="EH339" s="31"/>
      <c r="EI339" s="31"/>
      <c r="EJ339" s="31"/>
      <c r="EK339" s="31"/>
      <c r="EL339" s="31"/>
      <c r="EM339" s="31"/>
      <c r="EN339" s="31"/>
      <c r="EO339" s="31"/>
      <c r="EP339" s="31"/>
      <c r="EQ339" s="31"/>
      <c r="ER339" s="31"/>
      <c r="ES339" s="31"/>
      <c r="ET339" s="31"/>
      <c r="EU339" s="31"/>
      <c r="EV339" s="31"/>
      <c r="EW339" s="31"/>
      <c r="EX339" s="31"/>
      <c r="EY339" s="31"/>
      <c r="EZ339" s="31"/>
      <c r="FA339" s="31"/>
      <c r="FB339" s="31"/>
      <c r="FC339" s="31"/>
      <c r="FD339" s="31"/>
      <c r="FE339" s="31"/>
      <c r="FF339" s="31"/>
      <c r="FG339" s="31"/>
      <c r="FH339" s="31"/>
      <c r="FI339" s="31"/>
      <c r="FJ339" s="31"/>
      <c r="FK339" s="31"/>
      <c r="FL339" s="31"/>
      <c r="FM339" s="31"/>
      <c r="FN339" s="31"/>
      <c r="FO339" s="31"/>
      <c r="FP339" s="31"/>
      <c r="FQ339" s="31"/>
      <c r="FR339" s="31"/>
      <c r="FS339" s="31"/>
      <c r="FT339" s="31"/>
      <c r="FU339" s="31"/>
      <c r="FV339" s="31"/>
      <c r="FW339" s="31"/>
      <c r="FX339" s="31"/>
      <c r="FY339" s="31"/>
      <c r="FZ339" s="31"/>
      <c r="GA339" s="31"/>
      <c r="GB339" s="31"/>
      <c r="GC339" s="31"/>
      <c r="GD339" s="31"/>
      <c r="GE339" s="31"/>
      <c r="GF339" s="31"/>
      <c r="GG339" s="31"/>
      <c r="GH339" s="31"/>
    </row>
    <row r="340" spans="1:190" ht="15.75" customHeight="1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>
        <v>338</v>
      </c>
      <c r="U340" s="31" t="s">
        <v>187</v>
      </c>
      <c r="V340" s="31" t="s">
        <v>187</v>
      </c>
      <c r="W340" s="31" t="s">
        <v>187</v>
      </c>
      <c r="X340" s="31" t="s">
        <v>2351</v>
      </c>
      <c r="Y340" s="31" t="s">
        <v>2352</v>
      </c>
      <c r="Z340" s="31" t="s">
        <v>2353</v>
      </c>
      <c r="AA340" s="32" t="s">
        <v>286</v>
      </c>
      <c r="AB340" s="32" t="s">
        <v>190</v>
      </c>
      <c r="AC340" s="32" t="s">
        <v>193</v>
      </c>
      <c r="AD340" s="31" t="s">
        <v>1911</v>
      </c>
      <c r="AE340" s="31" t="s">
        <v>303</v>
      </c>
      <c r="AF340" s="31" t="s">
        <v>436</v>
      </c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  <c r="DT340" s="31"/>
      <c r="DU340" s="31"/>
      <c r="DV340" s="31"/>
      <c r="DW340" s="31"/>
      <c r="DX340" s="31"/>
      <c r="DY340" s="31"/>
      <c r="DZ340" s="31"/>
      <c r="EA340" s="31"/>
      <c r="EB340" s="31"/>
      <c r="EC340" s="31"/>
      <c r="ED340" s="31"/>
      <c r="EE340" s="31"/>
      <c r="EF340" s="31"/>
      <c r="EG340" s="31"/>
      <c r="EH340" s="31"/>
      <c r="EI340" s="31"/>
      <c r="EJ340" s="31"/>
      <c r="EK340" s="31"/>
      <c r="EL340" s="31"/>
      <c r="EM340" s="31"/>
      <c r="EN340" s="31"/>
      <c r="EO340" s="31"/>
      <c r="EP340" s="31"/>
      <c r="EQ340" s="31"/>
      <c r="ER340" s="31"/>
      <c r="ES340" s="31"/>
      <c r="ET340" s="31"/>
      <c r="EU340" s="31"/>
      <c r="EV340" s="31"/>
      <c r="EW340" s="31"/>
      <c r="EX340" s="31"/>
      <c r="EY340" s="31"/>
      <c r="EZ340" s="31"/>
      <c r="FA340" s="31"/>
      <c r="FB340" s="31"/>
      <c r="FC340" s="31"/>
      <c r="FD340" s="31"/>
      <c r="FE340" s="31"/>
      <c r="FF340" s="31"/>
      <c r="FG340" s="31"/>
      <c r="FH340" s="31"/>
      <c r="FI340" s="31"/>
      <c r="FJ340" s="31"/>
      <c r="FK340" s="31"/>
      <c r="FL340" s="31"/>
      <c r="FM340" s="31"/>
      <c r="FN340" s="31"/>
      <c r="FO340" s="31"/>
      <c r="FP340" s="31"/>
      <c r="FQ340" s="31"/>
      <c r="FR340" s="31"/>
      <c r="FS340" s="31"/>
      <c r="FT340" s="31"/>
      <c r="FU340" s="31"/>
      <c r="FV340" s="31"/>
      <c r="FW340" s="31"/>
      <c r="FX340" s="31"/>
      <c r="FY340" s="31"/>
      <c r="FZ340" s="31"/>
      <c r="GA340" s="31"/>
      <c r="GB340" s="31"/>
      <c r="GC340" s="31"/>
      <c r="GD340" s="31"/>
      <c r="GE340" s="31"/>
      <c r="GF340" s="31"/>
      <c r="GG340" s="31"/>
      <c r="GH340" s="31"/>
    </row>
    <row r="341" spans="1:190" ht="15.75" customHeight="1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>
        <v>339</v>
      </c>
      <c r="U341" s="31" t="s">
        <v>194</v>
      </c>
      <c r="V341" s="31" t="s">
        <v>195</v>
      </c>
      <c r="W341" s="31" t="s">
        <v>196</v>
      </c>
      <c r="X341" s="31" t="s">
        <v>2354</v>
      </c>
      <c r="Y341" s="31" t="s">
        <v>2355</v>
      </c>
      <c r="Z341" s="31" t="s">
        <v>2356</v>
      </c>
      <c r="AA341" s="32" t="s">
        <v>202</v>
      </c>
      <c r="AB341" s="32" t="s">
        <v>203</v>
      </c>
      <c r="AC341" s="32" t="s">
        <v>204</v>
      </c>
      <c r="AD341" s="31" t="s">
        <v>1517</v>
      </c>
      <c r="AE341" s="31" t="s">
        <v>303</v>
      </c>
      <c r="AF341" s="31" t="s">
        <v>1198</v>
      </c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  <c r="DT341" s="31"/>
      <c r="DU341" s="31"/>
      <c r="DV341" s="31"/>
      <c r="DW341" s="31"/>
      <c r="DX341" s="31"/>
      <c r="DY341" s="31"/>
      <c r="DZ341" s="31"/>
      <c r="EA341" s="31"/>
      <c r="EB341" s="31"/>
      <c r="EC341" s="31"/>
      <c r="ED341" s="31"/>
      <c r="EE341" s="31"/>
      <c r="EF341" s="31"/>
      <c r="EG341" s="31"/>
      <c r="EH341" s="31"/>
      <c r="EI341" s="31"/>
      <c r="EJ341" s="31"/>
      <c r="EK341" s="31"/>
      <c r="EL341" s="31"/>
      <c r="EM341" s="31"/>
      <c r="EN341" s="31"/>
      <c r="EO341" s="31"/>
      <c r="EP341" s="31"/>
      <c r="EQ341" s="31"/>
      <c r="ER341" s="31"/>
      <c r="ES341" s="31"/>
      <c r="ET341" s="31"/>
      <c r="EU341" s="31"/>
      <c r="EV341" s="31"/>
      <c r="EW341" s="31"/>
      <c r="EX341" s="31"/>
      <c r="EY341" s="31"/>
      <c r="EZ341" s="31"/>
      <c r="FA341" s="31"/>
      <c r="FB341" s="31"/>
      <c r="FC341" s="31"/>
      <c r="FD341" s="31"/>
      <c r="FE341" s="31"/>
      <c r="FF341" s="31"/>
      <c r="FG341" s="31"/>
      <c r="FH341" s="31"/>
      <c r="FI341" s="31"/>
      <c r="FJ341" s="31"/>
      <c r="FK341" s="31"/>
      <c r="FL341" s="31"/>
      <c r="FM341" s="31"/>
      <c r="FN341" s="31"/>
      <c r="FO341" s="31"/>
      <c r="FP341" s="31"/>
      <c r="FQ341" s="31"/>
      <c r="FR341" s="31"/>
      <c r="FS341" s="31"/>
      <c r="FT341" s="31"/>
      <c r="FU341" s="31"/>
      <c r="FV341" s="31"/>
      <c r="FW341" s="31"/>
      <c r="FX341" s="31"/>
      <c r="FY341" s="31"/>
      <c r="FZ341" s="31"/>
      <c r="GA341" s="31"/>
      <c r="GB341" s="31"/>
      <c r="GC341" s="31"/>
      <c r="GD341" s="31"/>
      <c r="GE341" s="31"/>
      <c r="GF341" s="31"/>
      <c r="GG341" s="31"/>
      <c r="GH341" s="31"/>
    </row>
    <row r="342" spans="1:190" ht="15.75" customHeight="1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>
        <v>340</v>
      </c>
      <c r="U342" s="31" t="s">
        <v>194</v>
      </c>
      <c r="V342" s="31" t="s">
        <v>294</v>
      </c>
      <c r="W342" s="31" t="s">
        <v>911</v>
      </c>
      <c r="X342" s="31" t="s">
        <v>2357</v>
      </c>
      <c r="Y342" s="31" t="s">
        <v>2358</v>
      </c>
      <c r="Z342" s="31" t="s">
        <v>1521</v>
      </c>
      <c r="AA342" s="32" t="s">
        <v>202</v>
      </c>
      <c r="AB342" s="32" t="s">
        <v>300</v>
      </c>
      <c r="AC342" s="32" t="s">
        <v>912</v>
      </c>
      <c r="AD342" s="31" t="s">
        <v>303</v>
      </c>
      <c r="AE342" s="31"/>
      <c r="AF342" s="31" t="s">
        <v>1122</v>
      </c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  <c r="DT342" s="31"/>
      <c r="DU342" s="31"/>
      <c r="DV342" s="31"/>
      <c r="DW342" s="31"/>
      <c r="DX342" s="31"/>
      <c r="DY342" s="31"/>
      <c r="DZ342" s="31"/>
      <c r="EA342" s="31"/>
      <c r="EB342" s="31"/>
      <c r="EC342" s="31"/>
      <c r="ED342" s="31"/>
      <c r="EE342" s="31"/>
      <c r="EF342" s="31"/>
      <c r="EG342" s="31"/>
      <c r="EH342" s="31"/>
      <c r="EI342" s="31"/>
      <c r="EJ342" s="31"/>
      <c r="EK342" s="31"/>
      <c r="EL342" s="31"/>
      <c r="EM342" s="31"/>
      <c r="EN342" s="31"/>
      <c r="EO342" s="31"/>
      <c r="EP342" s="31"/>
      <c r="EQ342" s="31"/>
      <c r="ER342" s="31"/>
      <c r="ES342" s="31"/>
      <c r="ET342" s="31"/>
      <c r="EU342" s="31"/>
      <c r="EV342" s="31"/>
      <c r="EW342" s="31"/>
      <c r="EX342" s="31"/>
      <c r="EY342" s="31"/>
      <c r="EZ342" s="31"/>
      <c r="FA342" s="31"/>
      <c r="FB342" s="31"/>
      <c r="FC342" s="31"/>
      <c r="FD342" s="31"/>
      <c r="FE342" s="31"/>
      <c r="FF342" s="31"/>
      <c r="FG342" s="31"/>
      <c r="FH342" s="31"/>
      <c r="FI342" s="31"/>
      <c r="FJ342" s="31"/>
      <c r="FK342" s="31"/>
      <c r="FL342" s="31"/>
      <c r="FM342" s="31"/>
      <c r="FN342" s="31"/>
      <c r="FO342" s="31"/>
      <c r="FP342" s="31"/>
      <c r="FQ342" s="31"/>
      <c r="FR342" s="31"/>
      <c r="FS342" s="31"/>
      <c r="FT342" s="31"/>
      <c r="FU342" s="31"/>
      <c r="FV342" s="31"/>
      <c r="FW342" s="31"/>
      <c r="FX342" s="31"/>
      <c r="FY342" s="31"/>
      <c r="FZ342" s="31"/>
      <c r="GA342" s="31"/>
      <c r="GB342" s="31"/>
      <c r="GC342" s="31"/>
      <c r="GD342" s="31"/>
      <c r="GE342" s="31"/>
      <c r="GF342" s="31"/>
      <c r="GG342" s="31"/>
      <c r="GH342" s="31"/>
    </row>
    <row r="343" spans="1:190" ht="15.75" customHeight="1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>
        <v>341</v>
      </c>
      <c r="U343" s="31" t="s">
        <v>187</v>
      </c>
      <c r="V343" s="31" t="s">
        <v>469</v>
      </c>
      <c r="W343" s="31" t="s">
        <v>474</v>
      </c>
      <c r="X343" s="31" t="s">
        <v>2359</v>
      </c>
      <c r="Y343" s="31" t="s">
        <v>2360</v>
      </c>
      <c r="Z343" s="31" t="s">
        <v>2361</v>
      </c>
      <c r="AA343" s="32" t="s">
        <v>286</v>
      </c>
      <c r="AB343" s="32" t="s">
        <v>470</v>
      </c>
      <c r="AC343" s="32" t="s">
        <v>480</v>
      </c>
      <c r="AD343" s="31" t="s">
        <v>705</v>
      </c>
      <c r="AE343" s="31" t="s">
        <v>303</v>
      </c>
      <c r="AF343" s="31" t="s">
        <v>707</v>
      </c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1"/>
      <c r="DD343" s="31"/>
      <c r="DE343" s="31"/>
      <c r="DF343" s="31"/>
      <c r="DG343" s="31"/>
      <c r="DH343" s="31"/>
      <c r="DI343" s="31"/>
      <c r="DJ343" s="31"/>
      <c r="DK343" s="31"/>
      <c r="DL343" s="31"/>
      <c r="DM343" s="31"/>
      <c r="DN343" s="31"/>
      <c r="DO343" s="31"/>
      <c r="DP343" s="31"/>
      <c r="DQ343" s="31"/>
      <c r="DR343" s="31"/>
      <c r="DS343" s="31"/>
      <c r="DT343" s="31"/>
      <c r="DU343" s="31"/>
      <c r="DV343" s="31"/>
      <c r="DW343" s="31"/>
      <c r="DX343" s="31"/>
      <c r="DY343" s="31"/>
      <c r="DZ343" s="31"/>
      <c r="EA343" s="31"/>
      <c r="EB343" s="31"/>
      <c r="EC343" s="31"/>
      <c r="ED343" s="31"/>
      <c r="EE343" s="31"/>
      <c r="EF343" s="31"/>
      <c r="EG343" s="31"/>
      <c r="EH343" s="31"/>
      <c r="EI343" s="31"/>
      <c r="EJ343" s="31"/>
      <c r="EK343" s="31"/>
      <c r="EL343" s="31"/>
      <c r="EM343" s="31"/>
      <c r="EN343" s="31"/>
      <c r="EO343" s="31"/>
      <c r="EP343" s="31"/>
      <c r="EQ343" s="31"/>
      <c r="ER343" s="31"/>
      <c r="ES343" s="31"/>
      <c r="ET343" s="31"/>
      <c r="EU343" s="31"/>
      <c r="EV343" s="31"/>
      <c r="EW343" s="31"/>
      <c r="EX343" s="31"/>
      <c r="EY343" s="31"/>
      <c r="EZ343" s="31"/>
      <c r="FA343" s="31"/>
      <c r="FB343" s="31"/>
      <c r="FC343" s="31"/>
      <c r="FD343" s="31"/>
      <c r="FE343" s="31"/>
      <c r="FF343" s="31"/>
      <c r="FG343" s="31"/>
      <c r="FH343" s="31"/>
      <c r="FI343" s="31"/>
      <c r="FJ343" s="31"/>
      <c r="FK343" s="31"/>
      <c r="FL343" s="31"/>
      <c r="FM343" s="31"/>
      <c r="FN343" s="31"/>
      <c r="FO343" s="31"/>
      <c r="FP343" s="31"/>
      <c r="FQ343" s="31"/>
      <c r="FR343" s="31"/>
      <c r="FS343" s="31"/>
      <c r="FT343" s="31"/>
      <c r="FU343" s="31"/>
      <c r="FV343" s="31"/>
      <c r="FW343" s="31"/>
      <c r="FX343" s="31"/>
      <c r="FY343" s="31"/>
      <c r="FZ343" s="31"/>
      <c r="GA343" s="31"/>
      <c r="GB343" s="31"/>
      <c r="GC343" s="31"/>
      <c r="GD343" s="31"/>
      <c r="GE343" s="31"/>
      <c r="GF343" s="31"/>
      <c r="GG343" s="31"/>
      <c r="GH343" s="31"/>
    </row>
    <row r="344" spans="1:190" ht="15.75" customHeight="1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>
        <v>342</v>
      </c>
      <c r="U344" s="31" t="s">
        <v>187</v>
      </c>
      <c r="V344" s="31" t="s">
        <v>194</v>
      </c>
      <c r="W344" s="31" t="s">
        <v>195</v>
      </c>
      <c r="X344" s="31" t="s">
        <v>2362</v>
      </c>
      <c r="Y344" s="31" t="s">
        <v>2363</v>
      </c>
      <c r="Z344" s="31" t="s">
        <v>2364</v>
      </c>
      <c r="AA344" s="32" t="s">
        <v>286</v>
      </c>
      <c r="AB344" s="32" t="s">
        <v>419</v>
      </c>
      <c r="AC344" s="32" t="s">
        <v>675</v>
      </c>
      <c r="AD344" s="31" t="s">
        <v>1134</v>
      </c>
      <c r="AE344" s="31" t="s">
        <v>1898</v>
      </c>
      <c r="AF344" s="31" t="s">
        <v>640</v>
      </c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  <c r="DT344" s="31"/>
      <c r="DU344" s="31"/>
      <c r="DV344" s="31"/>
      <c r="DW344" s="31"/>
      <c r="DX344" s="31"/>
      <c r="DY344" s="31"/>
      <c r="DZ344" s="31"/>
      <c r="EA344" s="31"/>
      <c r="EB344" s="31"/>
      <c r="EC344" s="31"/>
      <c r="ED344" s="31"/>
      <c r="EE344" s="31"/>
      <c r="EF344" s="31"/>
      <c r="EG344" s="31"/>
      <c r="EH344" s="31"/>
      <c r="EI344" s="31"/>
      <c r="EJ344" s="31"/>
      <c r="EK344" s="31"/>
      <c r="EL344" s="31"/>
      <c r="EM344" s="31"/>
      <c r="EN344" s="31"/>
      <c r="EO344" s="31"/>
      <c r="EP344" s="31"/>
      <c r="EQ344" s="31"/>
      <c r="ER344" s="31"/>
      <c r="ES344" s="31"/>
      <c r="ET344" s="31"/>
      <c r="EU344" s="31"/>
      <c r="EV344" s="31"/>
      <c r="EW344" s="31"/>
      <c r="EX344" s="31"/>
      <c r="EY344" s="31"/>
      <c r="EZ344" s="31"/>
      <c r="FA344" s="31"/>
      <c r="FB344" s="31"/>
      <c r="FC344" s="31"/>
      <c r="FD344" s="31"/>
      <c r="FE344" s="31"/>
      <c r="FF344" s="31"/>
      <c r="FG344" s="31"/>
      <c r="FH344" s="31"/>
      <c r="FI344" s="31"/>
      <c r="FJ344" s="31"/>
      <c r="FK344" s="31"/>
      <c r="FL344" s="31"/>
      <c r="FM344" s="31"/>
      <c r="FN344" s="31"/>
      <c r="FO344" s="31"/>
      <c r="FP344" s="31"/>
      <c r="FQ344" s="31"/>
      <c r="FR344" s="31"/>
      <c r="FS344" s="31"/>
      <c r="FT344" s="31"/>
      <c r="FU344" s="31"/>
      <c r="FV344" s="31"/>
      <c r="FW344" s="31"/>
      <c r="FX344" s="31"/>
      <c r="FY344" s="31"/>
      <c r="FZ344" s="31"/>
      <c r="GA344" s="31"/>
      <c r="GB344" s="31"/>
      <c r="GC344" s="31"/>
      <c r="GD344" s="31"/>
      <c r="GE344" s="31"/>
      <c r="GF344" s="31"/>
      <c r="GG344" s="31"/>
      <c r="GH344" s="31"/>
    </row>
    <row r="345" spans="1:190" ht="15.75" customHeight="1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>
        <v>343</v>
      </c>
      <c r="U345" s="31" t="s">
        <v>287</v>
      </c>
      <c r="V345" s="31" t="s">
        <v>595</v>
      </c>
      <c r="W345" s="31" t="s">
        <v>807</v>
      </c>
      <c r="X345" s="31" t="s">
        <v>2365</v>
      </c>
      <c r="Y345" s="31" t="s">
        <v>2366</v>
      </c>
      <c r="Z345" s="31" t="s">
        <v>2367</v>
      </c>
      <c r="AA345" s="32" t="s">
        <v>359</v>
      </c>
      <c r="AB345" s="32" t="s">
        <v>598</v>
      </c>
      <c r="AC345" s="32" t="s">
        <v>808</v>
      </c>
      <c r="AD345" s="31" t="s">
        <v>823</v>
      </c>
      <c r="AE345" s="31" t="s">
        <v>303</v>
      </c>
      <c r="AF345" s="31" t="s">
        <v>824</v>
      </c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  <c r="DI345" s="31"/>
      <c r="DJ345" s="31"/>
      <c r="DK345" s="31"/>
      <c r="DL345" s="31"/>
      <c r="DM345" s="31"/>
      <c r="DN345" s="31"/>
      <c r="DO345" s="31"/>
      <c r="DP345" s="31"/>
      <c r="DQ345" s="31"/>
      <c r="DR345" s="31"/>
      <c r="DS345" s="31"/>
      <c r="DT345" s="31"/>
      <c r="DU345" s="31"/>
      <c r="DV345" s="31"/>
      <c r="DW345" s="31"/>
      <c r="DX345" s="31"/>
      <c r="DY345" s="31"/>
      <c r="DZ345" s="31"/>
      <c r="EA345" s="31"/>
      <c r="EB345" s="31"/>
      <c r="EC345" s="31"/>
      <c r="ED345" s="31"/>
      <c r="EE345" s="31"/>
      <c r="EF345" s="31"/>
      <c r="EG345" s="31"/>
      <c r="EH345" s="31"/>
      <c r="EI345" s="31"/>
      <c r="EJ345" s="31"/>
      <c r="EK345" s="31"/>
      <c r="EL345" s="31"/>
      <c r="EM345" s="31"/>
      <c r="EN345" s="31"/>
      <c r="EO345" s="31"/>
      <c r="EP345" s="31"/>
      <c r="EQ345" s="31"/>
      <c r="ER345" s="31"/>
      <c r="ES345" s="31"/>
      <c r="ET345" s="31"/>
      <c r="EU345" s="31"/>
      <c r="EV345" s="31"/>
      <c r="EW345" s="31"/>
      <c r="EX345" s="31"/>
      <c r="EY345" s="31"/>
      <c r="EZ345" s="31"/>
      <c r="FA345" s="31"/>
      <c r="FB345" s="31"/>
      <c r="FC345" s="31"/>
      <c r="FD345" s="31"/>
      <c r="FE345" s="31"/>
      <c r="FF345" s="31"/>
      <c r="FG345" s="31"/>
      <c r="FH345" s="31"/>
      <c r="FI345" s="31"/>
      <c r="FJ345" s="31"/>
      <c r="FK345" s="31"/>
      <c r="FL345" s="31"/>
      <c r="FM345" s="31"/>
      <c r="FN345" s="31"/>
      <c r="FO345" s="31"/>
      <c r="FP345" s="31"/>
      <c r="FQ345" s="31"/>
      <c r="FR345" s="31"/>
      <c r="FS345" s="31"/>
      <c r="FT345" s="31"/>
      <c r="FU345" s="31"/>
      <c r="FV345" s="31"/>
      <c r="FW345" s="31"/>
      <c r="FX345" s="31"/>
      <c r="FY345" s="31"/>
      <c r="FZ345" s="31"/>
      <c r="GA345" s="31"/>
      <c r="GB345" s="31"/>
      <c r="GC345" s="31"/>
      <c r="GD345" s="31"/>
      <c r="GE345" s="31"/>
      <c r="GF345" s="31"/>
      <c r="GG345" s="31"/>
      <c r="GH345" s="31"/>
    </row>
    <row r="346" spans="1:190" ht="15.75" customHeight="1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>
        <v>344</v>
      </c>
      <c r="U346" s="31" t="s">
        <v>194</v>
      </c>
      <c r="V346" s="31" t="s">
        <v>729</v>
      </c>
      <c r="W346" s="31" t="s">
        <v>730</v>
      </c>
      <c r="X346" s="31" t="s">
        <v>2368</v>
      </c>
      <c r="Y346" s="31" t="s">
        <v>2369</v>
      </c>
      <c r="Z346" s="31" t="s">
        <v>417</v>
      </c>
      <c r="AA346" s="32" t="s">
        <v>202</v>
      </c>
      <c r="AB346" s="32" t="s">
        <v>736</v>
      </c>
      <c r="AC346" s="32" t="s">
        <v>737</v>
      </c>
      <c r="AD346" s="31" t="s">
        <v>303</v>
      </c>
      <c r="AE346" s="31"/>
      <c r="AF346" s="31" t="s">
        <v>738</v>
      </c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  <c r="DT346" s="31"/>
      <c r="DU346" s="31"/>
      <c r="DV346" s="31"/>
      <c r="DW346" s="31"/>
      <c r="DX346" s="31"/>
      <c r="DY346" s="31"/>
      <c r="DZ346" s="31"/>
      <c r="EA346" s="31"/>
      <c r="EB346" s="31"/>
      <c r="EC346" s="31"/>
      <c r="ED346" s="31"/>
      <c r="EE346" s="31"/>
      <c r="EF346" s="31"/>
      <c r="EG346" s="31"/>
      <c r="EH346" s="31"/>
      <c r="EI346" s="31"/>
      <c r="EJ346" s="31"/>
      <c r="EK346" s="31"/>
      <c r="EL346" s="31"/>
      <c r="EM346" s="31"/>
      <c r="EN346" s="31"/>
      <c r="EO346" s="31"/>
      <c r="EP346" s="31"/>
      <c r="EQ346" s="31"/>
      <c r="ER346" s="31"/>
      <c r="ES346" s="31"/>
      <c r="ET346" s="31"/>
      <c r="EU346" s="31"/>
      <c r="EV346" s="31"/>
      <c r="EW346" s="31"/>
      <c r="EX346" s="31"/>
      <c r="EY346" s="31"/>
      <c r="EZ346" s="31"/>
      <c r="FA346" s="31"/>
      <c r="FB346" s="31"/>
      <c r="FC346" s="31"/>
      <c r="FD346" s="31"/>
      <c r="FE346" s="31"/>
      <c r="FF346" s="31"/>
      <c r="FG346" s="31"/>
      <c r="FH346" s="31"/>
      <c r="FI346" s="31"/>
      <c r="FJ346" s="31"/>
      <c r="FK346" s="31"/>
      <c r="FL346" s="31"/>
      <c r="FM346" s="31"/>
      <c r="FN346" s="31"/>
      <c r="FO346" s="31"/>
      <c r="FP346" s="31"/>
      <c r="FQ346" s="31"/>
      <c r="FR346" s="31"/>
      <c r="FS346" s="31"/>
      <c r="FT346" s="31"/>
      <c r="FU346" s="31"/>
      <c r="FV346" s="31"/>
      <c r="FW346" s="31"/>
      <c r="FX346" s="31"/>
      <c r="FY346" s="31"/>
      <c r="FZ346" s="31"/>
      <c r="GA346" s="31"/>
      <c r="GB346" s="31"/>
      <c r="GC346" s="31"/>
      <c r="GD346" s="31"/>
      <c r="GE346" s="31"/>
      <c r="GF346" s="31"/>
      <c r="GG346" s="31"/>
      <c r="GH346" s="31"/>
    </row>
    <row r="347" spans="1:190" ht="15.75" customHeight="1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>
        <v>345</v>
      </c>
      <c r="U347" s="31" t="s">
        <v>187</v>
      </c>
      <c r="V347" s="31" t="s">
        <v>287</v>
      </c>
      <c r="W347" s="31" t="s">
        <v>469</v>
      </c>
      <c r="X347" s="31" t="s">
        <v>2370</v>
      </c>
      <c r="Y347" s="31" t="s">
        <v>2371</v>
      </c>
      <c r="Z347" s="31" t="s">
        <v>2372</v>
      </c>
      <c r="AA347" s="32" t="s">
        <v>286</v>
      </c>
      <c r="AB347" s="32" t="s">
        <v>290</v>
      </c>
      <c r="AC347" s="32" t="s">
        <v>473</v>
      </c>
      <c r="AD347" s="31" t="s">
        <v>1102</v>
      </c>
      <c r="AE347" s="31" t="s">
        <v>303</v>
      </c>
      <c r="AF347" s="31" t="s">
        <v>539</v>
      </c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  <c r="DI347" s="31"/>
      <c r="DJ347" s="31"/>
      <c r="DK347" s="31"/>
      <c r="DL347" s="31"/>
      <c r="DM347" s="31"/>
      <c r="DN347" s="31"/>
      <c r="DO347" s="31"/>
      <c r="DP347" s="31"/>
      <c r="DQ347" s="31"/>
      <c r="DR347" s="31"/>
      <c r="DS347" s="31"/>
      <c r="DT347" s="31"/>
      <c r="DU347" s="31"/>
      <c r="DV347" s="31"/>
      <c r="DW347" s="31"/>
      <c r="DX347" s="31"/>
      <c r="DY347" s="31"/>
      <c r="DZ347" s="31"/>
      <c r="EA347" s="31"/>
      <c r="EB347" s="31"/>
      <c r="EC347" s="31"/>
      <c r="ED347" s="31"/>
      <c r="EE347" s="31"/>
      <c r="EF347" s="31"/>
      <c r="EG347" s="31"/>
      <c r="EH347" s="31"/>
      <c r="EI347" s="31"/>
      <c r="EJ347" s="31"/>
      <c r="EK347" s="31"/>
      <c r="EL347" s="31"/>
      <c r="EM347" s="31"/>
      <c r="EN347" s="31"/>
      <c r="EO347" s="31"/>
      <c r="EP347" s="31"/>
      <c r="EQ347" s="31"/>
      <c r="ER347" s="31"/>
      <c r="ES347" s="31"/>
      <c r="ET347" s="31"/>
      <c r="EU347" s="31"/>
      <c r="EV347" s="31"/>
      <c r="EW347" s="31"/>
      <c r="EX347" s="31"/>
      <c r="EY347" s="31"/>
      <c r="EZ347" s="31"/>
      <c r="FA347" s="31"/>
      <c r="FB347" s="31"/>
      <c r="FC347" s="31"/>
      <c r="FD347" s="31"/>
      <c r="FE347" s="31"/>
      <c r="FF347" s="31"/>
      <c r="FG347" s="31"/>
      <c r="FH347" s="31"/>
      <c r="FI347" s="31"/>
      <c r="FJ347" s="31"/>
      <c r="FK347" s="31"/>
      <c r="FL347" s="31"/>
      <c r="FM347" s="31"/>
      <c r="FN347" s="31"/>
      <c r="FO347" s="31"/>
      <c r="FP347" s="31"/>
      <c r="FQ347" s="31"/>
      <c r="FR347" s="31"/>
      <c r="FS347" s="31"/>
      <c r="FT347" s="31"/>
      <c r="FU347" s="31"/>
      <c r="FV347" s="31"/>
      <c r="FW347" s="31"/>
      <c r="FX347" s="31"/>
      <c r="FY347" s="31"/>
      <c r="FZ347" s="31"/>
      <c r="GA347" s="31"/>
      <c r="GB347" s="31"/>
      <c r="GC347" s="31"/>
      <c r="GD347" s="31"/>
      <c r="GE347" s="31"/>
      <c r="GF347" s="31"/>
      <c r="GG347" s="31"/>
      <c r="GH347" s="31"/>
    </row>
    <row r="348" spans="1:190" ht="15.75" customHeight="1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>
        <v>346</v>
      </c>
      <c r="U348" s="31" t="s">
        <v>187</v>
      </c>
      <c r="V348" s="31" t="s">
        <v>194</v>
      </c>
      <c r="W348" s="31" t="s">
        <v>724</v>
      </c>
      <c r="X348" s="31" t="s">
        <v>2373</v>
      </c>
      <c r="Y348" s="31" t="s">
        <v>2374</v>
      </c>
      <c r="Z348" s="31" t="s">
        <v>2375</v>
      </c>
      <c r="AA348" s="32" t="s">
        <v>286</v>
      </c>
      <c r="AB348" s="32" t="s">
        <v>419</v>
      </c>
      <c r="AC348" s="32" t="s">
        <v>728</v>
      </c>
      <c r="AD348" s="31" t="s">
        <v>872</v>
      </c>
      <c r="AE348" s="31" t="s">
        <v>303</v>
      </c>
      <c r="AF348" s="31" t="s">
        <v>873</v>
      </c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  <c r="DI348" s="31"/>
      <c r="DJ348" s="31"/>
      <c r="DK348" s="31"/>
      <c r="DL348" s="31"/>
      <c r="DM348" s="31"/>
      <c r="DN348" s="31"/>
      <c r="DO348" s="31"/>
      <c r="DP348" s="31"/>
      <c r="DQ348" s="31"/>
      <c r="DR348" s="31"/>
      <c r="DS348" s="31"/>
      <c r="DT348" s="31"/>
      <c r="DU348" s="31"/>
      <c r="DV348" s="31"/>
      <c r="DW348" s="31"/>
      <c r="DX348" s="31"/>
      <c r="DY348" s="31"/>
      <c r="DZ348" s="31"/>
      <c r="EA348" s="31"/>
      <c r="EB348" s="31"/>
      <c r="EC348" s="31"/>
      <c r="ED348" s="31"/>
      <c r="EE348" s="31"/>
      <c r="EF348" s="31"/>
      <c r="EG348" s="31"/>
      <c r="EH348" s="31"/>
      <c r="EI348" s="31"/>
      <c r="EJ348" s="31"/>
      <c r="EK348" s="31"/>
      <c r="EL348" s="31"/>
      <c r="EM348" s="31"/>
      <c r="EN348" s="31"/>
      <c r="EO348" s="31"/>
      <c r="EP348" s="31"/>
      <c r="EQ348" s="31"/>
      <c r="ER348" s="31"/>
      <c r="ES348" s="31"/>
      <c r="ET348" s="31"/>
      <c r="EU348" s="31"/>
      <c r="EV348" s="31"/>
      <c r="EW348" s="31"/>
      <c r="EX348" s="31"/>
      <c r="EY348" s="31"/>
      <c r="EZ348" s="31"/>
      <c r="FA348" s="31"/>
      <c r="FB348" s="31"/>
      <c r="FC348" s="31"/>
      <c r="FD348" s="31"/>
      <c r="FE348" s="31"/>
      <c r="FF348" s="31"/>
      <c r="FG348" s="31"/>
      <c r="FH348" s="31"/>
      <c r="FI348" s="31"/>
      <c r="FJ348" s="31"/>
      <c r="FK348" s="31"/>
      <c r="FL348" s="31"/>
      <c r="FM348" s="31"/>
      <c r="FN348" s="31"/>
      <c r="FO348" s="31"/>
      <c r="FP348" s="31"/>
      <c r="FQ348" s="31"/>
      <c r="FR348" s="31"/>
      <c r="FS348" s="31"/>
      <c r="FT348" s="31"/>
      <c r="FU348" s="31"/>
      <c r="FV348" s="31"/>
      <c r="FW348" s="31"/>
      <c r="FX348" s="31"/>
      <c r="FY348" s="31"/>
      <c r="FZ348" s="31"/>
      <c r="GA348" s="31"/>
      <c r="GB348" s="31"/>
      <c r="GC348" s="31"/>
      <c r="GD348" s="31"/>
      <c r="GE348" s="31"/>
      <c r="GF348" s="31"/>
      <c r="GG348" s="31"/>
      <c r="GH348" s="31"/>
    </row>
    <row r="349" spans="1:190" ht="15.75" customHeight="1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>
        <v>347</v>
      </c>
      <c r="U349" s="31" t="s">
        <v>187</v>
      </c>
      <c r="V349" s="31" t="s">
        <v>520</v>
      </c>
      <c r="W349" s="31" t="s">
        <v>767</v>
      </c>
      <c r="X349" s="31" t="s">
        <v>2376</v>
      </c>
      <c r="Y349" s="31" t="s">
        <v>2377</v>
      </c>
      <c r="Z349" s="31" t="s">
        <v>2378</v>
      </c>
      <c r="AA349" s="32" t="s">
        <v>286</v>
      </c>
      <c r="AB349" s="32" t="s">
        <v>521</v>
      </c>
      <c r="AC349" s="32" t="s">
        <v>768</v>
      </c>
      <c r="AD349" s="31" t="s">
        <v>303</v>
      </c>
      <c r="AE349" s="31"/>
      <c r="AF349" s="31" t="s">
        <v>853</v>
      </c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  <c r="DI349" s="31"/>
      <c r="DJ349" s="31"/>
      <c r="DK349" s="31"/>
      <c r="DL349" s="31"/>
      <c r="DM349" s="31"/>
      <c r="DN349" s="31"/>
      <c r="DO349" s="31"/>
      <c r="DP349" s="31"/>
      <c r="DQ349" s="31"/>
      <c r="DR349" s="31"/>
      <c r="DS349" s="31"/>
      <c r="DT349" s="31"/>
      <c r="DU349" s="31"/>
      <c r="DV349" s="31"/>
      <c r="DW349" s="31"/>
      <c r="DX349" s="31"/>
      <c r="DY349" s="31"/>
      <c r="DZ349" s="31"/>
      <c r="EA349" s="31"/>
      <c r="EB349" s="31"/>
      <c r="EC349" s="31"/>
      <c r="ED349" s="31"/>
      <c r="EE349" s="31"/>
      <c r="EF349" s="31"/>
      <c r="EG349" s="31"/>
      <c r="EH349" s="31"/>
      <c r="EI349" s="31"/>
      <c r="EJ349" s="31"/>
      <c r="EK349" s="31"/>
      <c r="EL349" s="31"/>
      <c r="EM349" s="31"/>
      <c r="EN349" s="31"/>
      <c r="EO349" s="31"/>
      <c r="EP349" s="31"/>
      <c r="EQ349" s="31"/>
      <c r="ER349" s="31"/>
      <c r="ES349" s="31"/>
      <c r="ET349" s="31"/>
      <c r="EU349" s="31"/>
      <c r="EV349" s="31"/>
      <c r="EW349" s="31"/>
      <c r="EX349" s="31"/>
      <c r="EY349" s="31"/>
      <c r="EZ349" s="31"/>
      <c r="FA349" s="31"/>
      <c r="FB349" s="31"/>
      <c r="FC349" s="31"/>
      <c r="FD349" s="31"/>
      <c r="FE349" s="31"/>
      <c r="FF349" s="31"/>
      <c r="FG349" s="31"/>
      <c r="FH349" s="31"/>
      <c r="FI349" s="31"/>
      <c r="FJ349" s="31"/>
      <c r="FK349" s="31"/>
      <c r="FL349" s="31"/>
      <c r="FM349" s="31"/>
      <c r="FN349" s="31"/>
      <c r="FO349" s="31"/>
      <c r="FP349" s="31"/>
      <c r="FQ349" s="31"/>
      <c r="FR349" s="31"/>
      <c r="FS349" s="31"/>
      <c r="FT349" s="31"/>
      <c r="FU349" s="31"/>
      <c r="FV349" s="31"/>
      <c r="FW349" s="31"/>
      <c r="FX349" s="31"/>
      <c r="FY349" s="31"/>
      <c r="FZ349" s="31"/>
      <c r="GA349" s="31"/>
      <c r="GB349" s="31"/>
      <c r="GC349" s="31"/>
      <c r="GD349" s="31"/>
      <c r="GE349" s="31"/>
      <c r="GF349" s="31"/>
      <c r="GG349" s="31"/>
      <c r="GH349" s="31"/>
    </row>
    <row r="350" spans="1:190" ht="15.75" customHeight="1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>
        <v>348</v>
      </c>
      <c r="U350" s="31" t="s">
        <v>360</v>
      </c>
      <c r="V350" s="31" t="s">
        <v>647</v>
      </c>
      <c r="W350" s="31" t="s">
        <v>848</v>
      </c>
      <c r="X350" s="31" t="s">
        <v>2379</v>
      </c>
      <c r="Y350" s="31" t="s">
        <v>2380</v>
      </c>
      <c r="Z350" s="31" t="s">
        <v>2381</v>
      </c>
      <c r="AA350" s="32" t="s">
        <v>418</v>
      </c>
      <c r="AB350" s="32" t="s">
        <v>648</v>
      </c>
      <c r="AC350" s="32" t="s">
        <v>849</v>
      </c>
      <c r="AD350" s="31" t="s">
        <v>303</v>
      </c>
      <c r="AE350" s="31"/>
      <c r="AF350" s="31" t="s">
        <v>1152</v>
      </c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  <c r="DT350" s="31"/>
      <c r="DU350" s="31"/>
      <c r="DV350" s="31"/>
      <c r="DW350" s="31"/>
      <c r="DX350" s="31"/>
      <c r="DY350" s="31"/>
      <c r="DZ350" s="31"/>
      <c r="EA350" s="31"/>
      <c r="EB350" s="31"/>
      <c r="EC350" s="31"/>
      <c r="ED350" s="31"/>
      <c r="EE350" s="31"/>
      <c r="EF350" s="31"/>
      <c r="EG350" s="31"/>
      <c r="EH350" s="31"/>
      <c r="EI350" s="31"/>
      <c r="EJ350" s="31"/>
      <c r="EK350" s="31"/>
      <c r="EL350" s="31"/>
      <c r="EM350" s="31"/>
      <c r="EN350" s="31"/>
      <c r="EO350" s="31"/>
      <c r="EP350" s="31"/>
      <c r="EQ350" s="31"/>
      <c r="ER350" s="31"/>
      <c r="ES350" s="31"/>
      <c r="ET350" s="31"/>
      <c r="EU350" s="31"/>
      <c r="EV350" s="31"/>
      <c r="EW350" s="31"/>
      <c r="EX350" s="31"/>
      <c r="EY350" s="31"/>
      <c r="EZ350" s="31"/>
      <c r="FA350" s="31"/>
      <c r="FB350" s="31"/>
      <c r="FC350" s="31"/>
      <c r="FD350" s="31"/>
      <c r="FE350" s="31"/>
      <c r="FF350" s="31"/>
      <c r="FG350" s="31"/>
      <c r="FH350" s="31"/>
      <c r="FI350" s="31"/>
      <c r="FJ350" s="31"/>
      <c r="FK350" s="31"/>
      <c r="FL350" s="31"/>
      <c r="FM350" s="31"/>
      <c r="FN350" s="31"/>
      <c r="FO350" s="31"/>
      <c r="FP350" s="31"/>
      <c r="FQ350" s="31"/>
      <c r="FR350" s="31"/>
      <c r="FS350" s="31"/>
      <c r="FT350" s="31"/>
      <c r="FU350" s="31"/>
      <c r="FV350" s="31"/>
      <c r="FW350" s="31"/>
      <c r="FX350" s="31"/>
      <c r="FY350" s="31"/>
      <c r="FZ350" s="31"/>
      <c r="GA350" s="31"/>
      <c r="GB350" s="31"/>
      <c r="GC350" s="31"/>
      <c r="GD350" s="31"/>
      <c r="GE350" s="31"/>
      <c r="GF350" s="31"/>
      <c r="GG350" s="31"/>
      <c r="GH350" s="31"/>
    </row>
    <row r="351" spans="1:190" ht="15.75" customHeight="1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>
        <v>349</v>
      </c>
      <c r="U351" s="31" t="s">
        <v>187</v>
      </c>
      <c r="V351" s="31" t="s">
        <v>194</v>
      </c>
      <c r="W351" s="31" t="s">
        <v>294</v>
      </c>
      <c r="X351" s="31" t="s">
        <v>2382</v>
      </c>
      <c r="Y351" s="31" t="s">
        <v>2383</v>
      </c>
      <c r="Z351" s="31" t="s">
        <v>2384</v>
      </c>
      <c r="AA351" s="32" t="s">
        <v>286</v>
      </c>
      <c r="AB351" s="32" t="s">
        <v>419</v>
      </c>
      <c r="AC351" s="32" t="s">
        <v>698</v>
      </c>
      <c r="AD351" s="31" t="s">
        <v>834</v>
      </c>
      <c r="AE351" s="31" t="s">
        <v>303</v>
      </c>
      <c r="AF351" s="31" t="s">
        <v>786</v>
      </c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1"/>
      <c r="DD351" s="31"/>
      <c r="DE351" s="31"/>
      <c r="DF351" s="31"/>
      <c r="DG351" s="31"/>
      <c r="DH351" s="31"/>
      <c r="DI351" s="31"/>
      <c r="DJ351" s="31"/>
      <c r="DK351" s="31"/>
      <c r="DL351" s="31"/>
      <c r="DM351" s="31"/>
      <c r="DN351" s="31"/>
      <c r="DO351" s="31"/>
      <c r="DP351" s="31"/>
      <c r="DQ351" s="31"/>
      <c r="DR351" s="31"/>
      <c r="DS351" s="31"/>
      <c r="DT351" s="31"/>
      <c r="DU351" s="31"/>
      <c r="DV351" s="31"/>
      <c r="DW351" s="31"/>
      <c r="DX351" s="31"/>
      <c r="DY351" s="31"/>
      <c r="DZ351" s="31"/>
      <c r="EA351" s="31"/>
      <c r="EB351" s="31"/>
      <c r="EC351" s="31"/>
      <c r="ED351" s="31"/>
      <c r="EE351" s="31"/>
      <c r="EF351" s="31"/>
      <c r="EG351" s="31"/>
      <c r="EH351" s="31"/>
      <c r="EI351" s="31"/>
      <c r="EJ351" s="31"/>
      <c r="EK351" s="31"/>
      <c r="EL351" s="31"/>
      <c r="EM351" s="31"/>
      <c r="EN351" s="31"/>
      <c r="EO351" s="31"/>
      <c r="EP351" s="31"/>
      <c r="EQ351" s="31"/>
      <c r="ER351" s="31"/>
      <c r="ES351" s="31"/>
      <c r="ET351" s="31"/>
      <c r="EU351" s="31"/>
      <c r="EV351" s="31"/>
      <c r="EW351" s="31"/>
      <c r="EX351" s="31"/>
      <c r="EY351" s="31"/>
      <c r="EZ351" s="31"/>
      <c r="FA351" s="31"/>
      <c r="FB351" s="31"/>
      <c r="FC351" s="31"/>
      <c r="FD351" s="31"/>
      <c r="FE351" s="31"/>
      <c r="FF351" s="31"/>
      <c r="FG351" s="31"/>
      <c r="FH351" s="31"/>
      <c r="FI351" s="31"/>
      <c r="FJ351" s="31"/>
      <c r="FK351" s="31"/>
      <c r="FL351" s="31"/>
      <c r="FM351" s="31"/>
      <c r="FN351" s="31"/>
      <c r="FO351" s="31"/>
      <c r="FP351" s="31"/>
      <c r="FQ351" s="31"/>
      <c r="FR351" s="31"/>
      <c r="FS351" s="31"/>
      <c r="FT351" s="31"/>
      <c r="FU351" s="31"/>
      <c r="FV351" s="31"/>
      <c r="FW351" s="31"/>
      <c r="FX351" s="31"/>
      <c r="FY351" s="31"/>
      <c r="FZ351" s="31"/>
      <c r="GA351" s="31"/>
      <c r="GB351" s="31"/>
      <c r="GC351" s="31"/>
      <c r="GD351" s="31"/>
      <c r="GE351" s="31"/>
      <c r="GF351" s="31"/>
      <c r="GG351" s="31"/>
      <c r="GH351" s="31"/>
    </row>
    <row r="352" spans="1:190" ht="15.75" customHeight="1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>
        <v>350</v>
      </c>
      <c r="U352" s="31" t="s">
        <v>187</v>
      </c>
      <c r="V352" s="31" t="s">
        <v>287</v>
      </c>
      <c r="W352" s="31" t="s">
        <v>595</v>
      </c>
      <c r="X352" s="31" t="s">
        <v>2385</v>
      </c>
      <c r="Y352" s="31" t="s">
        <v>2386</v>
      </c>
      <c r="Z352" s="31" t="s">
        <v>2387</v>
      </c>
      <c r="AA352" s="32" t="s">
        <v>286</v>
      </c>
      <c r="AB352" s="32" t="s">
        <v>290</v>
      </c>
      <c r="AC352" s="32" t="s">
        <v>599</v>
      </c>
      <c r="AD352" s="31" t="s">
        <v>303</v>
      </c>
      <c r="AE352" s="31"/>
      <c r="AF352" s="31" t="s">
        <v>1051</v>
      </c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  <c r="DT352" s="31"/>
      <c r="DU352" s="31"/>
      <c r="DV352" s="31"/>
      <c r="DW352" s="31"/>
      <c r="DX352" s="31"/>
      <c r="DY352" s="31"/>
      <c r="DZ352" s="31"/>
      <c r="EA352" s="31"/>
      <c r="EB352" s="31"/>
      <c r="EC352" s="31"/>
      <c r="ED352" s="31"/>
      <c r="EE352" s="31"/>
      <c r="EF352" s="31"/>
      <c r="EG352" s="31"/>
      <c r="EH352" s="31"/>
      <c r="EI352" s="31"/>
      <c r="EJ352" s="31"/>
      <c r="EK352" s="31"/>
      <c r="EL352" s="31"/>
      <c r="EM352" s="31"/>
      <c r="EN352" s="31"/>
      <c r="EO352" s="31"/>
      <c r="EP352" s="31"/>
      <c r="EQ352" s="31"/>
      <c r="ER352" s="31"/>
      <c r="ES352" s="31"/>
      <c r="ET352" s="31"/>
      <c r="EU352" s="31"/>
      <c r="EV352" s="31"/>
      <c r="EW352" s="31"/>
      <c r="EX352" s="31"/>
      <c r="EY352" s="31"/>
      <c r="EZ352" s="31"/>
      <c r="FA352" s="31"/>
      <c r="FB352" s="31"/>
      <c r="FC352" s="31"/>
      <c r="FD352" s="31"/>
      <c r="FE352" s="31"/>
      <c r="FF352" s="31"/>
      <c r="FG352" s="31"/>
      <c r="FH352" s="31"/>
      <c r="FI352" s="31"/>
      <c r="FJ352" s="31"/>
      <c r="FK352" s="31"/>
      <c r="FL352" s="31"/>
      <c r="FM352" s="31"/>
      <c r="FN352" s="31"/>
      <c r="FO352" s="31"/>
      <c r="FP352" s="31"/>
      <c r="FQ352" s="31"/>
      <c r="FR352" s="31"/>
      <c r="FS352" s="31"/>
      <c r="FT352" s="31"/>
      <c r="FU352" s="31"/>
      <c r="FV352" s="31"/>
      <c r="FW352" s="31"/>
      <c r="FX352" s="31"/>
      <c r="FY352" s="31"/>
      <c r="FZ352" s="31"/>
      <c r="GA352" s="31"/>
      <c r="GB352" s="31"/>
      <c r="GC352" s="31"/>
      <c r="GD352" s="31"/>
      <c r="GE352" s="31"/>
      <c r="GF352" s="31"/>
      <c r="GG352" s="31"/>
      <c r="GH352" s="31"/>
    </row>
    <row r="353" spans="1:190" ht="15.75" customHeight="1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>
        <v>351</v>
      </c>
      <c r="U353" s="31" t="s">
        <v>187</v>
      </c>
      <c r="V353" s="31" t="s">
        <v>520</v>
      </c>
      <c r="W353" s="31" t="s">
        <v>767</v>
      </c>
      <c r="X353" s="31" t="s">
        <v>2388</v>
      </c>
      <c r="Y353" s="31" t="s">
        <v>2389</v>
      </c>
      <c r="Z353" s="31" t="s">
        <v>2390</v>
      </c>
      <c r="AA353" s="32" t="s">
        <v>286</v>
      </c>
      <c r="AB353" s="32" t="s">
        <v>521</v>
      </c>
      <c r="AC353" s="32" t="s">
        <v>768</v>
      </c>
      <c r="AD353" s="31" t="s">
        <v>1468</v>
      </c>
      <c r="AE353" s="31" t="s">
        <v>303</v>
      </c>
      <c r="AF353" s="31" t="s">
        <v>853</v>
      </c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  <c r="DT353" s="31"/>
      <c r="DU353" s="31"/>
      <c r="DV353" s="31"/>
      <c r="DW353" s="31"/>
      <c r="DX353" s="31"/>
      <c r="DY353" s="31"/>
      <c r="DZ353" s="31"/>
      <c r="EA353" s="31"/>
      <c r="EB353" s="31"/>
      <c r="EC353" s="31"/>
      <c r="ED353" s="31"/>
      <c r="EE353" s="31"/>
      <c r="EF353" s="31"/>
      <c r="EG353" s="31"/>
      <c r="EH353" s="31"/>
      <c r="EI353" s="31"/>
      <c r="EJ353" s="31"/>
      <c r="EK353" s="31"/>
      <c r="EL353" s="31"/>
      <c r="EM353" s="31"/>
      <c r="EN353" s="31"/>
      <c r="EO353" s="31"/>
      <c r="EP353" s="31"/>
      <c r="EQ353" s="31"/>
      <c r="ER353" s="31"/>
      <c r="ES353" s="31"/>
      <c r="ET353" s="31"/>
      <c r="EU353" s="31"/>
      <c r="EV353" s="31"/>
      <c r="EW353" s="31"/>
      <c r="EX353" s="31"/>
      <c r="EY353" s="31"/>
      <c r="EZ353" s="31"/>
      <c r="FA353" s="31"/>
      <c r="FB353" s="31"/>
      <c r="FC353" s="31"/>
      <c r="FD353" s="31"/>
      <c r="FE353" s="31"/>
      <c r="FF353" s="31"/>
      <c r="FG353" s="31"/>
      <c r="FH353" s="31"/>
      <c r="FI353" s="31"/>
      <c r="FJ353" s="31"/>
      <c r="FK353" s="31"/>
      <c r="FL353" s="31"/>
      <c r="FM353" s="31"/>
      <c r="FN353" s="31"/>
      <c r="FO353" s="31"/>
      <c r="FP353" s="31"/>
      <c r="FQ353" s="31"/>
      <c r="FR353" s="31"/>
      <c r="FS353" s="31"/>
      <c r="FT353" s="31"/>
      <c r="FU353" s="31"/>
      <c r="FV353" s="31"/>
      <c r="FW353" s="31"/>
      <c r="FX353" s="31"/>
      <c r="FY353" s="31"/>
      <c r="FZ353" s="31"/>
      <c r="GA353" s="31"/>
      <c r="GB353" s="31"/>
      <c r="GC353" s="31"/>
      <c r="GD353" s="31"/>
      <c r="GE353" s="31"/>
      <c r="GF353" s="31"/>
      <c r="GG353" s="31"/>
      <c r="GH353" s="31"/>
    </row>
    <row r="354" spans="1:190" ht="15.75" customHeight="1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>
        <v>352</v>
      </c>
      <c r="U354" s="31" t="s">
        <v>194</v>
      </c>
      <c r="V354" s="31" t="s">
        <v>195</v>
      </c>
      <c r="W354" s="31" t="s">
        <v>196</v>
      </c>
      <c r="X354" s="31" t="s">
        <v>2391</v>
      </c>
      <c r="Y354" s="31" t="s">
        <v>2392</v>
      </c>
      <c r="Z354" s="31" t="s">
        <v>2393</v>
      </c>
      <c r="AA354" s="32" t="s">
        <v>202</v>
      </c>
      <c r="AB354" s="32" t="s">
        <v>203</v>
      </c>
      <c r="AC354" s="32" t="s">
        <v>204</v>
      </c>
      <c r="AD354" s="31" t="s">
        <v>205</v>
      </c>
      <c r="AE354" s="31" t="s">
        <v>206</v>
      </c>
      <c r="AF354" s="31" t="s">
        <v>207</v>
      </c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  <c r="DT354" s="31"/>
      <c r="DU354" s="31"/>
      <c r="DV354" s="31"/>
      <c r="DW354" s="31"/>
      <c r="DX354" s="31"/>
      <c r="DY354" s="31"/>
      <c r="DZ354" s="31"/>
      <c r="EA354" s="31"/>
      <c r="EB354" s="31"/>
      <c r="EC354" s="31"/>
      <c r="ED354" s="31"/>
      <c r="EE354" s="31"/>
      <c r="EF354" s="31"/>
      <c r="EG354" s="31"/>
      <c r="EH354" s="31"/>
      <c r="EI354" s="31"/>
      <c r="EJ354" s="31"/>
      <c r="EK354" s="31"/>
      <c r="EL354" s="31"/>
      <c r="EM354" s="31"/>
      <c r="EN354" s="31"/>
      <c r="EO354" s="31"/>
      <c r="EP354" s="31"/>
      <c r="EQ354" s="31"/>
      <c r="ER354" s="31"/>
      <c r="ES354" s="31"/>
      <c r="ET354" s="31"/>
      <c r="EU354" s="31"/>
      <c r="EV354" s="31"/>
      <c r="EW354" s="31"/>
      <c r="EX354" s="31"/>
      <c r="EY354" s="31"/>
      <c r="EZ354" s="31"/>
      <c r="FA354" s="31"/>
      <c r="FB354" s="31"/>
      <c r="FC354" s="31"/>
      <c r="FD354" s="31"/>
      <c r="FE354" s="31"/>
      <c r="FF354" s="31"/>
      <c r="FG354" s="31"/>
      <c r="FH354" s="31"/>
      <c r="FI354" s="31"/>
      <c r="FJ354" s="31"/>
      <c r="FK354" s="31"/>
      <c r="FL354" s="31"/>
      <c r="FM354" s="31"/>
      <c r="FN354" s="31"/>
      <c r="FO354" s="31"/>
      <c r="FP354" s="31"/>
      <c r="FQ354" s="31"/>
      <c r="FR354" s="31"/>
      <c r="FS354" s="31"/>
      <c r="FT354" s="31"/>
      <c r="FU354" s="31"/>
      <c r="FV354" s="31"/>
      <c r="FW354" s="31"/>
      <c r="FX354" s="31"/>
      <c r="FY354" s="31"/>
      <c r="FZ354" s="31"/>
      <c r="GA354" s="31"/>
      <c r="GB354" s="31"/>
      <c r="GC354" s="31"/>
      <c r="GD354" s="31"/>
      <c r="GE354" s="31"/>
      <c r="GF354" s="31"/>
      <c r="GG354" s="31"/>
      <c r="GH354" s="31"/>
    </row>
    <row r="355" spans="1:190" ht="15.75" customHeight="1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>
        <v>353</v>
      </c>
      <c r="U355" s="31" t="s">
        <v>194</v>
      </c>
      <c r="V355" s="31" t="s">
        <v>724</v>
      </c>
      <c r="W355" s="31" t="s">
        <v>809</v>
      </c>
      <c r="X355" s="31" t="s">
        <v>2394</v>
      </c>
      <c r="Y355" s="31" t="s">
        <v>2395</v>
      </c>
      <c r="Z355" s="31" t="s">
        <v>2396</v>
      </c>
      <c r="AA355" s="32" t="s">
        <v>202</v>
      </c>
      <c r="AB355" s="32" t="s">
        <v>725</v>
      </c>
      <c r="AC355" s="32" t="s">
        <v>813</v>
      </c>
      <c r="AD355" s="31" t="s">
        <v>2397</v>
      </c>
      <c r="AE355" s="31" t="s">
        <v>303</v>
      </c>
      <c r="AF355" s="31" t="s">
        <v>1456</v>
      </c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1"/>
      <c r="DD355" s="31"/>
      <c r="DE355" s="31"/>
      <c r="DF355" s="31"/>
      <c r="DG355" s="31"/>
      <c r="DH355" s="31"/>
      <c r="DI355" s="31"/>
      <c r="DJ355" s="31"/>
      <c r="DK355" s="31"/>
      <c r="DL355" s="31"/>
      <c r="DM355" s="31"/>
      <c r="DN355" s="31"/>
      <c r="DO355" s="31"/>
      <c r="DP355" s="31"/>
      <c r="DQ355" s="31"/>
      <c r="DR355" s="31"/>
      <c r="DS355" s="31"/>
      <c r="DT355" s="31"/>
      <c r="DU355" s="31"/>
      <c r="DV355" s="31"/>
      <c r="DW355" s="31"/>
      <c r="DX355" s="31"/>
      <c r="DY355" s="31"/>
      <c r="DZ355" s="31"/>
      <c r="EA355" s="31"/>
      <c r="EB355" s="31"/>
      <c r="EC355" s="31"/>
      <c r="ED355" s="31"/>
      <c r="EE355" s="31"/>
      <c r="EF355" s="31"/>
      <c r="EG355" s="31"/>
      <c r="EH355" s="31"/>
      <c r="EI355" s="31"/>
      <c r="EJ355" s="31"/>
      <c r="EK355" s="31"/>
      <c r="EL355" s="31"/>
      <c r="EM355" s="31"/>
      <c r="EN355" s="31"/>
      <c r="EO355" s="31"/>
      <c r="EP355" s="31"/>
      <c r="EQ355" s="31"/>
      <c r="ER355" s="31"/>
      <c r="ES355" s="31"/>
      <c r="ET355" s="31"/>
      <c r="EU355" s="31"/>
      <c r="EV355" s="31"/>
      <c r="EW355" s="31"/>
      <c r="EX355" s="31"/>
      <c r="EY355" s="31"/>
      <c r="EZ355" s="31"/>
      <c r="FA355" s="31"/>
      <c r="FB355" s="31"/>
      <c r="FC355" s="31"/>
      <c r="FD355" s="31"/>
      <c r="FE355" s="31"/>
      <c r="FF355" s="31"/>
      <c r="FG355" s="31"/>
      <c r="FH355" s="31"/>
      <c r="FI355" s="31"/>
      <c r="FJ355" s="31"/>
      <c r="FK355" s="31"/>
      <c r="FL355" s="31"/>
      <c r="FM355" s="31"/>
      <c r="FN355" s="31"/>
      <c r="FO355" s="31"/>
      <c r="FP355" s="31"/>
      <c r="FQ355" s="31"/>
      <c r="FR355" s="31"/>
      <c r="FS355" s="31"/>
      <c r="FT355" s="31"/>
      <c r="FU355" s="31"/>
      <c r="FV355" s="31"/>
      <c r="FW355" s="31"/>
      <c r="FX355" s="31"/>
      <c r="FY355" s="31"/>
      <c r="FZ355" s="31"/>
      <c r="GA355" s="31"/>
      <c r="GB355" s="31"/>
      <c r="GC355" s="31"/>
      <c r="GD355" s="31"/>
      <c r="GE355" s="31"/>
      <c r="GF355" s="31"/>
      <c r="GG355" s="31"/>
      <c r="GH355" s="31"/>
    </row>
    <row r="356" spans="1:190" ht="15.75" customHeight="1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>
        <v>354</v>
      </c>
      <c r="U356" s="31" t="s">
        <v>194</v>
      </c>
      <c r="V356" s="31" t="s">
        <v>195</v>
      </c>
      <c r="W356" s="31" t="s">
        <v>196</v>
      </c>
      <c r="X356" s="31" t="s">
        <v>2398</v>
      </c>
      <c r="Y356" s="31" t="s">
        <v>2399</v>
      </c>
      <c r="Z356" s="31" t="s">
        <v>2400</v>
      </c>
      <c r="AA356" s="32" t="s">
        <v>202</v>
      </c>
      <c r="AB356" s="32" t="s">
        <v>203</v>
      </c>
      <c r="AC356" s="32" t="s">
        <v>204</v>
      </c>
      <c r="AD356" s="31" t="s">
        <v>982</v>
      </c>
      <c r="AE356" s="31" t="s">
        <v>303</v>
      </c>
      <c r="AF356" s="31" t="s">
        <v>983</v>
      </c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  <c r="DT356" s="31"/>
      <c r="DU356" s="31"/>
      <c r="DV356" s="31"/>
      <c r="DW356" s="31"/>
      <c r="DX356" s="31"/>
      <c r="DY356" s="31"/>
      <c r="DZ356" s="31"/>
      <c r="EA356" s="31"/>
      <c r="EB356" s="31"/>
      <c r="EC356" s="31"/>
      <c r="ED356" s="31"/>
      <c r="EE356" s="31"/>
      <c r="EF356" s="31"/>
      <c r="EG356" s="31"/>
      <c r="EH356" s="31"/>
      <c r="EI356" s="31"/>
      <c r="EJ356" s="31"/>
      <c r="EK356" s="31"/>
      <c r="EL356" s="31"/>
      <c r="EM356" s="31"/>
      <c r="EN356" s="31"/>
      <c r="EO356" s="31"/>
      <c r="EP356" s="31"/>
      <c r="EQ356" s="31"/>
      <c r="ER356" s="31"/>
      <c r="ES356" s="31"/>
      <c r="ET356" s="31"/>
      <c r="EU356" s="31"/>
      <c r="EV356" s="31"/>
      <c r="EW356" s="31"/>
      <c r="EX356" s="31"/>
      <c r="EY356" s="31"/>
      <c r="EZ356" s="31"/>
      <c r="FA356" s="31"/>
      <c r="FB356" s="31"/>
      <c r="FC356" s="31"/>
      <c r="FD356" s="31"/>
      <c r="FE356" s="31"/>
      <c r="FF356" s="31"/>
      <c r="FG356" s="31"/>
      <c r="FH356" s="31"/>
      <c r="FI356" s="31"/>
      <c r="FJ356" s="31"/>
      <c r="FK356" s="31"/>
      <c r="FL356" s="31"/>
      <c r="FM356" s="31"/>
      <c r="FN356" s="31"/>
      <c r="FO356" s="31"/>
      <c r="FP356" s="31"/>
      <c r="FQ356" s="31"/>
      <c r="FR356" s="31"/>
      <c r="FS356" s="31"/>
      <c r="FT356" s="31"/>
      <c r="FU356" s="31"/>
      <c r="FV356" s="31"/>
      <c r="FW356" s="31"/>
      <c r="FX356" s="31"/>
      <c r="FY356" s="31"/>
      <c r="FZ356" s="31"/>
      <c r="GA356" s="31"/>
      <c r="GB356" s="31"/>
      <c r="GC356" s="31"/>
      <c r="GD356" s="31"/>
      <c r="GE356" s="31"/>
      <c r="GF356" s="31"/>
      <c r="GG356" s="31"/>
      <c r="GH356" s="31"/>
    </row>
    <row r="357" spans="1:190" ht="15.75" customHeight="1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>
        <v>355</v>
      </c>
      <c r="U357" s="31" t="s">
        <v>187</v>
      </c>
      <c r="V357" s="31" t="s">
        <v>469</v>
      </c>
      <c r="W357" s="31" t="s">
        <v>474</v>
      </c>
      <c r="X357" s="31" t="s">
        <v>2401</v>
      </c>
      <c r="Y357" s="31" t="s">
        <v>2402</v>
      </c>
      <c r="Z357" s="31" t="s">
        <v>2403</v>
      </c>
      <c r="AA357" s="32" t="s">
        <v>286</v>
      </c>
      <c r="AB357" s="32" t="s">
        <v>470</v>
      </c>
      <c r="AC357" s="32" t="s">
        <v>480</v>
      </c>
      <c r="AD357" s="31" t="s">
        <v>303</v>
      </c>
      <c r="AE357" s="31"/>
      <c r="AF357" s="31" t="s">
        <v>806</v>
      </c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  <c r="DT357" s="31"/>
      <c r="DU357" s="31"/>
      <c r="DV357" s="31"/>
      <c r="DW357" s="31"/>
      <c r="DX357" s="31"/>
      <c r="DY357" s="31"/>
      <c r="DZ357" s="31"/>
      <c r="EA357" s="31"/>
      <c r="EB357" s="31"/>
      <c r="EC357" s="31"/>
      <c r="ED357" s="31"/>
      <c r="EE357" s="31"/>
      <c r="EF357" s="31"/>
      <c r="EG357" s="31"/>
      <c r="EH357" s="31"/>
      <c r="EI357" s="31"/>
      <c r="EJ357" s="31"/>
      <c r="EK357" s="31"/>
      <c r="EL357" s="31"/>
      <c r="EM357" s="31"/>
      <c r="EN357" s="31"/>
      <c r="EO357" s="31"/>
      <c r="EP357" s="31"/>
      <c r="EQ357" s="31"/>
      <c r="ER357" s="31"/>
      <c r="ES357" s="31"/>
      <c r="ET357" s="31"/>
      <c r="EU357" s="31"/>
      <c r="EV357" s="31"/>
      <c r="EW357" s="31"/>
      <c r="EX357" s="31"/>
      <c r="EY357" s="31"/>
      <c r="EZ357" s="31"/>
      <c r="FA357" s="31"/>
      <c r="FB357" s="31"/>
      <c r="FC357" s="31"/>
      <c r="FD357" s="31"/>
      <c r="FE357" s="31"/>
      <c r="FF357" s="31"/>
      <c r="FG357" s="31"/>
      <c r="FH357" s="31"/>
      <c r="FI357" s="31"/>
      <c r="FJ357" s="31"/>
      <c r="FK357" s="31"/>
      <c r="FL357" s="31"/>
      <c r="FM357" s="31"/>
      <c r="FN357" s="31"/>
      <c r="FO357" s="31"/>
      <c r="FP357" s="31"/>
      <c r="FQ357" s="31"/>
      <c r="FR357" s="31"/>
      <c r="FS357" s="31"/>
      <c r="FT357" s="31"/>
      <c r="FU357" s="31"/>
      <c r="FV357" s="31"/>
      <c r="FW357" s="31"/>
      <c r="FX357" s="31"/>
      <c r="FY357" s="31"/>
      <c r="FZ357" s="31"/>
      <c r="GA357" s="31"/>
      <c r="GB357" s="31"/>
      <c r="GC357" s="31"/>
      <c r="GD357" s="31"/>
      <c r="GE357" s="31"/>
      <c r="GF357" s="31"/>
      <c r="GG357" s="31"/>
      <c r="GH357" s="31"/>
    </row>
    <row r="358" spans="1:190" ht="15.75" customHeight="1" x14ac:dyDescent="0.3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>
        <v>356</v>
      </c>
      <c r="U358" s="31" t="s">
        <v>194</v>
      </c>
      <c r="V358" s="31" t="s">
        <v>724</v>
      </c>
      <c r="W358" s="31" t="s">
        <v>789</v>
      </c>
      <c r="X358" s="31" t="s">
        <v>2404</v>
      </c>
      <c r="Y358" s="31" t="s">
        <v>2405</v>
      </c>
      <c r="Z358" s="31" t="s">
        <v>2406</v>
      </c>
      <c r="AA358" s="32" t="s">
        <v>202</v>
      </c>
      <c r="AB358" s="32" t="s">
        <v>725</v>
      </c>
      <c r="AC358" s="32" t="s">
        <v>793</v>
      </c>
      <c r="AD358" s="31" t="s">
        <v>794</v>
      </c>
      <c r="AE358" s="31" t="s">
        <v>303</v>
      </c>
      <c r="AF358" s="31" t="s">
        <v>688</v>
      </c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  <c r="DT358" s="31"/>
      <c r="DU358" s="31"/>
      <c r="DV358" s="31"/>
      <c r="DW358" s="31"/>
      <c r="DX358" s="31"/>
      <c r="DY358" s="31"/>
      <c r="DZ358" s="31"/>
      <c r="EA358" s="31"/>
      <c r="EB358" s="31"/>
      <c r="EC358" s="31"/>
      <c r="ED358" s="31"/>
      <c r="EE358" s="31"/>
      <c r="EF358" s="31"/>
      <c r="EG358" s="31"/>
      <c r="EH358" s="31"/>
      <c r="EI358" s="31"/>
      <c r="EJ358" s="31"/>
      <c r="EK358" s="31"/>
      <c r="EL358" s="31"/>
      <c r="EM358" s="31"/>
      <c r="EN358" s="31"/>
      <c r="EO358" s="31"/>
      <c r="EP358" s="31"/>
      <c r="EQ358" s="31"/>
      <c r="ER358" s="31"/>
      <c r="ES358" s="31"/>
      <c r="ET358" s="31"/>
      <c r="EU358" s="31"/>
      <c r="EV358" s="31"/>
      <c r="EW358" s="31"/>
      <c r="EX358" s="31"/>
      <c r="EY358" s="31"/>
      <c r="EZ358" s="31"/>
      <c r="FA358" s="31"/>
      <c r="FB358" s="31"/>
      <c r="FC358" s="31"/>
      <c r="FD358" s="31"/>
      <c r="FE358" s="31"/>
      <c r="FF358" s="31"/>
      <c r="FG358" s="31"/>
      <c r="FH358" s="31"/>
      <c r="FI358" s="31"/>
      <c r="FJ358" s="31"/>
      <c r="FK358" s="31"/>
      <c r="FL358" s="31"/>
      <c r="FM358" s="31"/>
      <c r="FN358" s="31"/>
      <c r="FO358" s="31"/>
      <c r="FP358" s="31"/>
      <c r="FQ358" s="31"/>
      <c r="FR358" s="31"/>
      <c r="FS358" s="31"/>
      <c r="FT358" s="31"/>
      <c r="FU358" s="31"/>
      <c r="FV358" s="31"/>
      <c r="FW358" s="31"/>
      <c r="FX358" s="31"/>
      <c r="FY358" s="31"/>
      <c r="FZ358" s="31"/>
      <c r="GA358" s="31"/>
      <c r="GB358" s="31"/>
      <c r="GC358" s="31"/>
      <c r="GD358" s="31"/>
      <c r="GE358" s="31"/>
      <c r="GF358" s="31"/>
      <c r="GG358" s="31"/>
      <c r="GH358" s="31"/>
    </row>
    <row r="359" spans="1:190" ht="15.75" customHeight="1" x14ac:dyDescent="0.3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>
        <v>357</v>
      </c>
      <c r="U359" s="31" t="s">
        <v>194</v>
      </c>
      <c r="V359" s="31" t="s">
        <v>724</v>
      </c>
      <c r="W359" s="31" t="s">
        <v>809</v>
      </c>
      <c r="X359" s="31" t="s">
        <v>2407</v>
      </c>
      <c r="Y359" s="31" t="s">
        <v>2408</v>
      </c>
      <c r="Z359" s="31" t="s">
        <v>624</v>
      </c>
      <c r="AA359" s="32" t="s">
        <v>202</v>
      </c>
      <c r="AB359" s="32" t="s">
        <v>725</v>
      </c>
      <c r="AC359" s="32" t="s">
        <v>813</v>
      </c>
      <c r="AD359" s="31" t="s">
        <v>814</v>
      </c>
      <c r="AE359" s="31" t="s">
        <v>303</v>
      </c>
      <c r="AF359" s="31" t="s">
        <v>815</v>
      </c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/>
      <c r="DD359" s="31"/>
      <c r="DE359" s="31"/>
      <c r="DF359" s="31"/>
      <c r="DG359" s="31"/>
      <c r="DH359" s="31"/>
      <c r="DI359" s="31"/>
      <c r="DJ359" s="31"/>
      <c r="DK359" s="31"/>
      <c r="DL359" s="31"/>
      <c r="DM359" s="31"/>
      <c r="DN359" s="31"/>
      <c r="DO359" s="31"/>
      <c r="DP359" s="31"/>
      <c r="DQ359" s="31"/>
      <c r="DR359" s="31"/>
      <c r="DS359" s="31"/>
      <c r="DT359" s="31"/>
      <c r="DU359" s="31"/>
      <c r="DV359" s="31"/>
      <c r="DW359" s="31"/>
      <c r="DX359" s="31"/>
      <c r="DY359" s="31"/>
      <c r="DZ359" s="31"/>
      <c r="EA359" s="31"/>
      <c r="EB359" s="31"/>
      <c r="EC359" s="31"/>
      <c r="ED359" s="31"/>
      <c r="EE359" s="31"/>
      <c r="EF359" s="31"/>
      <c r="EG359" s="31"/>
      <c r="EH359" s="31"/>
      <c r="EI359" s="31"/>
      <c r="EJ359" s="31"/>
      <c r="EK359" s="31"/>
      <c r="EL359" s="31"/>
      <c r="EM359" s="31"/>
      <c r="EN359" s="31"/>
      <c r="EO359" s="31"/>
      <c r="EP359" s="31"/>
      <c r="EQ359" s="31"/>
      <c r="ER359" s="31"/>
      <c r="ES359" s="31"/>
      <c r="ET359" s="31"/>
      <c r="EU359" s="31"/>
      <c r="EV359" s="31"/>
      <c r="EW359" s="31"/>
      <c r="EX359" s="31"/>
      <c r="EY359" s="31"/>
      <c r="EZ359" s="31"/>
      <c r="FA359" s="31"/>
      <c r="FB359" s="31"/>
      <c r="FC359" s="31"/>
      <c r="FD359" s="31"/>
      <c r="FE359" s="31"/>
      <c r="FF359" s="31"/>
      <c r="FG359" s="31"/>
      <c r="FH359" s="31"/>
      <c r="FI359" s="31"/>
      <c r="FJ359" s="31"/>
      <c r="FK359" s="31"/>
      <c r="FL359" s="31"/>
      <c r="FM359" s="31"/>
      <c r="FN359" s="31"/>
      <c r="FO359" s="31"/>
      <c r="FP359" s="31"/>
      <c r="FQ359" s="31"/>
      <c r="FR359" s="31"/>
      <c r="FS359" s="31"/>
      <c r="FT359" s="31"/>
      <c r="FU359" s="31"/>
      <c r="FV359" s="31"/>
      <c r="FW359" s="31"/>
      <c r="FX359" s="31"/>
      <c r="FY359" s="31"/>
      <c r="FZ359" s="31"/>
      <c r="GA359" s="31"/>
      <c r="GB359" s="31"/>
      <c r="GC359" s="31"/>
      <c r="GD359" s="31"/>
      <c r="GE359" s="31"/>
      <c r="GF359" s="31"/>
      <c r="GG359" s="31"/>
      <c r="GH359" s="31"/>
    </row>
    <row r="360" spans="1:190" ht="15.75" customHeight="1" x14ac:dyDescent="0.3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>
        <v>358</v>
      </c>
      <c r="U360" s="31" t="s">
        <v>360</v>
      </c>
      <c r="V360" s="31" t="s">
        <v>600</v>
      </c>
      <c r="W360" s="31" t="s">
        <v>363</v>
      </c>
      <c r="X360" s="31" t="s">
        <v>2409</v>
      </c>
      <c r="Y360" s="31" t="s">
        <v>2410</v>
      </c>
      <c r="Z360" s="31" t="s">
        <v>2411</v>
      </c>
      <c r="AA360" s="32" t="s">
        <v>418</v>
      </c>
      <c r="AB360" s="32" t="s">
        <v>605</v>
      </c>
      <c r="AC360" s="32" t="s">
        <v>303</v>
      </c>
      <c r="AD360" s="31"/>
      <c r="AE360" s="31"/>
      <c r="AF360" s="31" t="s">
        <v>605</v>
      </c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  <c r="DT360" s="31"/>
      <c r="DU360" s="31"/>
      <c r="DV360" s="31"/>
      <c r="DW360" s="31"/>
      <c r="DX360" s="31"/>
      <c r="DY360" s="31"/>
      <c r="DZ360" s="31"/>
      <c r="EA360" s="31"/>
      <c r="EB360" s="31"/>
      <c r="EC360" s="31"/>
      <c r="ED360" s="31"/>
      <c r="EE360" s="31"/>
      <c r="EF360" s="31"/>
      <c r="EG360" s="31"/>
      <c r="EH360" s="31"/>
      <c r="EI360" s="31"/>
      <c r="EJ360" s="31"/>
      <c r="EK360" s="31"/>
      <c r="EL360" s="31"/>
      <c r="EM360" s="31"/>
      <c r="EN360" s="31"/>
      <c r="EO360" s="31"/>
      <c r="EP360" s="31"/>
      <c r="EQ360" s="31"/>
      <c r="ER360" s="31"/>
      <c r="ES360" s="31"/>
      <c r="ET360" s="31"/>
      <c r="EU360" s="31"/>
      <c r="EV360" s="31"/>
      <c r="EW360" s="31"/>
      <c r="EX360" s="31"/>
      <c r="EY360" s="31"/>
      <c r="EZ360" s="31"/>
      <c r="FA360" s="31"/>
      <c r="FB360" s="31"/>
      <c r="FC360" s="31"/>
      <c r="FD360" s="31"/>
      <c r="FE360" s="31"/>
      <c r="FF360" s="31"/>
      <c r="FG360" s="31"/>
      <c r="FH360" s="31"/>
      <c r="FI360" s="31"/>
      <c r="FJ360" s="31"/>
      <c r="FK360" s="31"/>
      <c r="FL360" s="31"/>
      <c r="FM360" s="31"/>
      <c r="FN360" s="31"/>
      <c r="FO360" s="31"/>
      <c r="FP360" s="31"/>
      <c r="FQ360" s="31"/>
      <c r="FR360" s="31"/>
      <c r="FS360" s="31"/>
      <c r="FT360" s="31"/>
      <c r="FU360" s="31"/>
      <c r="FV360" s="31"/>
      <c r="FW360" s="31"/>
      <c r="FX360" s="31"/>
      <c r="FY360" s="31"/>
      <c r="FZ360" s="31"/>
      <c r="GA360" s="31"/>
      <c r="GB360" s="31"/>
      <c r="GC360" s="31"/>
      <c r="GD360" s="31"/>
      <c r="GE360" s="31"/>
      <c r="GF360" s="31"/>
      <c r="GG360" s="31"/>
      <c r="GH360" s="31"/>
    </row>
    <row r="361" spans="1:190" ht="15.75" customHeight="1" x14ac:dyDescent="0.3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>
        <v>359</v>
      </c>
      <c r="U361" s="31" t="s">
        <v>194</v>
      </c>
      <c r="V361" s="31" t="s">
        <v>195</v>
      </c>
      <c r="W361" s="31" t="s">
        <v>196</v>
      </c>
      <c r="X361" s="31" t="s">
        <v>2412</v>
      </c>
      <c r="Y361" s="31" t="s">
        <v>2413</v>
      </c>
      <c r="Z361" s="31" t="s">
        <v>2414</v>
      </c>
      <c r="AA361" s="32" t="s">
        <v>202</v>
      </c>
      <c r="AB361" s="32" t="s">
        <v>203</v>
      </c>
      <c r="AC361" s="32" t="s">
        <v>204</v>
      </c>
      <c r="AD361" s="31" t="s">
        <v>1888</v>
      </c>
      <c r="AE361" s="31" t="s">
        <v>1889</v>
      </c>
      <c r="AF361" s="31" t="s">
        <v>1216</v>
      </c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  <c r="DT361" s="31"/>
      <c r="DU361" s="31"/>
      <c r="DV361" s="31"/>
      <c r="DW361" s="31"/>
      <c r="DX361" s="31"/>
      <c r="DY361" s="31"/>
      <c r="DZ361" s="31"/>
      <c r="EA361" s="31"/>
      <c r="EB361" s="31"/>
      <c r="EC361" s="31"/>
      <c r="ED361" s="31"/>
      <c r="EE361" s="31"/>
      <c r="EF361" s="31"/>
      <c r="EG361" s="31"/>
      <c r="EH361" s="31"/>
      <c r="EI361" s="31"/>
      <c r="EJ361" s="31"/>
      <c r="EK361" s="31"/>
      <c r="EL361" s="31"/>
      <c r="EM361" s="31"/>
      <c r="EN361" s="31"/>
      <c r="EO361" s="31"/>
      <c r="EP361" s="31"/>
      <c r="EQ361" s="31"/>
      <c r="ER361" s="31"/>
      <c r="ES361" s="31"/>
      <c r="ET361" s="31"/>
      <c r="EU361" s="31"/>
      <c r="EV361" s="31"/>
      <c r="EW361" s="31"/>
      <c r="EX361" s="31"/>
      <c r="EY361" s="31"/>
      <c r="EZ361" s="31"/>
      <c r="FA361" s="31"/>
      <c r="FB361" s="31"/>
      <c r="FC361" s="31"/>
      <c r="FD361" s="31"/>
      <c r="FE361" s="31"/>
      <c r="FF361" s="31"/>
      <c r="FG361" s="31"/>
      <c r="FH361" s="31"/>
      <c r="FI361" s="31"/>
      <c r="FJ361" s="31"/>
      <c r="FK361" s="31"/>
      <c r="FL361" s="31"/>
      <c r="FM361" s="31"/>
      <c r="FN361" s="31"/>
      <c r="FO361" s="31"/>
      <c r="FP361" s="31"/>
      <c r="FQ361" s="31"/>
      <c r="FR361" s="31"/>
      <c r="FS361" s="31"/>
      <c r="FT361" s="31"/>
      <c r="FU361" s="31"/>
      <c r="FV361" s="31"/>
      <c r="FW361" s="31"/>
      <c r="FX361" s="31"/>
      <c r="FY361" s="31"/>
      <c r="FZ361" s="31"/>
      <c r="GA361" s="31"/>
      <c r="GB361" s="31"/>
      <c r="GC361" s="31"/>
      <c r="GD361" s="31"/>
      <c r="GE361" s="31"/>
      <c r="GF361" s="31"/>
      <c r="GG361" s="31"/>
      <c r="GH361" s="31"/>
    </row>
    <row r="362" spans="1:190" ht="15.75" customHeight="1" x14ac:dyDescent="0.3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>
        <v>360</v>
      </c>
      <c r="U362" s="31" t="s">
        <v>187</v>
      </c>
      <c r="V362" s="31" t="s">
        <v>520</v>
      </c>
      <c r="W362" s="31" t="s">
        <v>767</v>
      </c>
      <c r="X362" s="31" t="s">
        <v>2415</v>
      </c>
      <c r="Y362" s="31" t="s">
        <v>2416</v>
      </c>
      <c r="Z362" s="31" t="s">
        <v>2417</v>
      </c>
      <c r="AA362" s="32" t="s">
        <v>286</v>
      </c>
      <c r="AB362" s="32" t="s">
        <v>521</v>
      </c>
      <c r="AC362" s="32" t="s">
        <v>768</v>
      </c>
      <c r="AD362" s="31" t="s">
        <v>303</v>
      </c>
      <c r="AE362" s="31"/>
      <c r="AF362" s="31" t="s">
        <v>853</v>
      </c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  <c r="DI362" s="31"/>
      <c r="DJ362" s="31"/>
      <c r="DK362" s="31"/>
      <c r="DL362" s="31"/>
      <c r="DM362" s="31"/>
      <c r="DN362" s="31"/>
      <c r="DO362" s="31"/>
      <c r="DP362" s="31"/>
      <c r="DQ362" s="31"/>
      <c r="DR362" s="31"/>
      <c r="DS362" s="31"/>
      <c r="DT362" s="31"/>
      <c r="DU362" s="31"/>
      <c r="DV362" s="31"/>
      <c r="DW362" s="31"/>
      <c r="DX362" s="31"/>
      <c r="DY362" s="31"/>
      <c r="DZ362" s="31"/>
      <c r="EA362" s="31"/>
      <c r="EB362" s="31"/>
      <c r="EC362" s="31"/>
      <c r="ED362" s="31"/>
      <c r="EE362" s="31"/>
      <c r="EF362" s="31"/>
      <c r="EG362" s="31"/>
      <c r="EH362" s="31"/>
      <c r="EI362" s="31"/>
      <c r="EJ362" s="31"/>
      <c r="EK362" s="31"/>
      <c r="EL362" s="31"/>
      <c r="EM362" s="31"/>
      <c r="EN362" s="31"/>
      <c r="EO362" s="31"/>
      <c r="EP362" s="31"/>
      <c r="EQ362" s="31"/>
      <c r="ER362" s="31"/>
      <c r="ES362" s="31"/>
      <c r="ET362" s="31"/>
      <c r="EU362" s="31"/>
      <c r="EV362" s="31"/>
      <c r="EW362" s="31"/>
      <c r="EX362" s="31"/>
      <c r="EY362" s="31"/>
      <c r="EZ362" s="31"/>
      <c r="FA362" s="31"/>
      <c r="FB362" s="31"/>
      <c r="FC362" s="31"/>
      <c r="FD362" s="31"/>
      <c r="FE362" s="31"/>
      <c r="FF362" s="31"/>
      <c r="FG362" s="31"/>
      <c r="FH362" s="31"/>
      <c r="FI362" s="31"/>
      <c r="FJ362" s="31"/>
      <c r="FK362" s="31"/>
      <c r="FL362" s="31"/>
      <c r="FM362" s="31"/>
      <c r="FN362" s="31"/>
      <c r="FO362" s="31"/>
      <c r="FP362" s="31"/>
      <c r="FQ362" s="31"/>
      <c r="FR362" s="31"/>
      <c r="FS362" s="31"/>
      <c r="FT362" s="31"/>
      <c r="FU362" s="31"/>
      <c r="FV362" s="31"/>
      <c r="FW362" s="31"/>
      <c r="FX362" s="31"/>
      <c r="FY362" s="31"/>
      <c r="FZ362" s="31"/>
      <c r="GA362" s="31"/>
      <c r="GB362" s="31"/>
      <c r="GC362" s="31"/>
      <c r="GD362" s="31"/>
      <c r="GE362" s="31"/>
      <c r="GF362" s="31"/>
      <c r="GG362" s="31"/>
      <c r="GH362" s="31"/>
    </row>
    <row r="363" spans="1:190" ht="15.75" customHeight="1" x14ac:dyDescent="0.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>
        <v>361</v>
      </c>
      <c r="U363" s="31" t="s">
        <v>194</v>
      </c>
      <c r="V363" s="31" t="s">
        <v>724</v>
      </c>
      <c r="W363" s="31" t="s">
        <v>809</v>
      </c>
      <c r="X363" s="31" t="s">
        <v>2418</v>
      </c>
      <c r="Y363" s="31" t="s">
        <v>2419</v>
      </c>
      <c r="Z363" s="31" t="s">
        <v>2420</v>
      </c>
      <c r="AA363" s="32" t="s">
        <v>202</v>
      </c>
      <c r="AB363" s="32" t="s">
        <v>725</v>
      </c>
      <c r="AC363" s="32" t="s">
        <v>813</v>
      </c>
      <c r="AD363" s="31" t="s">
        <v>303</v>
      </c>
      <c r="AE363" s="31"/>
      <c r="AF363" s="31" t="s">
        <v>929</v>
      </c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1"/>
      <c r="DU363" s="31"/>
      <c r="DV363" s="31"/>
      <c r="DW363" s="31"/>
      <c r="DX363" s="31"/>
      <c r="DY363" s="31"/>
      <c r="DZ363" s="31"/>
      <c r="EA363" s="31"/>
      <c r="EB363" s="31"/>
      <c r="EC363" s="31"/>
      <c r="ED363" s="31"/>
      <c r="EE363" s="31"/>
      <c r="EF363" s="31"/>
      <c r="EG363" s="31"/>
      <c r="EH363" s="31"/>
      <c r="EI363" s="31"/>
      <c r="EJ363" s="31"/>
      <c r="EK363" s="31"/>
      <c r="EL363" s="31"/>
      <c r="EM363" s="31"/>
      <c r="EN363" s="31"/>
      <c r="EO363" s="31"/>
      <c r="EP363" s="31"/>
      <c r="EQ363" s="31"/>
      <c r="ER363" s="31"/>
      <c r="ES363" s="31"/>
      <c r="ET363" s="31"/>
      <c r="EU363" s="31"/>
      <c r="EV363" s="31"/>
      <c r="EW363" s="31"/>
      <c r="EX363" s="31"/>
      <c r="EY363" s="31"/>
      <c r="EZ363" s="31"/>
      <c r="FA363" s="31"/>
      <c r="FB363" s="31"/>
      <c r="FC363" s="31"/>
      <c r="FD363" s="31"/>
      <c r="FE363" s="31"/>
      <c r="FF363" s="31"/>
      <c r="FG363" s="31"/>
      <c r="FH363" s="31"/>
      <c r="FI363" s="31"/>
      <c r="FJ363" s="31"/>
      <c r="FK363" s="31"/>
      <c r="FL363" s="31"/>
      <c r="FM363" s="31"/>
      <c r="FN363" s="31"/>
      <c r="FO363" s="31"/>
      <c r="FP363" s="31"/>
      <c r="FQ363" s="31"/>
      <c r="FR363" s="31"/>
      <c r="FS363" s="31"/>
      <c r="FT363" s="31"/>
      <c r="FU363" s="31"/>
      <c r="FV363" s="31"/>
      <c r="FW363" s="31"/>
      <c r="FX363" s="31"/>
      <c r="FY363" s="31"/>
      <c r="FZ363" s="31"/>
      <c r="GA363" s="31"/>
      <c r="GB363" s="31"/>
      <c r="GC363" s="31"/>
      <c r="GD363" s="31"/>
      <c r="GE363" s="31"/>
      <c r="GF363" s="31"/>
      <c r="GG363" s="31"/>
      <c r="GH363" s="31"/>
    </row>
    <row r="364" spans="1:190" ht="15.75" customHeight="1" x14ac:dyDescent="0.3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>
        <v>362</v>
      </c>
      <c r="U364" s="31" t="s">
        <v>194</v>
      </c>
      <c r="V364" s="31" t="s">
        <v>195</v>
      </c>
      <c r="W364" s="31" t="s">
        <v>196</v>
      </c>
      <c r="X364" s="31" t="s">
        <v>2421</v>
      </c>
      <c r="Y364" s="31" t="s">
        <v>2422</v>
      </c>
      <c r="Z364" s="31" t="s">
        <v>2423</v>
      </c>
      <c r="AA364" s="32" t="s">
        <v>202</v>
      </c>
      <c r="AB364" s="32" t="s">
        <v>203</v>
      </c>
      <c r="AC364" s="32" t="s">
        <v>204</v>
      </c>
      <c r="AD364" s="31" t="s">
        <v>982</v>
      </c>
      <c r="AE364" s="31" t="s">
        <v>303</v>
      </c>
      <c r="AF364" s="31" t="s">
        <v>983</v>
      </c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  <c r="DT364" s="31"/>
      <c r="DU364" s="31"/>
      <c r="DV364" s="31"/>
      <c r="DW364" s="31"/>
      <c r="DX364" s="31"/>
      <c r="DY364" s="31"/>
      <c r="DZ364" s="31"/>
      <c r="EA364" s="31"/>
      <c r="EB364" s="31"/>
      <c r="EC364" s="31"/>
      <c r="ED364" s="31"/>
      <c r="EE364" s="31"/>
      <c r="EF364" s="31"/>
      <c r="EG364" s="31"/>
      <c r="EH364" s="31"/>
      <c r="EI364" s="31"/>
      <c r="EJ364" s="31"/>
      <c r="EK364" s="31"/>
      <c r="EL364" s="31"/>
      <c r="EM364" s="31"/>
      <c r="EN364" s="31"/>
      <c r="EO364" s="31"/>
      <c r="EP364" s="31"/>
      <c r="EQ364" s="31"/>
      <c r="ER364" s="31"/>
      <c r="ES364" s="31"/>
      <c r="ET364" s="31"/>
      <c r="EU364" s="31"/>
      <c r="EV364" s="31"/>
      <c r="EW364" s="31"/>
      <c r="EX364" s="31"/>
      <c r="EY364" s="31"/>
      <c r="EZ364" s="31"/>
      <c r="FA364" s="31"/>
      <c r="FB364" s="31"/>
      <c r="FC364" s="31"/>
      <c r="FD364" s="31"/>
      <c r="FE364" s="31"/>
      <c r="FF364" s="31"/>
      <c r="FG364" s="31"/>
      <c r="FH364" s="31"/>
      <c r="FI364" s="31"/>
      <c r="FJ364" s="31"/>
      <c r="FK364" s="31"/>
      <c r="FL364" s="31"/>
      <c r="FM364" s="31"/>
      <c r="FN364" s="31"/>
      <c r="FO364" s="31"/>
      <c r="FP364" s="31"/>
      <c r="FQ364" s="31"/>
      <c r="FR364" s="31"/>
      <c r="FS364" s="31"/>
      <c r="FT364" s="31"/>
      <c r="FU364" s="31"/>
      <c r="FV364" s="31"/>
      <c r="FW364" s="31"/>
      <c r="FX364" s="31"/>
      <c r="FY364" s="31"/>
      <c r="FZ364" s="31"/>
      <c r="GA364" s="31"/>
      <c r="GB364" s="31"/>
      <c r="GC364" s="31"/>
      <c r="GD364" s="31"/>
      <c r="GE364" s="31"/>
      <c r="GF364" s="31"/>
      <c r="GG364" s="31"/>
      <c r="GH364" s="31"/>
    </row>
    <row r="365" spans="1:190" ht="15.75" customHeight="1" x14ac:dyDescent="0.3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>
        <v>363</v>
      </c>
      <c r="U365" s="31" t="s">
        <v>194</v>
      </c>
      <c r="V365" s="31" t="s">
        <v>195</v>
      </c>
      <c r="W365" s="31" t="s">
        <v>196</v>
      </c>
      <c r="X365" s="31" t="s">
        <v>2424</v>
      </c>
      <c r="Y365" s="31" t="s">
        <v>2425</v>
      </c>
      <c r="Z365" s="31" t="s">
        <v>2426</v>
      </c>
      <c r="AA365" s="32" t="s">
        <v>202</v>
      </c>
      <c r="AB365" s="32" t="s">
        <v>203</v>
      </c>
      <c r="AC365" s="32" t="s">
        <v>204</v>
      </c>
      <c r="AD365" s="31" t="s">
        <v>205</v>
      </c>
      <c r="AE365" s="31" t="s">
        <v>897</v>
      </c>
      <c r="AF365" s="31" t="s">
        <v>207</v>
      </c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  <c r="DT365" s="31"/>
      <c r="DU365" s="31"/>
      <c r="DV365" s="31"/>
      <c r="DW365" s="31"/>
      <c r="DX365" s="31"/>
      <c r="DY365" s="31"/>
      <c r="DZ365" s="31"/>
      <c r="EA365" s="31"/>
      <c r="EB365" s="31"/>
      <c r="EC365" s="31"/>
      <c r="ED365" s="31"/>
      <c r="EE365" s="31"/>
      <c r="EF365" s="31"/>
      <c r="EG365" s="31"/>
      <c r="EH365" s="31"/>
      <c r="EI365" s="31"/>
      <c r="EJ365" s="31"/>
      <c r="EK365" s="31"/>
      <c r="EL365" s="31"/>
      <c r="EM365" s="31"/>
      <c r="EN365" s="31"/>
      <c r="EO365" s="31"/>
      <c r="EP365" s="31"/>
      <c r="EQ365" s="31"/>
      <c r="ER365" s="31"/>
      <c r="ES365" s="31"/>
      <c r="ET365" s="31"/>
      <c r="EU365" s="31"/>
      <c r="EV365" s="31"/>
      <c r="EW365" s="31"/>
      <c r="EX365" s="31"/>
      <c r="EY365" s="31"/>
      <c r="EZ365" s="31"/>
      <c r="FA365" s="31"/>
      <c r="FB365" s="31"/>
      <c r="FC365" s="31"/>
      <c r="FD365" s="31"/>
      <c r="FE365" s="31"/>
      <c r="FF365" s="31"/>
      <c r="FG365" s="31"/>
      <c r="FH365" s="31"/>
      <c r="FI365" s="31"/>
      <c r="FJ365" s="31"/>
      <c r="FK365" s="31"/>
      <c r="FL365" s="31"/>
      <c r="FM365" s="31"/>
      <c r="FN365" s="31"/>
      <c r="FO365" s="31"/>
      <c r="FP365" s="31"/>
      <c r="FQ365" s="31"/>
      <c r="FR365" s="31"/>
      <c r="FS365" s="31"/>
      <c r="FT365" s="31"/>
      <c r="FU365" s="31"/>
      <c r="FV365" s="31"/>
      <c r="FW365" s="31"/>
      <c r="FX365" s="31"/>
      <c r="FY365" s="31"/>
      <c r="FZ365" s="31"/>
      <c r="GA365" s="31"/>
      <c r="GB365" s="31"/>
      <c r="GC365" s="31"/>
      <c r="GD365" s="31"/>
      <c r="GE365" s="31"/>
      <c r="GF365" s="31"/>
      <c r="GG365" s="31"/>
      <c r="GH365" s="31"/>
    </row>
    <row r="366" spans="1:190" ht="15.75" customHeight="1" x14ac:dyDescent="0.3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>
        <v>364</v>
      </c>
      <c r="U366" s="31" t="s">
        <v>194</v>
      </c>
      <c r="V366" s="31" t="s">
        <v>294</v>
      </c>
      <c r="W366" s="31" t="s">
        <v>295</v>
      </c>
      <c r="X366" s="31" t="s">
        <v>2427</v>
      </c>
      <c r="Y366" s="31" t="s">
        <v>2428</v>
      </c>
      <c r="Z366" s="31" t="s">
        <v>644</v>
      </c>
      <c r="AA366" s="32" t="s">
        <v>202</v>
      </c>
      <c r="AB366" s="32" t="s">
        <v>300</v>
      </c>
      <c r="AC366" s="32" t="s">
        <v>301</v>
      </c>
      <c r="AD366" s="31" t="s">
        <v>303</v>
      </c>
      <c r="AE366" s="31"/>
      <c r="AF366" s="31" t="s">
        <v>881</v>
      </c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  <c r="DI366" s="31"/>
      <c r="DJ366" s="31"/>
      <c r="DK366" s="31"/>
      <c r="DL366" s="31"/>
      <c r="DM366" s="31"/>
      <c r="DN366" s="31"/>
      <c r="DO366" s="31"/>
      <c r="DP366" s="31"/>
      <c r="DQ366" s="31"/>
      <c r="DR366" s="31"/>
      <c r="DS366" s="31"/>
      <c r="DT366" s="31"/>
      <c r="DU366" s="31"/>
      <c r="DV366" s="31"/>
      <c r="DW366" s="31"/>
      <c r="DX366" s="31"/>
      <c r="DY366" s="31"/>
      <c r="DZ366" s="31"/>
      <c r="EA366" s="31"/>
      <c r="EB366" s="31"/>
      <c r="EC366" s="31"/>
      <c r="ED366" s="31"/>
      <c r="EE366" s="31"/>
      <c r="EF366" s="31"/>
      <c r="EG366" s="31"/>
      <c r="EH366" s="31"/>
      <c r="EI366" s="31"/>
      <c r="EJ366" s="31"/>
      <c r="EK366" s="31"/>
      <c r="EL366" s="31"/>
      <c r="EM366" s="31"/>
      <c r="EN366" s="31"/>
      <c r="EO366" s="31"/>
      <c r="EP366" s="31"/>
      <c r="EQ366" s="31"/>
      <c r="ER366" s="31"/>
      <c r="ES366" s="31"/>
      <c r="ET366" s="31"/>
      <c r="EU366" s="31"/>
      <c r="EV366" s="31"/>
      <c r="EW366" s="31"/>
      <c r="EX366" s="31"/>
      <c r="EY366" s="31"/>
      <c r="EZ366" s="31"/>
      <c r="FA366" s="31"/>
      <c r="FB366" s="31"/>
      <c r="FC366" s="31"/>
      <c r="FD366" s="31"/>
      <c r="FE366" s="31"/>
      <c r="FF366" s="31"/>
      <c r="FG366" s="31"/>
      <c r="FH366" s="31"/>
      <c r="FI366" s="31"/>
      <c r="FJ366" s="31"/>
      <c r="FK366" s="31"/>
      <c r="FL366" s="31"/>
      <c r="FM366" s="31"/>
      <c r="FN366" s="31"/>
      <c r="FO366" s="31"/>
      <c r="FP366" s="31"/>
      <c r="FQ366" s="31"/>
      <c r="FR366" s="31"/>
      <c r="FS366" s="31"/>
      <c r="FT366" s="31"/>
      <c r="FU366" s="31"/>
      <c r="FV366" s="31"/>
      <c r="FW366" s="31"/>
      <c r="FX366" s="31"/>
      <c r="FY366" s="31"/>
      <c r="FZ366" s="31"/>
      <c r="GA366" s="31"/>
      <c r="GB366" s="31"/>
      <c r="GC366" s="31"/>
      <c r="GD366" s="31"/>
      <c r="GE366" s="31"/>
      <c r="GF366" s="31"/>
      <c r="GG366" s="31"/>
      <c r="GH366" s="31"/>
    </row>
    <row r="367" spans="1:190" ht="15.75" customHeight="1" x14ac:dyDescent="0.3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>
        <v>365</v>
      </c>
      <c r="U367" s="31" t="s">
        <v>360</v>
      </c>
      <c r="V367" s="31" t="s">
        <v>647</v>
      </c>
      <c r="W367" s="31" t="s">
        <v>363</v>
      </c>
      <c r="X367" s="31" t="s">
        <v>2429</v>
      </c>
      <c r="Y367" s="31" t="s">
        <v>2430</v>
      </c>
      <c r="Z367" s="31" t="s">
        <v>2431</v>
      </c>
      <c r="AA367" s="32" t="s">
        <v>418</v>
      </c>
      <c r="AB367" s="32" t="s">
        <v>648</v>
      </c>
      <c r="AC367" s="32" t="s">
        <v>303</v>
      </c>
      <c r="AD367" s="31"/>
      <c r="AE367" s="31"/>
      <c r="AF367" s="31" t="s">
        <v>648</v>
      </c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  <c r="DI367" s="31"/>
      <c r="DJ367" s="31"/>
      <c r="DK367" s="31"/>
      <c r="DL367" s="31"/>
      <c r="DM367" s="31"/>
      <c r="DN367" s="31"/>
      <c r="DO367" s="31"/>
      <c r="DP367" s="31"/>
      <c r="DQ367" s="31"/>
      <c r="DR367" s="31"/>
      <c r="DS367" s="31"/>
      <c r="DT367" s="31"/>
      <c r="DU367" s="31"/>
      <c r="DV367" s="31"/>
      <c r="DW367" s="31"/>
      <c r="DX367" s="31"/>
      <c r="DY367" s="31"/>
      <c r="DZ367" s="31"/>
      <c r="EA367" s="31"/>
      <c r="EB367" s="31"/>
      <c r="EC367" s="31"/>
      <c r="ED367" s="31"/>
      <c r="EE367" s="31"/>
      <c r="EF367" s="31"/>
      <c r="EG367" s="31"/>
      <c r="EH367" s="31"/>
      <c r="EI367" s="31"/>
      <c r="EJ367" s="31"/>
      <c r="EK367" s="31"/>
      <c r="EL367" s="31"/>
      <c r="EM367" s="31"/>
      <c r="EN367" s="31"/>
      <c r="EO367" s="31"/>
      <c r="EP367" s="31"/>
      <c r="EQ367" s="31"/>
      <c r="ER367" s="31"/>
      <c r="ES367" s="31"/>
      <c r="ET367" s="31"/>
      <c r="EU367" s="31"/>
      <c r="EV367" s="31"/>
      <c r="EW367" s="31"/>
      <c r="EX367" s="31"/>
      <c r="EY367" s="31"/>
      <c r="EZ367" s="31"/>
      <c r="FA367" s="31"/>
      <c r="FB367" s="31"/>
      <c r="FC367" s="31"/>
      <c r="FD367" s="31"/>
      <c r="FE367" s="31"/>
      <c r="FF367" s="31"/>
      <c r="FG367" s="31"/>
      <c r="FH367" s="31"/>
      <c r="FI367" s="31"/>
      <c r="FJ367" s="31"/>
      <c r="FK367" s="31"/>
      <c r="FL367" s="31"/>
      <c r="FM367" s="31"/>
      <c r="FN367" s="31"/>
      <c r="FO367" s="31"/>
      <c r="FP367" s="31"/>
      <c r="FQ367" s="31"/>
      <c r="FR367" s="31"/>
      <c r="FS367" s="31"/>
      <c r="FT367" s="31"/>
      <c r="FU367" s="31"/>
      <c r="FV367" s="31"/>
      <c r="FW367" s="31"/>
      <c r="FX367" s="31"/>
      <c r="FY367" s="31"/>
      <c r="FZ367" s="31"/>
      <c r="GA367" s="31"/>
      <c r="GB367" s="31"/>
      <c r="GC367" s="31"/>
      <c r="GD367" s="31"/>
      <c r="GE367" s="31"/>
      <c r="GF367" s="31"/>
      <c r="GG367" s="31"/>
      <c r="GH367" s="31"/>
    </row>
    <row r="368" spans="1:190" ht="15.75" customHeight="1" x14ac:dyDescent="0.3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>
        <v>366</v>
      </c>
      <c r="U368" s="31" t="s">
        <v>194</v>
      </c>
      <c r="V368" s="31" t="s">
        <v>729</v>
      </c>
      <c r="W368" s="31" t="s">
        <v>987</v>
      </c>
      <c r="X368" s="31" t="s">
        <v>2432</v>
      </c>
      <c r="Y368" s="31" t="s">
        <v>2433</v>
      </c>
      <c r="Z368" s="31" t="s">
        <v>2434</v>
      </c>
      <c r="AA368" s="32" t="s">
        <v>202</v>
      </c>
      <c r="AB368" s="32" t="s">
        <v>736</v>
      </c>
      <c r="AC368" s="32" t="s">
        <v>901</v>
      </c>
      <c r="AD368" s="31" t="s">
        <v>303</v>
      </c>
      <c r="AE368" s="31"/>
      <c r="AF368" s="31" t="s">
        <v>1201</v>
      </c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1"/>
      <c r="DD368" s="31"/>
      <c r="DE368" s="31"/>
      <c r="DF368" s="31"/>
      <c r="DG368" s="31"/>
      <c r="DH368" s="31"/>
      <c r="DI368" s="31"/>
      <c r="DJ368" s="31"/>
      <c r="DK368" s="31"/>
      <c r="DL368" s="31"/>
      <c r="DM368" s="31"/>
      <c r="DN368" s="31"/>
      <c r="DO368" s="31"/>
      <c r="DP368" s="31"/>
      <c r="DQ368" s="31"/>
      <c r="DR368" s="31"/>
      <c r="DS368" s="31"/>
      <c r="DT368" s="31"/>
      <c r="DU368" s="31"/>
      <c r="DV368" s="31"/>
      <c r="DW368" s="31"/>
      <c r="DX368" s="31"/>
      <c r="DY368" s="31"/>
      <c r="DZ368" s="31"/>
      <c r="EA368" s="31"/>
      <c r="EB368" s="31"/>
      <c r="EC368" s="31"/>
      <c r="ED368" s="31"/>
      <c r="EE368" s="31"/>
      <c r="EF368" s="31"/>
      <c r="EG368" s="31"/>
      <c r="EH368" s="31"/>
      <c r="EI368" s="31"/>
      <c r="EJ368" s="31"/>
      <c r="EK368" s="31"/>
      <c r="EL368" s="31"/>
      <c r="EM368" s="31"/>
      <c r="EN368" s="31"/>
      <c r="EO368" s="31"/>
      <c r="EP368" s="31"/>
      <c r="EQ368" s="31"/>
      <c r="ER368" s="31"/>
      <c r="ES368" s="31"/>
      <c r="ET368" s="31"/>
      <c r="EU368" s="31"/>
      <c r="EV368" s="31"/>
      <c r="EW368" s="31"/>
      <c r="EX368" s="31"/>
      <c r="EY368" s="31"/>
      <c r="EZ368" s="31"/>
      <c r="FA368" s="31"/>
      <c r="FB368" s="31"/>
      <c r="FC368" s="31"/>
      <c r="FD368" s="31"/>
      <c r="FE368" s="31"/>
      <c r="FF368" s="31"/>
      <c r="FG368" s="31"/>
      <c r="FH368" s="31"/>
      <c r="FI368" s="31"/>
      <c r="FJ368" s="31"/>
      <c r="FK368" s="31"/>
      <c r="FL368" s="31"/>
      <c r="FM368" s="31"/>
      <c r="FN368" s="31"/>
      <c r="FO368" s="31"/>
      <c r="FP368" s="31"/>
      <c r="FQ368" s="31"/>
      <c r="FR368" s="31"/>
      <c r="FS368" s="31"/>
      <c r="FT368" s="31"/>
      <c r="FU368" s="31"/>
      <c r="FV368" s="31"/>
      <c r="FW368" s="31"/>
      <c r="FX368" s="31"/>
      <c r="FY368" s="31"/>
      <c r="FZ368" s="31"/>
      <c r="GA368" s="31"/>
      <c r="GB368" s="31"/>
      <c r="GC368" s="31"/>
      <c r="GD368" s="31"/>
      <c r="GE368" s="31"/>
      <c r="GF368" s="31"/>
      <c r="GG368" s="31"/>
      <c r="GH368" s="31"/>
    </row>
    <row r="369" spans="1:190" ht="15.75" customHeight="1" x14ac:dyDescent="0.3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>
        <v>367</v>
      </c>
      <c r="U369" s="31" t="s">
        <v>187</v>
      </c>
      <c r="V369" s="31" t="s">
        <v>287</v>
      </c>
      <c r="W369" s="31" t="s">
        <v>469</v>
      </c>
      <c r="X369" s="31" t="s">
        <v>2435</v>
      </c>
      <c r="Y369" s="31" t="s">
        <v>2436</v>
      </c>
      <c r="Z369" s="31" t="s">
        <v>2437</v>
      </c>
      <c r="AA369" s="32" t="s">
        <v>286</v>
      </c>
      <c r="AB369" s="32" t="s">
        <v>290</v>
      </c>
      <c r="AC369" s="32" t="s">
        <v>473</v>
      </c>
      <c r="AD369" s="31" t="s">
        <v>1102</v>
      </c>
      <c r="AE369" s="31" t="s">
        <v>303</v>
      </c>
      <c r="AF369" s="31" t="s">
        <v>539</v>
      </c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  <c r="DT369" s="31"/>
      <c r="DU369" s="31"/>
      <c r="DV369" s="31"/>
      <c r="DW369" s="31"/>
      <c r="DX369" s="31"/>
      <c r="DY369" s="31"/>
      <c r="DZ369" s="31"/>
      <c r="EA369" s="31"/>
      <c r="EB369" s="31"/>
      <c r="EC369" s="31"/>
      <c r="ED369" s="31"/>
      <c r="EE369" s="31"/>
      <c r="EF369" s="31"/>
      <c r="EG369" s="31"/>
      <c r="EH369" s="31"/>
      <c r="EI369" s="31"/>
      <c r="EJ369" s="31"/>
      <c r="EK369" s="31"/>
      <c r="EL369" s="31"/>
      <c r="EM369" s="31"/>
      <c r="EN369" s="31"/>
      <c r="EO369" s="31"/>
      <c r="EP369" s="31"/>
      <c r="EQ369" s="31"/>
      <c r="ER369" s="31"/>
      <c r="ES369" s="31"/>
      <c r="ET369" s="31"/>
      <c r="EU369" s="31"/>
      <c r="EV369" s="31"/>
      <c r="EW369" s="31"/>
      <c r="EX369" s="31"/>
      <c r="EY369" s="31"/>
      <c r="EZ369" s="31"/>
      <c r="FA369" s="31"/>
      <c r="FB369" s="31"/>
      <c r="FC369" s="31"/>
      <c r="FD369" s="31"/>
      <c r="FE369" s="31"/>
      <c r="FF369" s="31"/>
      <c r="FG369" s="31"/>
      <c r="FH369" s="31"/>
      <c r="FI369" s="31"/>
      <c r="FJ369" s="31"/>
      <c r="FK369" s="31"/>
      <c r="FL369" s="31"/>
      <c r="FM369" s="31"/>
      <c r="FN369" s="31"/>
      <c r="FO369" s="31"/>
      <c r="FP369" s="31"/>
      <c r="FQ369" s="31"/>
      <c r="FR369" s="31"/>
      <c r="FS369" s="31"/>
      <c r="FT369" s="31"/>
      <c r="FU369" s="31"/>
      <c r="FV369" s="31"/>
      <c r="FW369" s="31"/>
      <c r="FX369" s="31"/>
      <c r="FY369" s="31"/>
      <c r="FZ369" s="31"/>
      <c r="GA369" s="31"/>
      <c r="GB369" s="31"/>
      <c r="GC369" s="31"/>
      <c r="GD369" s="31"/>
      <c r="GE369" s="31"/>
      <c r="GF369" s="31"/>
      <c r="GG369" s="31"/>
      <c r="GH369" s="31"/>
    </row>
    <row r="370" spans="1:190" ht="15.75" customHeight="1" x14ac:dyDescent="0.3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>
        <v>368</v>
      </c>
      <c r="U370" s="31" t="s">
        <v>187</v>
      </c>
      <c r="V370" s="31" t="s">
        <v>194</v>
      </c>
      <c r="W370" s="31" t="s">
        <v>195</v>
      </c>
      <c r="X370" s="31" t="s">
        <v>2438</v>
      </c>
      <c r="Y370" s="31" t="s">
        <v>2439</v>
      </c>
      <c r="Z370" s="31" t="s">
        <v>2440</v>
      </c>
      <c r="AA370" s="32" t="s">
        <v>286</v>
      </c>
      <c r="AB370" s="32" t="s">
        <v>419</v>
      </c>
      <c r="AC370" s="32" t="s">
        <v>675</v>
      </c>
      <c r="AD370" s="31" t="s">
        <v>1134</v>
      </c>
      <c r="AE370" s="31" t="s">
        <v>1509</v>
      </c>
      <c r="AF370" s="31" t="s">
        <v>640</v>
      </c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1"/>
      <c r="DD370" s="31"/>
      <c r="DE370" s="31"/>
      <c r="DF370" s="31"/>
      <c r="DG370" s="31"/>
      <c r="DH370" s="31"/>
      <c r="DI370" s="31"/>
      <c r="DJ370" s="31"/>
      <c r="DK370" s="31"/>
      <c r="DL370" s="31"/>
      <c r="DM370" s="31"/>
      <c r="DN370" s="31"/>
      <c r="DO370" s="31"/>
      <c r="DP370" s="31"/>
      <c r="DQ370" s="31"/>
      <c r="DR370" s="31"/>
      <c r="DS370" s="31"/>
      <c r="DT370" s="31"/>
      <c r="DU370" s="31"/>
      <c r="DV370" s="31"/>
      <c r="DW370" s="31"/>
      <c r="DX370" s="31"/>
      <c r="DY370" s="31"/>
      <c r="DZ370" s="31"/>
      <c r="EA370" s="31"/>
      <c r="EB370" s="31"/>
      <c r="EC370" s="31"/>
      <c r="ED370" s="31"/>
      <c r="EE370" s="31"/>
      <c r="EF370" s="31"/>
      <c r="EG370" s="31"/>
      <c r="EH370" s="31"/>
      <c r="EI370" s="31"/>
      <c r="EJ370" s="31"/>
      <c r="EK370" s="31"/>
      <c r="EL370" s="31"/>
      <c r="EM370" s="31"/>
      <c r="EN370" s="31"/>
      <c r="EO370" s="31"/>
      <c r="EP370" s="31"/>
      <c r="EQ370" s="31"/>
      <c r="ER370" s="31"/>
      <c r="ES370" s="31"/>
      <c r="ET370" s="31"/>
      <c r="EU370" s="31"/>
      <c r="EV370" s="31"/>
      <c r="EW370" s="31"/>
      <c r="EX370" s="31"/>
      <c r="EY370" s="31"/>
      <c r="EZ370" s="31"/>
      <c r="FA370" s="31"/>
      <c r="FB370" s="31"/>
      <c r="FC370" s="31"/>
      <c r="FD370" s="31"/>
      <c r="FE370" s="31"/>
      <c r="FF370" s="31"/>
      <c r="FG370" s="31"/>
      <c r="FH370" s="31"/>
      <c r="FI370" s="31"/>
      <c r="FJ370" s="31"/>
      <c r="FK370" s="31"/>
      <c r="FL370" s="31"/>
      <c r="FM370" s="31"/>
      <c r="FN370" s="31"/>
      <c r="FO370" s="31"/>
      <c r="FP370" s="31"/>
      <c r="FQ370" s="31"/>
      <c r="FR370" s="31"/>
      <c r="FS370" s="31"/>
      <c r="FT370" s="31"/>
      <c r="FU370" s="31"/>
      <c r="FV370" s="31"/>
      <c r="FW370" s="31"/>
      <c r="FX370" s="31"/>
      <c r="FY370" s="31"/>
      <c r="FZ370" s="31"/>
      <c r="GA370" s="31"/>
      <c r="GB370" s="31"/>
      <c r="GC370" s="31"/>
      <c r="GD370" s="31"/>
      <c r="GE370" s="31"/>
      <c r="GF370" s="31"/>
      <c r="GG370" s="31"/>
      <c r="GH370" s="31"/>
    </row>
    <row r="371" spans="1:190" ht="15.75" customHeight="1" x14ac:dyDescent="0.3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>
        <v>369</v>
      </c>
      <c r="U371" s="31" t="s">
        <v>194</v>
      </c>
      <c r="V371" s="31" t="s">
        <v>729</v>
      </c>
      <c r="W371" s="31" t="s">
        <v>363</v>
      </c>
      <c r="X371" s="31" t="s">
        <v>2441</v>
      </c>
      <c r="Y371" s="31" t="s">
        <v>2442</v>
      </c>
      <c r="Z371" s="31" t="s">
        <v>2443</v>
      </c>
      <c r="AA371" s="32" t="s">
        <v>202</v>
      </c>
      <c r="AB371" s="32" t="s">
        <v>736</v>
      </c>
      <c r="AC371" s="32" t="s">
        <v>303</v>
      </c>
      <c r="AD371" s="31"/>
      <c r="AE371" s="31"/>
      <c r="AF371" s="31" t="s">
        <v>738</v>
      </c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  <c r="DT371" s="31"/>
      <c r="DU371" s="31"/>
      <c r="DV371" s="31"/>
      <c r="DW371" s="31"/>
      <c r="DX371" s="31"/>
      <c r="DY371" s="31"/>
      <c r="DZ371" s="31"/>
      <c r="EA371" s="31"/>
      <c r="EB371" s="31"/>
      <c r="EC371" s="31"/>
      <c r="ED371" s="31"/>
      <c r="EE371" s="31"/>
      <c r="EF371" s="31"/>
      <c r="EG371" s="31"/>
      <c r="EH371" s="31"/>
      <c r="EI371" s="31"/>
      <c r="EJ371" s="31"/>
      <c r="EK371" s="31"/>
      <c r="EL371" s="31"/>
      <c r="EM371" s="31"/>
      <c r="EN371" s="31"/>
      <c r="EO371" s="31"/>
      <c r="EP371" s="31"/>
      <c r="EQ371" s="31"/>
      <c r="ER371" s="31"/>
      <c r="ES371" s="31"/>
      <c r="ET371" s="31"/>
      <c r="EU371" s="31"/>
      <c r="EV371" s="31"/>
      <c r="EW371" s="31"/>
      <c r="EX371" s="31"/>
      <c r="EY371" s="31"/>
      <c r="EZ371" s="31"/>
      <c r="FA371" s="31"/>
      <c r="FB371" s="31"/>
      <c r="FC371" s="31"/>
      <c r="FD371" s="31"/>
      <c r="FE371" s="31"/>
      <c r="FF371" s="31"/>
      <c r="FG371" s="31"/>
      <c r="FH371" s="31"/>
      <c r="FI371" s="31"/>
      <c r="FJ371" s="31"/>
      <c r="FK371" s="31"/>
      <c r="FL371" s="31"/>
      <c r="FM371" s="31"/>
      <c r="FN371" s="31"/>
      <c r="FO371" s="31"/>
      <c r="FP371" s="31"/>
      <c r="FQ371" s="31"/>
      <c r="FR371" s="31"/>
      <c r="FS371" s="31"/>
      <c r="FT371" s="31"/>
      <c r="FU371" s="31"/>
      <c r="FV371" s="31"/>
      <c r="FW371" s="31"/>
      <c r="FX371" s="31"/>
      <c r="FY371" s="31"/>
      <c r="FZ371" s="31"/>
      <c r="GA371" s="31"/>
      <c r="GB371" s="31"/>
      <c r="GC371" s="31"/>
      <c r="GD371" s="31"/>
      <c r="GE371" s="31"/>
      <c r="GF371" s="31"/>
      <c r="GG371" s="31"/>
      <c r="GH371" s="31"/>
    </row>
    <row r="372" spans="1:190" ht="15.75" customHeight="1" x14ac:dyDescent="0.3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>
        <v>370</v>
      </c>
      <c r="U372" s="31" t="s">
        <v>194</v>
      </c>
      <c r="V372" s="31" t="s">
        <v>729</v>
      </c>
      <c r="W372" s="31" t="s">
        <v>987</v>
      </c>
      <c r="X372" s="31" t="s">
        <v>2444</v>
      </c>
      <c r="Y372" s="31" t="s">
        <v>2445</v>
      </c>
      <c r="Z372" s="31" t="s">
        <v>557</v>
      </c>
      <c r="AA372" s="32" t="s">
        <v>202</v>
      </c>
      <c r="AB372" s="32" t="s">
        <v>736</v>
      </c>
      <c r="AC372" s="32" t="s">
        <v>901</v>
      </c>
      <c r="AD372" s="31" t="s">
        <v>303</v>
      </c>
      <c r="AE372" s="31"/>
      <c r="AF372" s="31" t="s">
        <v>1201</v>
      </c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  <c r="DI372" s="31"/>
      <c r="DJ372" s="31"/>
      <c r="DK372" s="31"/>
      <c r="DL372" s="31"/>
      <c r="DM372" s="31"/>
      <c r="DN372" s="31"/>
      <c r="DO372" s="31"/>
      <c r="DP372" s="31"/>
      <c r="DQ372" s="31"/>
      <c r="DR372" s="31"/>
      <c r="DS372" s="31"/>
      <c r="DT372" s="31"/>
      <c r="DU372" s="31"/>
      <c r="DV372" s="31"/>
      <c r="DW372" s="31"/>
      <c r="DX372" s="31"/>
      <c r="DY372" s="31"/>
      <c r="DZ372" s="31"/>
      <c r="EA372" s="31"/>
      <c r="EB372" s="31"/>
      <c r="EC372" s="31"/>
      <c r="ED372" s="31"/>
      <c r="EE372" s="31"/>
      <c r="EF372" s="31"/>
      <c r="EG372" s="31"/>
      <c r="EH372" s="31"/>
      <c r="EI372" s="31"/>
      <c r="EJ372" s="31"/>
      <c r="EK372" s="31"/>
      <c r="EL372" s="31"/>
      <c r="EM372" s="31"/>
      <c r="EN372" s="31"/>
      <c r="EO372" s="31"/>
      <c r="EP372" s="31"/>
      <c r="EQ372" s="31"/>
      <c r="ER372" s="31"/>
      <c r="ES372" s="31"/>
      <c r="ET372" s="31"/>
      <c r="EU372" s="31"/>
      <c r="EV372" s="31"/>
      <c r="EW372" s="31"/>
      <c r="EX372" s="31"/>
      <c r="EY372" s="31"/>
      <c r="EZ372" s="31"/>
      <c r="FA372" s="31"/>
      <c r="FB372" s="31"/>
      <c r="FC372" s="31"/>
      <c r="FD372" s="31"/>
      <c r="FE372" s="31"/>
      <c r="FF372" s="31"/>
      <c r="FG372" s="31"/>
      <c r="FH372" s="31"/>
      <c r="FI372" s="31"/>
      <c r="FJ372" s="31"/>
      <c r="FK372" s="31"/>
      <c r="FL372" s="31"/>
      <c r="FM372" s="31"/>
      <c r="FN372" s="31"/>
      <c r="FO372" s="31"/>
      <c r="FP372" s="31"/>
      <c r="FQ372" s="31"/>
      <c r="FR372" s="31"/>
      <c r="FS372" s="31"/>
      <c r="FT372" s="31"/>
      <c r="FU372" s="31"/>
      <c r="FV372" s="31"/>
      <c r="FW372" s="31"/>
      <c r="FX372" s="31"/>
      <c r="FY372" s="31"/>
      <c r="FZ372" s="31"/>
      <c r="GA372" s="31"/>
      <c r="GB372" s="31"/>
      <c r="GC372" s="31"/>
      <c r="GD372" s="31"/>
      <c r="GE372" s="31"/>
      <c r="GF372" s="31"/>
      <c r="GG372" s="31"/>
      <c r="GH372" s="31"/>
    </row>
    <row r="373" spans="1:190" ht="15.75" customHeight="1" x14ac:dyDescent="0.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>
        <v>371</v>
      </c>
      <c r="U373" s="31" t="s">
        <v>194</v>
      </c>
      <c r="V373" s="31" t="s">
        <v>294</v>
      </c>
      <c r="W373" s="31" t="s">
        <v>422</v>
      </c>
      <c r="X373" s="31" t="s">
        <v>2446</v>
      </c>
      <c r="Y373" s="31" t="s">
        <v>2447</v>
      </c>
      <c r="Z373" s="31" t="s">
        <v>2448</v>
      </c>
      <c r="AA373" s="32" t="s">
        <v>202</v>
      </c>
      <c r="AB373" s="32" t="s">
        <v>300</v>
      </c>
      <c r="AC373" s="32" t="s">
        <v>425</v>
      </c>
      <c r="AD373" s="31" t="s">
        <v>303</v>
      </c>
      <c r="AE373" s="31"/>
      <c r="AF373" s="31" t="s">
        <v>426</v>
      </c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  <c r="DT373" s="31"/>
      <c r="DU373" s="31"/>
      <c r="DV373" s="31"/>
      <c r="DW373" s="31"/>
      <c r="DX373" s="31"/>
      <c r="DY373" s="31"/>
      <c r="DZ373" s="31"/>
      <c r="EA373" s="31"/>
      <c r="EB373" s="31"/>
      <c r="EC373" s="31"/>
      <c r="ED373" s="31"/>
      <c r="EE373" s="31"/>
      <c r="EF373" s="31"/>
      <c r="EG373" s="31"/>
      <c r="EH373" s="31"/>
      <c r="EI373" s="31"/>
      <c r="EJ373" s="31"/>
      <c r="EK373" s="31"/>
      <c r="EL373" s="31"/>
      <c r="EM373" s="31"/>
      <c r="EN373" s="31"/>
      <c r="EO373" s="31"/>
      <c r="EP373" s="31"/>
      <c r="EQ373" s="31"/>
      <c r="ER373" s="31"/>
      <c r="ES373" s="31"/>
      <c r="ET373" s="31"/>
      <c r="EU373" s="31"/>
      <c r="EV373" s="31"/>
      <c r="EW373" s="31"/>
      <c r="EX373" s="31"/>
      <c r="EY373" s="31"/>
      <c r="EZ373" s="31"/>
      <c r="FA373" s="31"/>
      <c r="FB373" s="31"/>
      <c r="FC373" s="31"/>
      <c r="FD373" s="31"/>
      <c r="FE373" s="31"/>
      <c r="FF373" s="31"/>
      <c r="FG373" s="31"/>
      <c r="FH373" s="31"/>
      <c r="FI373" s="31"/>
      <c r="FJ373" s="31"/>
      <c r="FK373" s="31"/>
      <c r="FL373" s="31"/>
      <c r="FM373" s="31"/>
      <c r="FN373" s="31"/>
      <c r="FO373" s="31"/>
      <c r="FP373" s="31"/>
      <c r="FQ373" s="31"/>
      <c r="FR373" s="31"/>
      <c r="FS373" s="31"/>
      <c r="FT373" s="31"/>
      <c r="FU373" s="31"/>
      <c r="FV373" s="31"/>
      <c r="FW373" s="31"/>
      <c r="FX373" s="31"/>
      <c r="FY373" s="31"/>
      <c r="FZ373" s="31"/>
      <c r="GA373" s="31"/>
      <c r="GB373" s="31"/>
      <c r="GC373" s="31"/>
      <c r="GD373" s="31"/>
      <c r="GE373" s="31"/>
      <c r="GF373" s="31"/>
      <c r="GG373" s="31"/>
      <c r="GH373" s="31"/>
    </row>
    <row r="374" spans="1:190" ht="15.75" customHeight="1" x14ac:dyDescent="0.3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>
        <v>372</v>
      </c>
      <c r="U374" s="31" t="s">
        <v>194</v>
      </c>
      <c r="V374" s="31" t="s">
        <v>195</v>
      </c>
      <c r="W374" s="31" t="s">
        <v>196</v>
      </c>
      <c r="X374" s="31" t="s">
        <v>2449</v>
      </c>
      <c r="Y374" s="31" t="s">
        <v>2450</v>
      </c>
      <c r="Z374" s="31" t="s">
        <v>2451</v>
      </c>
      <c r="AA374" s="32" t="s">
        <v>202</v>
      </c>
      <c r="AB374" s="32" t="s">
        <v>203</v>
      </c>
      <c r="AC374" s="32" t="s">
        <v>204</v>
      </c>
      <c r="AD374" s="31" t="s">
        <v>1888</v>
      </c>
      <c r="AE374" s="31" t="s">
        <v>1889</v>
      </c>
      <c r="AF374" s="31" t="s">
        <v>1216</v>
      </c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  <c r="DT374" s="31"/>
      <c r="DU374" s="31"/>
      <c r="DV374" s="31"/>
      <c r="DW374" s="31"/>
      <c r="DX374" s="31"/>
      <c r="DY374" s="31"/>
      <c r="DZ374" s="31"/>
      <c r="EA374" s="31"/>
      <c r="EB374" s="31"/>
      <c r="EC374" s="31"/>
      <c r="ED374" s="31"/>
      <c r="EE374" s="31"/>
      <c r="EF374" s="31"/>
      <c r="EG374" s="31"/>
      <c r="EH374" s="31"/>
      <c r="EI374" s="31"/>
      <c r="EJ374" s="31"/>
      <c r="EK374" s="31"/>
      <c r="EL374" s="31"/>
      <c r="EM374" s="31"/>
      <c r="EN374" s="31"/>
      <c r="EO374" s="31"/>
      <c r="EP374" s="31"/>
      <c r="EQ374" s="31"/>
      <c r="ER374" s="31"/>
      <c r="ES374" s="31"/>
      <c r="ET374" s="31"/>
      <c r="EU374" s="31"/>
      <c r="EV374" s="31"/>
      <c r="EW374" s="31"/>
      <c r="EX374" s="31"/>
      <c r="EY374" s="31"/>
      <c r="EZ374" s="31"/>
      <c r="FA374" s="31"/>
      <c r="FB374" s="31"/>
      <c r="FC374" s="31"/>
      <c r="FD374" s="31"/>
      <c r="FE374" s="31"/>
      <c r="FF374" s="31"/>
      <c r="FG374" s="31"/>
      <c r="FH374" s="31"/>
      <c r="FI374" s="31"/>
      <c r="FJ374" s="31"/>
      <c r="FK374" s="31"/>
      <c r="FL374" s="31"/>
      <c r="FM374" s="31"/>
      <c r="FN374" s="31"/>
      <c r="FO374" s="31"/>
      <c r="FP374" s="31"/>
      <c r="FQ374" s="31"/>
      <c r="FR374" s="31"/>
      <c r="FS374" s="31"/>
      <c r="FT374" s="31"/>
      <c r="FU374" s="31"/>
      <c r="FV374" s="31"/>
      <c r="FW374" s="31"/>
      <c r="FX374" s="31"/>
      <c r="FY374" s="31"/>
      <c r="FZ374" s="31"/>
      <c r="GA374" s="31"/>
      <c r="GB374" s="31"/>
      <c r="GC374" s="31"/>
      <c r="GD374" s="31"/>
      <c r="GE374" s="31"/>
      <c r="GF374" s="31"/>
      <c r="GG374" s="31"/>
      <c r="GH374" s="31"/>
    </row>
    <row r="375" spans="1:190" ht="15.75" customHeight="1" x14ac:dyDescent="0.3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>
        <v>373</v>
      </c>
      <c r="U375" s="31" t="s">
        <v>194</v>
      </c>
      <c r="V375" s="31" t="s">
        <v>729</v>
      </c>
      <c r="W375" s="31" t="s">
        <v>730</v>
      </c>
      <c r="X375" s="31" t="s">
        <v>2452</v>
      </c>
      <c r="Y375" s="31" t="s">
        <v>2453</v>
      </c>
      <c r="Z375" s="31" t="s">
        <v>2454</v>
      </c>
      <c r="AA375" s="32" t="s">
        <v>202</v>
      </c>
      <c r="AB375" s="32" t="s">
        <v>736</v>
      </c>
      <c r="AC375" s="32" t="s">
        <v>737</v>
      </c>
      <c r="AD375" s="31" t="s">
        <v>303</v>
      </c>
      <c r="AE375" s="31"/>
      <c r="AF375" s="31" t="s">
        <v>738</v>
      </c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  <c r="DT375" s="31"/>
      <c r="DU375" s="31"/>
      <c r="DV375" s="31"/>
      <c r="DW375" s="31"/>
      <c r="DX375" s="31"/>
      <c r="DY375" s="31"/>
      <c r="DZ375" s="31"/>
      <c r="EA375" s="31"/>
      <c r="EB375" s="31"/>
      <c r="EC375" s="31"/>
      <c r="ED375" s="31"/>
      <c r="EE375" s="31"/>
      <c r="EF375" s="31"/>
      <c r="EG375" s="31"/>
      <c r="EH375" s="31"/>
      <c r="EI375" s="31"/>
      <c r="EJ375" s="31"/>
      <c r="EK375" s="31"/>
      <c r="EL375" s="31"/>
      <c r="EM375" s="31"/>
      <c r="EN375" s="31"/>
      <c r="EO375" s="31"/>
      <c r="EP375" s="31"/>
      <c r="EQ375" s="31"/>
      <c r="ER375" s="31"/>
      <c r="ES375" s="31"/>
      <c r="ET375" s="31"/>
      <c r="EU375" s="31"/>
      <c r="EV375" s="31"/>
      <c r="EW375" s="31"/>
      <c r="EX375" s="31"/>
      <c r="EY375" s="31"/>
      <c r="EZ375" s="31"/>
      <c r="FA375" s="31"/>
      <c r="FB375" s="31"/>
      <c r="FC375" s="31"/>
      <c r="FD375" s="31"/>
      <c r="FE375" s="31"/>
      <c r="FF375" s="31"/>
      <c r="FG375" s="31"/>
      <c r="FH375" s="31"/>
      <c r="FI375" s="31"/>
      <c r="FJ375" s="31"/>
      <c r="FK375" s="31"/>
      <c r="FL375" s="31"/>
      <c r="FM375" s="31"/>
      <c r="FN375" s="31"/>
      <c r="FO375" s="31"/>
      <c r="FP375" s="31"/>
      <c r="FQ375" s="31"/>
      <c r="FR375" s="31"/>
      <c r="FS375" s="31"/>
      <c r="FT375" s="31"/>
      <c r="FU375" s="31"/>
      <c r="FV375" s="31"/>
      <c r="FW375" s="31"/>
      <c r="FX375" s="31"/>
      <c r="FY375" s="31"/>
      <c r="FZ375" s="31"/>
      <c r="GA375" s="31"/>
      <c r="GB375" s="31"/>
      <c r="GC375" s="31"/>
      <c r="GD375" s="31"/>
      <c r="GE375" s="31"/>
      <c r="GF375" s="31"/>
      <c r="GG375" s="31"/>
      <c r="GH375" s="31"/>
    </row>
    <row r="376" spans="1:190" ht="15.75" customHeight="1" x14ac:dyDescent="0.3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>
        <v>374</v>
      </c>
      <c r="U376" s="31" t="s">
        <v>187</v>
      </c>
      <c r="V376" s="31" t="s">
        <v>561</v>
      </c>
      <c r="W376" s="31" t="s">
        <v>628</v>
      </c>
      <c r="X376" s="31" t="s">
        <v>2455</v>
      </c>
      <c r="Y376" s="31" t="s">
        <v>2456</v>
      </c>
      <c r="Z376" s="31" t="s">
        <v>2457</v>
      </c>
      <c r="AA376" s="32" t="s">
        <v>286</v>
      </c>
      <c r="AB376" s="32" t="s">
        <v>562</v>
      </c>
      <c r="AC376" s="32" t="s">
        <v>632</v>
      </c>
      <c r="AD376" s="31" t="s">
        <v>303</v>
      </c>
      <c r="AE376" s="31"/>
      <c r="AF376" s="31" t="s">
        <v>635</v>
      </c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  <c r="DT376" s="31"/>
      <c r="DU376" s="31"/>
      <c r="DV376" s="31"/>
      <c r="DW376" s="31"/>
      <c r="DX376" s="31"/>
      <c r="DY376" s="31"/>
      <c r="DZ376" s="31"/>
      <c r="EA376" s="31"/>
      <c r="EB376" s="31"/>
      <c r="EC376" s="31"/>
      <c r="ED376" s="31"/>
      <c r="EE376" s="31"/>
      <c r="EF376" s="31"/>
      <c r="EG376" s="31"/>
      <c r="EH376" s="31"/>
      <c r="EI376" s="31"/>
      <c r="EJ376" s="31"/>
      <c r="EK376" s="31"/>
      <c r="EL376" s="31"/>
      <c r="EM376" s="31"/>
      <c r="EN376" s="31"/>
      <c r="EO376" s="31"/>
      <c r="EP376" s="31"/>
      <c r="EQ376" s="31"/>
      <c r="ER376" s="31"/>
      <c r="ES376" s="31"/>
      <c r="ET376" s="31"/>
      <c r="EU376" s="31"/>
      <c r="EV376" s="31"/>
      <c r="EW376" s="31"/>
      <c r="EX376" s="31"/>
      <c r="EY376" s="31"/>
      <c r="EZ376" s="31"/>
      <c r="FA376" s="31"/>
      <c r="FB376" s="31"/>
      <c r="FC376" s="31"/>
      <c r="FD376" s="31"/>
      <c r="FE376" s="31"/>
      <c r="FF376" s="31"/>
      <c r="FG376" s="31"/>
      <c r="FH376" s="31"/>
      <c r="FI376" s="31"/>
      <c r="FJ376" s="31"/>
      <c r="FK376" s="31"/>
      <c r="FL376" s="31"/>
      <c r="FM376" s="31"/>
      <c r="FN376" s="31"/>
      <c r="FO376" s="31"/>
      <c r="FP376" s="31"/>
      <c r="FQ376" s="31"/>
      <c r="FR376" s="31"/>
      <c r="FS376" s="31"/>
      <c r="FT376" s="31"/>
      <c r="FU376" s="31"/>
      <c r="FV376" s="31"/>
      <c r="FW376" s="31"/>
      <c r="FX376" s="31"/>
      <c r="FY376" s="31"/>
      <c r="FZ376" s="31"/>
      <c r="GA376" s="31"/>
      <c r="GB376" s="31"/>
      <c r="GC376" s="31"/>
      <c r="GD376" s="31"/>
      <c r="GE376" s="31"/>
      <c r="GF376" s="31"/>
      <c r="GG376" s="31"/>
      <c r="GH376" s="31"/>
    </row>
    <row r="377" spans="1:190" ht="15.75" customHeight="1" x14ac:dyDescent="0.3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>
        <v>375</v>
      </c>
      <c r="U377" s="31" t="s">
        <v>187</v>
      </c>
      <c r="V377" s="31" t="s">
        <v>194</v>
      </c>
      <c r="W377" s="31" t="s">
        <v>294</v>
      </c>
      <c r="X377" s="31" t="s">
        <v>2458</v>
      </c>
      <c r="Y377" s="31" t="s">
        <v>2459</v>
      </c>
      <c r="Z377" s="31" t="s">
        <v>2460</v>
      </c>
      <c r="AA377" s="32" t="s">
        <v>286</v>
      </c>
      <c r="AB377" s="32" t="s">
        <v>419</v>
      </c>
      <c r="AC377" s="32" t="s">
        <v>698</v>
      </c>
      <c r="AD377" s="31" t="s">
        <v>834</v>
      </c>
      <c r="AE377" s="31" t="s">
        <v>303</v>
      </c>
      <c r="AF377" s="31" t="s">
        <v>786</v>
      </c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  <c r="DT377" s="31"/>
      <c r="DU377" s="31"/>
      <c r="DV377" s="31"/>
      <c r="DW377" s="31"/>
      <c r="DX377" s="31"/>
      <c r="DY377" s="31"/>
      <c r="DZ377" s="31"/>
      <c r="EA377" s="31"/>
      <c r="EB377" s="31"/>
      <c r="EC377" s="31"/>
      <c r="ED377" s="31"/>
      <c r="EE377" s="31"/>
      <c r="EF377" s="31"/>
      <c r="EG377" s="31"/>
      <c r="EH377" s="31"/>
      <c r="EI377" s="31"/>
      <c r="EJ377" s="31"/>
      <c r="EK377" s="31"/>
      <c r="EL377" s="31"/>
      <c r="EM377" s="31"/>
      <c r="EN377" s="31"/>
      <c r="EO377" s="31"/>
      <c r="EP377" s="31"/>
      <c r="EQ377" s="31"/>
      <c r="ER377" s="31"/>
      <c r="ES377" s="31"/>
      <c r="ET377" s="31"/>
      <c r="EU377" s="31"/>
      <c r="EV377" s="31"/>
      <c r="EW377" s="31"/>
      <c r="EX377" s="31"/>
      <c r="EY377" s="31"/>
      <c r="EZ377" s="31"/>
      <c r="FA377" s="31"/>
      <c r="FB377" s="31"/>
      <c r="FC377" s="31"/>
      <c r="FD377" s="31"/>
      <c r="FE377" s="31"/>
      <c r="FF377" s="31"/>
      <c r="FG377" s="31"/>
      <c r="FH377" s="31"/>
      <c r="FI377" s="31"/>
      <c r="FJ377" s="31"/>
      <c r="FK377" s="31"/>
      <c r="FL377" s="31"/>
      <c r="FM377" s="31"/>
      <c r="FN377" s="31"/>
      <c r="FO377" s="31"/>
      <c r="FP377" s="31"/>
      <c r="FQ377" s="31"/>
      <c r="FR377" s="31"/>
      <c r="FS377" s="31"/>
      <c r="FT377" s="31"/>
      <c r="FU377" s="31"/>
      <c r="FV377" s="31"/>
      <c r="FW377" s="31"/>
      <c r="FX377" s="31"/>
      <c r="FY377" s="31"/>
      <c r="FZ377" s="31"/>
      <c r="GA377" s="31"/>
      <c r="GB377" s="31"/>
      <c r="GC377" s="31"/>
      <c r="GD377" s="31"/>
      <c r="GE377" s="31"/>
      <c r="GF377" s="31"/>
      <c r="GG377" s="31"/>
      <c r="GH377" s="31"/>
    </row>
    <row r="378" spans="1:190" ht="15.75" customHeight="1" x14ac:dyDescent="0.3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>
        <v>376</v>
      </c>
      <c r="U378" s="31" t="s">
        <v>287</v>
      </c>
      <c r="V378" s="31" t="s">
        <v>595</v>
      </c>
      <c r="W378" s="31" t="s">
        <v>363</v>
      </c>
      <c r="X378" s="31" t="s">
        <v>2461</v>
      </c>
      <c r="Y378" s="31" t="s">
        <v>2462</v>
      </c>
      <c r="Z378" s="31" t="s">
        <v>2463</v>
      </c>
      <c r="AA378" s="32" t="s">
        <v>359</v>
      </c>
      <c r="AB378" s="32" t="s">
        <v>598</v>
      </c>
      <c r="AC378" s="32" t="s">
        <v>303</v>
      </c>
      <c r="AD378" s="31"/>
      <c r="AE378" s="31"/>
      <c r="AF378" s="31" t="s">
        <v>598</v>
      </c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1"/>
      <c r="DN378" s="31"/>
      <c r="DO378" s="31"/>
      <c r="DP378" s="31"/>
      <c r="DQ378" s="31"/>
      <c r="DR378" s="31"/>
      <c r="DS378" s="31"/>
      <c r="DT378" s="31"/>
      <c r="DU378" s="31"/>
      <c r="DV378" s="31"/>
      <c r="DW378" s="31"/>
      <c r="DX378" s="31"/>
      <c r="DY378" s="31"/>
      <c r="DZ378" s="31"/>
      <c r="EA378" s="31"/>
      <c r="EB378" s="31"/>
      <c r="EC378" s="31"/>
      <c r="ED378" s="31"/>
      <c r="EE378" s="31"/>
      <c r="EF378" s="31"/>
      <c r="EG378" s="31"/>
      <c r="EH378" s="31"/>
      <c r="EI378" s="31"/>
      <c r="EJ378" s="31"/>
      <c r="EK378" s="31"/>
      <c r="EL378" s="31"/>
      <c r="EM378" s="31"/>
      <c r="EN378" s="31"/>
      <c r="EO378" s="31"/>
      <c r="EP378" s="31"/>
      <c r="EQ378" s="31"/>
      <c r="ER378" s="31"/>
      <c r="ES378" s="31"/>
      <c r="ET378" s="31"/>
      <c r="EU378" s="31"/>
      <c r="EV378" s="31"/>
      <c r="EW378" s="31"/>
      <c r="EX378" s="31"/>
      <c r="EY378" s="31"/>
      <c r="EZ378" s="31"/>
      <c r="FA378" s="31"/>
      <c r="FB378" s="31"/>
      <c r="FC378" s="31"/>
      <c r="FD378" s="31"/>
      <c r="FE378" s="31"/>
      <c r="FF378" s="31"/>
      <c r="FG378" s="31"/>
      <c r="FH378" s="31"/>
      <c r="FI378" s="31"/>
      <c r="FJ378" s="31"/>
      <c r="FK378" s="31"/>
      <c r="FL378" s="31"/>
      <c r="FM378" s="31"/>
      <c r="FN378" s="31"/>
      <c r="FO378" s="31"/>
      <c r="FP378" s="31"/>
      <c r="FQ378" s="31"/>
      <c r="FR378" s="31"/>
      <c r="FS378" s="31"/>
      <c r="FT378" s="31"/>
      <c r="FU378" s="31"/>
      <c r="FV378" s="31"/>
      <c r="FW378" s="31"/>
      <c r="FX378" s="31"/>
      <c r="FY378" s="31"/>
      <c r="FZ378" s="31"/>
      <c r="GA378" s="31"/>
      <c r="GB378" s="31"/>
      <c r="GC378" s="31"/>
      <c r="GD378" s="31"/>
      <c r="GE378" s="31"/>
      <c r="GF378" s="31"/>
      <c r="GG378" s="31"/>
      <c r="GH378" s="31"/>
    </row>
    <row r="379" spans="1:190" ht="15.75" customHeight="1" x14ac:dyDescent="0.3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>
        <v>377</v>
      </c>
      <c r="U379" s="31" t="s">
        <v>194</v>
      </c>
      <c r="V379" s="31" t="s">
        <v>729</v>
      </c>
      <c r="W379" s="31" t="s">
        <v>987</v>
      </c>
      <c r="X379" s="31" t="s">
        <v>2464</v>
      </c>
      <c r="Y379" s="31" t="s">
        <v>2465</v>
      </c>
      <c r="Z379" s="31" t="s">
        <v>594</v>
      </c>
      <c r="AA379" s="32" t="s">
        <v>202</v>
      </c>
      <c r="AB379" s="32" t="s">
        <v>736</v>
      </c>
      <c r="AC379" s="32" t="s">
        <v>901</v>
      </c>
      <c r="AD379" s="31" t="s">
        <v>303</v>
      </c>
      <c r="AE379" s="31"/>
      <c r="AF379" s="31" t="s">
        <v>1201</v>
      </c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  <c r="DT379" s="31"/>
      <c r="DU379" s="31"/>
      <c r="DV379" s="31"/>
      <c r="DW379" s="31"/>
      <c r="DX379" s="31"/>
      <c r="DY379" s="31"/>
      <c r="DZ379" s="31"/>
      <c r="EA379" s="31"/>
      <c r="EB379" s="31"/>
      <c r="EC379" s="31"/>
      <c r="ED379" s="31"/>
      <c r="EE379" s="31"/>
      <c r="EF379" s="31"/>
      <c r="EG379" s="31"/>
      <c r="EH379" s="31"/>
      <c r="EI379" s="31"/>
      <c r="EJ379" s="31"/>
      <c r="EK379" s="31"/>
      <c r="EL379" s="31"/>
      <c r="EM379" s="31"/>
      <c r="EN379" s="31"/>
      <c r="EO379" s="31"/>
      <c r="EP379" s="31"/>
      <c r="EQ379" s="31"/>
      <c r="ER379" s="31"/>
      <c r="ES379" s="31"/>
      <c r="ET379" s="31"/>
      <c r="EU379" s="31"/>
      <c r="EV379" s="31"/>
      <c r="EW379" s="31"/>
      <c r="EX379" s="31"/>
      <c r="EY379" s="31"/>
      <c r="EZ379" s="31"/>
      <c r="FA379" s="31"/>
      <c r="FB379" s="31"/>
      <c r="FC379" s="31"/>
      <c r="FD379" s="31"/>
      <c r="FE379" s="31"/>
      <c r="FF379" s="31"/>
      <c r="FG379" s="31"/>
      <c r="FH379" s="31"/>
      <c r="FI379" s="31"/>
      <c r="FJ379" s="31"/>
      <c r="FK379" s="31"/>
      <c r="FL379" s="31"/>
      <c r="FM379" s="31"/>
      <c r="FN379" s="31"/>
      <c r="FO379" s="31"/>
      <c r="FP379" s="31"/>
      <c r="FQ379" s="31"/>
      <c r="FR379" s="31"/>
      <c r="FS379" s="31"/>
      <c r="FT379" s="31"/>
      <c r="FU379" s="31"/>
      <c r="FV379" s="31"/>
      <c r="FW379" s="31"/>
      <c r="FX379" s="31"/>
      <c r="FY379" s="31"/>
      <c r="FZ379" s="31"/>
      <c r="GA379" s="31"/>
      <c r="GB379" s="31"/>
      <c r="GC379" s="31"/>
      <c r="GD379" s="31"/>
      <c r="GE379" s="31"/>
      <c r="GF379" s="31"/>
      <c r="GG379" s="31"/>
      <c r="GH379" s="31"/>
    </row>
    <row r="380" spans="1:190" ht="15.75" customHeight="1" x14ac:dyDescent="0.3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>
        <v>378</v>
      </c>
      <c r="U380" s="31" t="s">
        <v>360</v>
      </c>
      <c r="V380" s="31" t="s">
        <v>647</v>
      </c>
      <c r="W380" s="31" t="s">
        <v>848</v>
      </c>
      <c r="X380" s="31" t="s">
        <v>2466</v>
      </c>
      <c r="Y380" s="31" t="s">
        <v>2467</v>
      </c>
      <c r="Z380" s="31" t="s">
        <v>2468</v>
      </c>
      <c r="AA380" s="32" t="s">
        <v>418</v>
      </c>
      <c r="AB380" s="32" t="s">
        <v>648</v>
      </c>
      <c r="AC380" s="32" t="s">
        <v>849</v>
      </c>
      <c r="AD380" s="31" t="s">
        <v>303</v>
      </c>
      <c r="AE380" s="31"/>
      <c r="AF380" s="31" t="s">
        <v>1152</v>
      </c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1"/>
      <c r="DD380" s="31"/>
      <c r="DE380" s="31"/>
      <c r="DF380" s="31"/>
      <c r="DG380" s="31"/>
      <c r="DH380" s="31"/>
      <c r="DI380" s="31"/>
      <c r="DJ380" s="31"/>
      <c r="DK380" s="31"/>
      <c r="DL380" s="31"/>
      <c r="DM380" s="31"/>
      <c r="DN380" s="31"/>
      <c r="DO380" s="31"/>
      <c r="DP380" s="31"/>
      <c r="DQ380" s="31"/>
      <c r="DR380" s="31"/>
      <c r="DS380" s="31"/>
      <c r="DT380" s="31"/>
      <c r="DU380" s="31"/>
      <c r="DV380" s="31"/>
      <c r="DW380" s="31"/>
      <c r="DX380" s="31"/>
      <c r="DY380" s="31"/>
      <c r="DZ380" s="31"/>
      <c r="EA380" s="31"/>
      <c r="EB380" s="31"/>
      <c r="EC380" s="31"/>
      <c r="ED380" s="31"/>
      <c r="EE380" s="31"/>
      <c r="EF380" s="31"/>
      <c r="EG380" s="31"/>
      <c r="EH380" s="31"/>
      <c r="EI380" s="31"/>
      <c r="EJ380" s="31"/>
      <c r="EK380" s="31"/>
      <c r="EL380" s="31"/>
      <c r="EM380" s="31"/>
      <c r="EN380" s="31"/>
      <c r="EO380" s="31"/>
      <c r="EP380" s="31"/>
      <c r="EQ380" s="31"/>
      <c r="ER380" s="31"/>
      <c r="ES380" s="31"/>
      <c r="ET380" s="31"/>
      <c r="EU380" s="31"/>
      <c r="EV380" s="31"/>
      <c r="EW380" s="31"/>
      <c r="EX380" s="31"/>
      <c r="EY380" s="31"/>
      <c r="EZ380" s="31"/>
      <c r="FA380" s="31"/>
      <c r="FB380" s="31"/>
      <c r="FC380" s="31"/>
      <c r="FD380" s="31"/>
      <c r="FE380" s="31"/>
      <c r="FF380" s="31"/>
      <c r="FG380" s="31"/>
      <c r="FH380" s="31"/>
      <c r="FI380" s="31"/>
      <c r="FJ380" s="31"/>
      <c r="FK380" s="31"/>
      <c r="FL380" s="31"/>
      <c r="FM380" s="31"/>
      <c r="FN380" s="31"/>
      <c r="FO380" s="31"/>
      <c r="FP380" s="31"/>
      <c r="FQ380" s="31"/>
      <c r="FR380" s="31"/>
      <c r="FS380" s="31"/>
      <c r="FT380" s="31"/>
      <c r="FU380" s="31"/>
      <c r="FV380" s="31"/>
      <c r="FW380" s="31"/>
      <c r="FX380" s="31"/>
      <c r="FY380" s="31"/>
      <c r="FZ380" s="31"/>
      <c r="GA380" s="31"/>
      <c r="GB380" s="31"/>
      <c r="GC380" s="31"/>
      <c r="GD380" s="31"/>
      <c r="GE380" s="31"/>
      <c r="GF380" s="31"/>
      <c r="GG380" s="31"/>
      <c r="GH380" s="31"/>
    </row>
    <row r="381" spans="1:190" ht="15.75" customHeight="1" x14ac:dyDescent="0.3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>
        <v>379</v>
      </c>
      <c r="U381" s="31" t="s">
        <v>187</v>
      </c>
      <c r="V381" s="31" t="s">
        <v>194</v>
      </c>
      <c r="W381" s="31" t="s">
        <v>294</v>
      </c>
      <c r="X381" s="31" t="s">
        <v>2469</v>
      </c>
      <c r="Y381" s="31" t="s">
        <v>2470</v>
      </c>
      <c r="Z381" s="31" t="s">
        <v>2471</v>
      </c>
      <c r="AA381" s="32" t="s">
        <v>286</v>
      </c>
      <c r="AB381" s="32" t="s">
        <v>419</v>
      </c>
      <c r="AC381" s="32" t="s">
        <v>698</v>
      </c>
      <c r="AD381" s="31" t="s">
        <v>2085</v>
      </c>
      <c r="AE381" s="31" t="s">
        <v>303</v>
      </c>
      <c r="AF381" s="31" t="s">
        <v>1326</v>
      </c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  <c r="DT381" s="31"/>
      <c r="DU381" s="31"/>
      <c r="DV381" s="31"/>
      <c r="DW381" s="31"/>
      <c r="DX381" s="31"/>
      <c r="DY381" s="31"/>
      <c r="DZ381" s="31"/>
      <c r="EA381" s="31"/>
      <c r="EB381" s="31"/>
      <c r="EC381" s="31"/>
      <c r="ED381" s="31"/>
      <c r="EE381" s="31"/>
      <c r="EF381" s="31"/>
      <c r="EG381" s="31"/>
      <c r="EH381" s="31"/>
      <c r="EI381" s="31"/>
      <c r="EJ381" s="31"/>
      <c r="EK381" s="31"/>
      <c r="EL381" s="31"/>
      <c r="EM381" s="31"/>
      <c r="EN381" s="31"/>
      <c r="EO381" s="31"/>
      <c r="EP381" s="31"/>
      <c r="EQ381" s="31"/>
      <c r="ER381" s="31"/>
      <c r="ES381" s="31"/>
      <c r="ET381" s="31"/>
      <c r="EU381" s="31"/>
      <c r="EV381" s="31"/>
      <c r="EW381" s="31"/>
      <c r="EX381" s="31"/>
      <c r="EY381" s="31"/>
      <c r="EZ381" s="31"/>
      <c r="FA381" s="31"/>
      <c r="FB381" s="31"/>
      <c r="FC381" s="31"/>
      <c r="FD381" s="31"/>
      <c r="FE381" s="31"/>
      <c r="FF381" s="31"/>
      <c r="FG381" s="31"/>
      <c r="FH381" s="31"/>
      <c r="FI381" s="31"/>
      <c r="FJ381" s="31"/>
      <c r="FK381" s="31"/>
      <c r="FL381" s="31"/>
      <c r="FM381" s="31"/>
      <c r="FN381" s="31"/>
      <c r="FO381" s="31"/>
      <c r="FP381" s="31"/>
      <c r="FQ381" s="31"/>
      <c r="FR381" s="31"/>
      <c r="FS381" s="31"/>
      <c r="FT381" s="31"/>
      <c r="FU381" s="31"/>
      <c r="FV381" s="31"/>
      <c r="FW381" s="31"/>
      <c r="FX381" s="31"/>
      <c r="FY381" s="31"/>
      <c r="FZ381" s="31"/>
      <c r="GA381" s="31"/>
      <c r="GB381" s="31"/>
      <c r="GC381" s="31"/>
      <c r="GD381" s="31"/>
      <c r="GE381" s="31"/>
      <c r="GF381" s="31"/>
      <c r="GG381" s="31"/>
      <c r="GH381" s="31"/>
    </row>
    <row r="382" spans="1:190" ht="15.75" customHeight="1" x14ac:dyDescent="0.3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>
        <v>380</v>
      </c>
      <c r="U382" s="31" t="s">
        <v>194</v>
      </c>
      <c r="V382" s="31" t="s">
        <v>195</v>
      </c>
      <c r="W382" s="31" t="s">
        <v>196</v>
      </c>
      <c r="X382" s="31" t="s">
        <v>2472</v>
      </c>
      <c r="Y382" s="31" t="s">
        <v>2473</v>
      </c>
      <c r="Z382" s="31" t="s">
        <v>2474</v>
      </c>
      <c r="AA382" s="32" t="s">
        <v>202</v>
      </c>
      <c r="AB382" s="32" t="s">
        <v>203</v>
      </c>
      <c r="AC382" s="32" t="s">
        <v>204</v>
      </c>
      <c r="AD382" s="31" t="s">
        <v>205</v>
      </c>
      <c r="AE382" s="31" t="s">
        <v>897</v>
      </c>
      <c r="AF382" s="31" t="s">
        <v>207</v>
      </c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1"/>
      <c r="DD382" s="31"/>
      <c r="DE382" s="31"/>
      <c r="DF382" s="31"/>
      <c r="DG382" s="31"/>
      <c r="DH382" s="31"/>
      <c r="DI382" s="31"/>
      <c r="DJ382" s="31"/>
      <c r="DK382" s="31"/>
      <c r="DL382" s="31"/>
      <c r="DM382" s="31"/>
      <c r="DN382" s="31"/>
      <c r="DO382" s="31"/>
      <c r="DP382" s="31"/>
      <c r="DQ382" s="31"/>
      <c r="DR382" s="31"/>
      <c r="DS382" s="31"/>
      <c r="DT382" s="31"/>
      <c r="DU382" s="31"/>
      <c r="DV382" s="31"/>
      <c r="DW382" s="31"/>
      <c r="DX382" s="31"/>
      <c r="DY382" s="31"/>
      <c r="DZ382" s="31"/>
      <c r="EA382" s="31"/>
      <c r="EB382" s="31"/>
      <c r="EC382" s="31"/>
      <c r="ED382" s="31"/>
      <c r="EE382" s="31"/>
      <c r="EF382" s="31"/>
      <c r="EG382" s="31"/>
      <c r="EH382" s="31"/>
      <c r="EI382" s="31"/>
      <c r="EJ382" s="31"/>
      <c r="EK382" s="31"/>
      <c r="EL382" s="31"/>
      <c r="EM382" s="31"/>
      <c r="EN382" s="31"/>
      <c r="EO382" s="31"/>
      <c r="EP382" s="31"/>
      <c r="EQ382" s="31"/>
      <c r="ER382" s="31"/>
      <c r="ES382" s="31"/>
      <c r="ET382" s="31"/>
      <c r="EU382" s="31"/>
      <c r="EV382" s="31"/>
      <c r="EW382" s="31"/>
      <c r="EX382" s="31"/>
      <c r="EY382" s="31"/>
      <c r="EZ382" s="31"/>
      <c r="FA382" s="31"/>
      <c r="FB382" s="31"/>
      <c r="FC382" s="31"/>
      <c r="FD382" s="31"/>
      <c r="FE382" s="31"/>
      <c r="FF382" s="31"/>
      <c r="FG382" s="31"/>
      <c r="FH382" s="31"/>
      <c r="FI382" s="31"/>
      <c r="FJ382" s="31"/>
      <c r="FK382" s="31"/>
      <c r="FL382" s="31"/>
      <c r="FM382" s="31"/>
      <c r="FN382" s="31"/>
      <c r="FO382" s="31"/>
      <c r="FP382" s="31"/>
      <c r="FQ382" s="31"/>
      <c r="FR382" s="31"/>
      <c r="FS382" s="31"/>
      <c r="FT382" s="31"/>
      <c r="FU382" s="31"/>
      <c r="FV382" s="31"/>
      <c r="FW382" s="31"/>
      <c r="FX382" s="31"/>
      <c r="FY382" s="31"/>
      <c r="FZ382" s="31"/>
      <c r="GA382" s="31"/>
      <c r="GB382" s="31"/>
      <c r="GC382" s="31"/>
      <c r="GD382" s="31"/>
      <c r="GE382" s="31"/>
      <c r="GF382" s="31"/>
      <c r="GG382" s="31"/>
      <c r="GH382" s="31"/>
    </row>
    <row r="383" spans="1:190" ht="15.75" customHeight="1" x14ac:dyDescent="0.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>
        <v>381</v>
      </c>
      <c r="U383" s="31" t="s">
        <v>194</v>
      </c>
      <c r="V383" s="31" t="s">
        <v>294</v>
      </c>
      <c r="W383" s="31" t="s">
        <v>776</v>
      </c>
      <c r="X383" s="31" t="s">
        <v>2475</v>
      </c>
      <c r="Y383" s="31" t="s">
        <v>2476</v>
      </c>
      <c r="Z383" s="31" t="s">
        <v>2477</v>
      </c>
      <c r="AA383" s="32" t="s">
        <v>202</v>
      </c>
      <c r="AB383" s="32" t="s">
        <v>300</v>
      </c>
      <c r="AC383" s="32" t="s">
        <v>779</v>
      </c>
      <c r="AD383" s="31" t="s">
        <v>2012</v>
      </c>
      <c r="AE383" s="31" t="s">
        <v>303</v>
      </c>
      <c r="AF383" s="31" t="s">
        <v>1182</v>
      </c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  <c r="DT383" s="31"/>
      <c r="DU383" s="31"/>
      <c r="DV383" s="31"/>
      <c r="DW383" s="31"/>
      <c r="DX383" s="31"/>
      <c r="DY383" s="31"/>
      <c r="DZ383" s="31"/>
      <c r="EA383" s="31"/>
      <c r="EB383" s="31"/>
      <c r="EC383" s="31"/>
      <c r="ED383" s="31"/>
      <c r="EE383" s="31"/>
      <c r="EF383" s="31"/>
      <c r="EG383" s="31"/>
      <c r="EH383" s="31"/>
      <c r="EI383" s="31"/>
      <c r="EJ383" s="31"/>
      <c r="EK383" s="31"/>
      <c r="EL383" s="31"/>
      <c r="EM383" s="31"/>
      <c r="EN383" s="31"/>
      <c r="EO383" s="31"/>
      <c r="EP383" s="31"/>
      <c r="EQ383" s="31"/>
      <c r="ER383" s="31"/>
      <c r="ES383" s="31"/>
      <c r="ET383" s="31"/>
      <c r="EU383" s="31"/>
      <c r="EV383" s="31"/>
      <c r="EW383" s="31"/>
      <c r="EX383" s="31"/>
      <c r="EY383" s="31"/>
      <c r="EZ383" s="31"/>
      <c r="FA383" s="31"/>
      <c r="FB383" s="31"/>
      <c r="FC383" s="31"/>
      <c r="FD383" s="31"/>
      <c r="FE383" s="31"/>
      <c r="FF383" s="31"/>
      <c r="FG383" s="31"/>
      <c r="FH383" s="31"/>
      <c r="FI383" s="31"/>
      <c r="FJ383" s="31"/>
      <c r="FK383" s="31"/>
      <c r="FL383" s="31"/>
      <c r="FM383" s="31"/>
      <c r="FN383" s="31"/>
      <c r="FO383" s="31"/>
      <c r="FP383" s="31"/>
      <c r="FQ383" s="31"/>
      <c r="FR383" s="31"/>
      <c r="FS383" s="31"/>
      <c r="FT383" s="31"/>
      <c r="FU383" s="31"/>
      <c r="FV383" s="31"/>
      <c r="FW383" s="31"/>
      <c r="FX383" s="31"/>
      <c r="FY383" s="31"/>
      <c r="FZ383" s="31"/>
      <c r="GA383" s="31"/>
      <c r="GB383" s="31"/>
      <c r="GC383" s="31"/>
      <c r="GD383" s="31"/>
      <c r="GE383" s="31"/>
      <c r="GF383" s="31"/>
      <c r="GG383" s="31"/>
      <c r="GH383" s="31"/>
    </row>
    <row r="384" spans="1:190" ht="15.75" customHeight="1" x14ac:dyDescent="0.3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>
        <v>382</v>
      </c>
      <c r="U384" s="31" t="s">
        <v>360</v>
      </c>
      <c r="V384" s="31" t="s">
        <v>647</v>
      </c>
      <c r="W384" s="31" t="s">
        <v>867</v>
      </c>
      <c r="X384" s="31" t="s">
        <v>2478</v>
      </c>
      <c r="Y384" s="31" t="s">
        <v>2479</v>
      </c>
      <c r="Z384" s="31" t="s">
        <v>2480</v>
      </c>
      <c r="AA384" s="32" t="s">
        <v>418</v>
      </c>
      <c r="AB384" s="32" t="s">
        <v>648</v>
      </c>
      <c r="AC384" s="32" t="s">
        <v>868</v>
      </c>
      <c r="AD384" s="31" t="s">
        <v>303</v>
      </c>
      <c r="AE384" s="31"/>
      <c r="AF384" s="31" t="s">
        <v>1055</v>
      </c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  <c r="DT384" s="31"/>
      <c r="DU384" s="31"/>
      <c r="DV384" s="31"/>
      <c r="DW384" s="31"/>
      <c r="DX384" s="31"/>
      <c r="DY384" s="31"/>
      <c r="DZ384" s="31"/>
      <c r="EA384" s="31"/>
      <c r="EB384" s="31"/>
      <c r="EC384" s="31"/>
      <c r="ED384" s="31"/>
      <c r="EE384" s="31"/>
      <c r="EF384" s="31"/>
      <c r="EG384" s="31"/>
      <c r="EH384" s="31"/>
      <c r="EI384" s="31"/>
      <c r="EJ384" s="31"/>
      <c r="EK384" s="31"/>
      <c r="EL384" s="31"/>
      <c r="EM384" s="31"/>
      <c r="EN384" s="31"/>
      <c r="EO384" s="31"/>
      <c r="EP384" s="31"/>
      <c r="EQ384" s="31"/>
      <c r="ER384" s="31"/>
      <c r="ES384" s="31"/>
      <c r="ET384" s="31"/>
      <c r="EU384" s="31"/>
      <c r="EV384" s="31"/>
      <c r="EW384" s="31"/>
      <c r="EX384" s="31"/>
      <c r="EY384" s="31"/>
      <c r="EZ384" s="31"/>
      <c r="FA384" s="31"/>
      <c r="FB384" s="31"/>
      <c r="FC384" s="31"/>
      <c r="FD384" s="31"/>
      <c r="FE384" s="31"/>
      <c r="FF384" s="31"/>
      <c r="FG384" s="31"/>
      <c r="FH384" s="31"/>
      <c r="FI384" s="31"/>
      <c r="FJ384" s="31"/>
      <c r="FK384" s="31"/>
      <c r="FL384" s="31"/>
      <c r="FM384" s="31"/>
      <c r="FN384" s="31"/>
      <c r="FO384" s="31"/>
      <c r="FP384" s="31"/>
      <c r="FQ384" s="31"/>
      <c r="FR384" s="31"/>
      <c r="FS384" s="31"/>
      <c r="FT384" s="31"/>
      <c r="FU384" s="31"/>
      <c r="FV384" s="31"/>
      <c r="FW384" s="31"/>
      <c r="FX384" s="31"/>
      <c r="FY384" s="31"/>
      <c r="FZ384" s="31"/>
      <c r="GA384" s="31"/>
      <c r="GB384" s="31"/>
      <c r="GC384" s="31"/>
      <c r="GD384" s="31"/>
      <c r="GE384" s="31"/>
      <c r="GF384" s="31"/>
      <c r="GG384" s="31"/>
      <c r="GH384" s="31"/>
    </row>
    <row r="385" spans="1:190" ht="15.75" customHeight="1" x14ac:dyDescent="0.3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>
        <v>383</v>
      </c>
      <c r="U385" s="31" t="s">
        <v>187</v>
      </c>
      <c r="V385" s="31" t="s">
        <v>187</v>
      </c>
      <c r="W385" s="31" t="s">
        <v>363</v>
      </c>
      <c r="X385" s="31" t="s">
        <v>2481</v>
      </c>
      <c r="Y385" s="31" t="s">
        <v>2482</v>
      </c>
      <c r="Z385" s="31" t="s">
        <v>2483</v>
      </c>
      <c r="AA385" s="32" t="s">
        <v>286</v>
      </c>
      <c r="AB385" s="32" t="s">
        <v>190</v>
      </c>
      <c r="AC385" s="32" t="s">
        <v>303</v>
      </c>
      <c r="AD385" s="31"/>
      <c r="AE385" s="31"/>
      <c r="AF385" s="31" t="s">
        <v>571</v>
      </c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1"/>
      <c r="DU385" s="31"/>
      <c r="DV385" s="31"/>
      <c r="DW385" s="31"/>
      <c r="DX385" s="31"/>
      <c r="DY385" s="31"/>
      <c r="DZ385" s="31"/>
      <c r="EA385" s="31"/>
      <c r="EB385" s="31"/>
      <c r="EC385" s="31"/>
      <c r="ED385" s="31"/>
      <c r="EE385" s="31"/>
      <c r="EF385" s="31"/>
      <c r="EG385" s="31"/>
      <c r="EH385" s="31"/>
      <c r="EI385" s="31"/>
      <c r="EJ385" s="31"/>
      <c r="EK385" s="31"/>
      <c r="EL385" s="31"/>
      <c r="EM385" s="31"/>
      <c r="EN385" s="31"/>
      <c r="EO385" s="31"/>
      <c r="EP385" s="31"/>
      <c r="EQ385" s="31"/>
      <c r="ER385" s="31"/>
      <c r="ES385" s="31"/>
      <c r="ET385" s="31"/>
      <c r="EU385" s="31"/>
      <c r="EV385" s="31"/>
      <c r="EW385" s="31"/>
      <c r="EX385" s="31"/>
      <c r="EY385" s="31"/>
      <c r="EZ385" s="31"/>
      <c r="FA385" s="31"/>
      <c r="FB385" s="31"/>
      <c r="FC385" s="31"/>
      <c r="FD385" s="31"/>
      <c r="FE385" s="31"/>
      <c r="FF385" s="31"/>
      <c r="FG385" s="31"/>
      <c r="FH385" s="31"/>
      <c r="FI385" s="31"/>
      <c r="FJ385" s="31"/>
      <c r="FK385" s="31"/>
      <c r="FL385" s="31"/>
      <c r="FM385" s="31"/>
      <c r="FN385" s="31"/>
      <c r="FO385" s="31"/>
      <c r="FP385" s="31"/>
      <c r="FQ385" s="31"/>
      <c r="FR385" s="31"/>
      <c r="FS385" s="31"/>
      <c r="FT385" s="31"/>
      <c r="FU385" s="31"/>
      <c r="FV385" s="31"/>
      <c r="FW385" s="31"/>
      <c r="FX385" s="31"/>
      <c r="FY385" s="31"/>
      <c r="FZ385" s="31"/>
      <c r="GA385" s="31"/>
      <c r="GB385" s="31"/>
      <c r="GC385" s="31"/>
      <c r="GD385" s="31"/>
      <c r="GE385" s="31"/>
      <c r="GF385" s="31"/>
      <c r="GG385" s="31"/>
      <c r="GH385" s="31"/>
    </row>
    <row r="386" spans="1:190" ht="15.75" customHeight="1" x14ac:dyDescent="0.3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>
        <v>384</v>
      </c>
      <c r="U386" s="31" t="s">
        <v>187</v>
      </c>
      <c r="V386" s="31" t="s">
        <v>520</v>
      </c>
      <c r="W386" s="31" t="s">
        <v>767</v>
      </c>
      <c r="X386" s="31" t="s">
        <v>2484</v>
      </c>
      <c r="Y386" s="31" t="s">
        <v>2485</v>
      </c>
      <c r="Z386" s="31" t="s">
        <v>2486</v>
      </c>
      <c r="AA386" s="32" t="s">
        <v>286</v>
      </c>
      <c r="AB386" s="32" t="s">
        <v>521</v>
      </c>
      <c r="AC386" s="32" t="s">
        <v>768</v>
      </c>
      <c r="AD386" s="31" t="s">
        <v>1468</v>
      </c>
      <c r="AE386" s="31" t="s">
        <v>303</v>
      </c>
      <c r="AF386" s="31" t="s">
        <v>853</v>
      </c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  <c r="DI386" s="31"/>
      <c r="DJ386" s="31"/>
      <c r="DK386" s="31"/>
      <c r="DL386" s="31"/>
      <c r="DM386" s="31"/>
      <c r="DN386" s="31"/>
      <c r="DO386" s="31"/>
      <c r="DP386" s="31"/>
      <c r="DQ386" s="31"/>
      <c r="DR386" s="31"/>
      <c r="DS386" s="31"/>
      <c r="DT386" s="31"/>
      <c r="DU386" s="31"/>
      <c r="DV386" s="31"/>
      <c r="DW386" s="31"/>
      <c r="DX386" s="31"/>
      <c r="DY386" s="31"/>
      <c r="DZ386" s="31"/>
      <c r="EA386" s="31"/>
      <c r="EB386" s="31"/>
      <c r="EC386" s="31"/>
      <c r="ED386" s="31"/>
      <c r="EE386" s="31"/>
      <c r="EF386" s="31"/>
      <c r="EG386" s="31"/>
      <c r="EH386" s="31"/>
      <c r="EI386" s="31"/>
      <c r="EJ386" s="31"/>
      <c r="EK386" s="31"/>
      <c r="EL386" s="31"/>
      <c r="EM386" s="31"/>
      <c r="EN386" s="31"/>
      <c r="EO386" s="31"/>
      <c r="EP386" s="31"/>
      <c r="EQ386" s="31"/>
      <c r="ER386" s="31"/>
      <c r="ES386" s="31"/>
      <c r="ET386" s="31"/>
      <c r="EU386" s="31"/>
      <c r="EV386" s="31"/>
      <c r="EW386" s="31"/>
      <c r="EX386" s="31"/>
      <c r="EY386" s="31"/>
      <c r="EZ386" s="31"/>
      <c r="FA386" s="31"/>
      <c r="FB386" s="31"/>
      <c r="FC386" s="31"/>
      <c r="FD386" s="31"/>
      <c r="FE386" s="31"/>
      <c r="FF386" s="31"/>
      <c r="FG386" s="31"/>
      <c r="FH386" s="31"/>
      <c r="FI386" s="31"/>
      <c r="FJ386" s="31"/>
      <c r="FK386" s="31"/>
      <c r="FL386" s="31"/>
      <c r="FM386" s="31"/>
      <c r="FN386" s="31"/>
      <c r="FO386" s="31"/>
      <c r="FP386" s="31"/>
      <c r="FQ386" s="31"/>
      <c r="FR386" s="31"/>
      <c r="FS386" s="31"/>
      <c r="FT386" s="31"/>
      <c r="FU386" s="31"/>
      <c r="FV386" s="31"/>
      <c r="FW386" s="31"/>
      <c r="FX386" s="31"/>
      <c r="FY386" s="31"/>
      <c r="FZ386" s="31"/>
      <c r="GA386" s="31"/>
      <c r="GB386" s="31"/>
      <c r="GC386" s="31"/>
      <c r="GD386" s="31"/>
      <c r="GE386" s="31"/>
      <c r="GF386" s="31"/>
      <c r="GG386" s="31"/>
      <c r="GH386" s="31"/>
    </row>
    <row r="387" spans="1:190" ht="15.75" customHeight="1" x14ac:dyDescent="0.3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>
        <v>385</v>
      </c>
      <c r="U387" s="31" t="s">
        <v>194</v>
      </c>
      <c r="V387" s="31" t="s">
        <v>729</v>
      </c>
      <c r="W387" s="31" t="s">
        <v>987</v>
      </c>
      <c r="X387" s="31" t="s">
        <v>2487</v>
      </c>
      <c r="Y387" s="31" t="s">
        <v>2488</v>
      </c>
      <c r="Z387" s="31" t="s">
        <v>626</v>
      </c>
      <c r="AA387" s="32" t="s">
        <v>202</v>
      </c>
      <c r="AB387" s="32" t="s">
        <v>736</v>
      </c>
      <c r="AC387" s="32" t="s">
        <v>901</v>
      </c>
      <c r="AD387" s="31" t="s">
        <v>303</v>
      </c>
      <c r="AE387" s="31"/>
      <c r="AF387" s="31" t="s">
        <v>1201</v>
      </c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  <c r="DT387" s="31"/>
      <c r="DU387" s="31"/>
      <c r="DV387" s="31"/>
      <c r="DW387" s="31"/>
      <c r="DX387" s="31"/>
      <c r="DY387" s="31"/>
      <c r="DZ387" s="31"/>
      <c r="EA387" s="31"/>
      <c r="EB387" s="31"/>
      <c r="EC387" s="31"/>
      <c r="ED387" s="31"/>
      <c r="EE387" s="31"/>
      <c r="EF387" s="31"/>
      <c r="EG387" s="31"/>
      <c r="EH387" s="31"/>
      <c r="EI387" s="31"/>
      <c r="EJ387" s="31"/>
      <c r="EK387" s="31"/>
      <c r="EL387" s="31"/>
      <c r="EM387" s="31"/>
      <c r="EN387" s="31"/>
      <c r="EO387" s="31"/>
      <c r="EP387" s="31"/>
      <c r="EQ387" s="31"/>
      <c r="ER387" s="31"/>
      <c r="ES387" s="31"/>
      <c r="ET387" s="31"/>
      <c r="EU387" s="31"/>
      <c r="EV387" s="31"/>
      <c r="EW387" s="31"/>
      <c r="EX387" s="31"/>
      <c r="EY387" s="31"/>
      <c r="EZ387" s="31"/>
      <c r="FA387" s="31"/>
      <c r="FB387" s="31"/>
      <c r="FC387" s="31"/>
      <c r="FD387" s="31"/>
      <c r="FE387" s="31"/>
      <c r="FF387" s="31"/>
      <c r="FG387" s="31"/>
      <c r="FH387" s="31"/>
      <c r="FI387" s="31"/>
      <c r="FJ387" s="31"/>
      <c r="FK387" s="31"/>
      <c r="FL387" s="31"/>
      <c r="FM387" s="31"/>
      <c r="FN387" s="31"/>
      <c r="FO387" s="31"/>
      <c r="FP387" s="31"/>
      <c r="FQ387" s="31"/>
      <c r="FR387" s="31"/>
      <c r="FS387" s="31"/>
      <c r="FT387" s="31"/>
      <c r="FU387" s="31"/>
      <c r="FV387" s="31"/>
      <c r="FW387" s="31"/>
      <c r="FX387" s="31"/>
      <c r="FY387" s="31"/>
      <c r="FZ387" s="31"/>
      <c r="GA387" s="31"/>
      <c r="GB387" s="31"/>
      <c r="GC387" s="31"/>
      <c r="GD387" s="31"/>
      <c r="GE387" s="31"/>
      <c r="GF387" s="31"/>
      <c r="GG387" s="31"/>
      <c r="GH387" s="31"/>
    </row>
    <row r="388" spans="1:190" ht="15.75" customHeight="1" x14ac:dyDescent="0.3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>
        <v>386</v>
      </c>
      <c r="U388" s="31" t="s">
        <v>187</v>
      </c>
      <c r="V388" s="31" t="s">
        <v>187</v>
      </c>
      <c r="W388" s="31" t="s">
        <v>187</v>
      </c>
      <c r="X388" s="31" t="s">
        <v>2489</v>
      </c>
      <c r="Y388" s="31" t="s">
        <v>2490</v>
      </c>
      <c r="Z388" s="31" t="s">
        <v>2491</v>
      </c>
      <c r="AA388" s="32" t="s">
        <v>286</v>
      </c>
      <c r="AB388" s="32" t="s">
        <v>190</v>
      </c>
      <c r="AC388" s="32" t="s">
        <v>193</v>
      </c>
      <c r="AD388" s="31" t="s">
        <v>1911</v>
      </c>
      <c r="AE388" s="31" t="s">
        <v>303</v>
      </c>
      <c r="AF388" s="31" t="s">
        <v>436</v>
      </c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1"/>
      <c r="DO388" s="31"/>
      <c r="DP388" s="31"/>
      <c r="DQ388" s="31"/>
      <c r="DR388" s="31"/>
      <c r="DS388" s="31"/>
      <c r="DT388" s="31"/>
      <c r="DU388" s="31"/>
      <c r="DV388" s="31"/>
      <c r="DW388" s="31"/>
      <c r="DX388" s="31"/>
      <c r="DY388" s="31"/>
      <c r="DZ388" s="31"/>
      <c r="EA388" s="31"/>
      <c r="EB388" s="31"/>
      <c r="EC388" s="31"/>
      <c r="ED388" s="31"/>
      <c r="EE388" s="31"/>
      <c r="EF388" s="31"/>
      <c r="EG388" s="31"/>
      <c r="EH388" s="31"/>
      <c r="EI388" s="31"/>
      <c r="EJ388" s="31"/>
      <c r="EK388" s="31"/>
      <c r="EL388" s="31"/>
      <c r="EM388" s="31"/>
      <c r="EN388" s="31"/>
      <c r="EO388" s="31"/>
      <c r="EP388" s="31"/>
      <c r="EQ388" s="31"/>
      <c r="ER388" s="31"/>
      <c r="ES388" s="31"/>
      <c r="ET388" s="31"/>
      <c r="EU388" s="31"/>
      <c r="EV388" s="31"/>
      <c r="EW388" s="31"/>
      <c r="EX388" s="31"/>
      <c r="EY388" s="31"/>
      <c r="EZ388" s="31"/>
      <c r="FA388" s="31"/>
      <c r="FB388" s="31"/>
      <c r="FC388" s="31"/>
      <c r="FD388" s="31"/>
      <c r="FE388" s="31"/>
      <c r="FF388" s="31"/>
      <c r="FG388" s="31"/>
      <c r="FH388" s="31"/>
      <c r="FI388" s="31"/>
      <c r="FJ388" s="31"/>
      <c r="FK388" s="31"/>
      <c r="FL388" s="31"/>
      <c r="FM388" s="31"/>
      <c r="FN388" s="31"/>
      <c r="FO388" s="31"/>
      <c r="FP388" s="31"/>
      <c r="FQ388" s="31"/>
      <c r="FR388" s="31"/>
      <c r="FS388" s="31"/>
      <c r="FT388" s="31"/>
      <c r="FU388" s="31"/>
      <c r="FV388" s="31"/>
      <c r="FW388" s="31"/>
      <c r="FX388" s="31"/>
      <c r="FY388" s="31"/>
      <c r="FZ388" s="31"/>
      <c r="GA388" s="31"/>
      <c r="GB388" s="31"/>
      <c r="GC388" s="31"/>
      <c r="GD388" s="31"/>
      <c r="GE388" s="31"/>
      <c r="GF388" s="31"/>
      <c r="GG388" s="31"/>
      <c r="GH388" s="31"/>
    </row>
    <row r="389" spans="1:190" ht="15.75" customHeight="1" x14ac:dyDescent="0.3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>
        <v>387</v>
      </c>
      <c r="U389" s="31" t="s">
        <v>360</v>
      </c>
      <c r="V389" s="31" t="s">
        <v>600</v>
      </c>
      <c r="W389" s="31" t="s">
        <v>829</v>
      </c>
      <c r="X389" s="31" t="s">
        <v>2492</v>
      </c>
      <c r="Y389" s="31" t="s">
        <v>2493</v>
      </c>
      <c r="Z389" s="31" t="s">
        <v>2494</v>
      </c>
      <c r="AA389" s="32" t="s">
        <v>418</v>
      </c>
      <c r="AB389" s="32" t="s">
        <v>605</v>
      </c>
      <c r="AC389" s="32" t="s">
        <v>830</v>
      </c>
      <c r="AD389" s="31" t="s">
        <v>303</v>
      </c>
      <c r="AE389" s="31"/>
      <c r="AF389" s="31" t="s">
        <v>1011</v>
      </c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  <c r="DT389" s="31"/>
      <c r="DU389" s="31"/>
      <c r="DV389" s="31"/>
      <c r="DW389" s="31"/>
      <c r="DX389" s="31"/>
      <c r="DY389" s="31"/>
      <c r="DZ389" s="31"/>
      <c r="EA389" s="31"/>
      <c r="EB389" s="31"/>
      <c r="EC389" s="31"/>
      <c r="ED389" s="31"/>
      <c r="EE389" s="31"/>
      <c r="EF389" s="31"/>
      <c r="EG389" s="31"/>
      <c r="EH389" s="31"/>
      <c r="EI389" s="31"/>
      <c r="EJ389" s="31"/>
      <c r="EK389" s="31"/>
      <c r="EL389" s="31"/>
      <c r="EM389" s="31"/>
      <c r="EN389" s="31"/>
      <c r="EO389" s="31"/>
      <c r="EP389" s="31"/>
      <c r="EQ389" s="31"/>
      <c r="ER389" s="31"/>
      <c r="ES389" s="31"/>
      <c r="ET389" s="31"/>
      <c r="EU389" s="31"/>
      <c r="EV389" s="31"/>
      <c r="EW389" s="31"/>
      <c r="EX389" s="31"/>
      <c r="EY389" s="31"/>
      <c r="EZ389" s="31"/>
      <c r="FA389" s="31"/>
      <c r="FB389" s="31"/>
      <c r="FC389" s="31"/>
      <c r="FD389" s="31"/>
      <c r="FE389" s="31"/>
      <c r="FF389" s="31"/>
      <c r="FG389" s="31"/>
      <c r="FH389" s="31"/>
      <c r="FI389" s="31"/>
      <c r="FJ389" s="31"/>
      <c r="FK389" s="31"/>
      <c r="FL389" s="31"/>
      <c r="FM389" s="31"/>
      <c r="FN389" s="31"/>
      <c r="FO389" s="31"/>
      <c r="FP389" s="31"/>
      <c r="FQ389" s="31"/>
      <c r="FR389" s="31"/>
      <c r="FS389" s="31"/>
      <c r="FT389" s="31"/>
      <c r="FU389" s="31"/>
      <c r="FV389" s="31"/>
      <c r="FW389" s="31"/>
      <c r="FX389" s="31"/>
      <c r="FY389" s="31"/>
      <c r="FZ389" s="31"/>
      <c r="GA389" s="31"/>
      <c r="GB389" s="31"/>
      <c r="GC389" s="31"/>
      <c r="GD389" s="31"/>
      <c r="GE389" s="31"/>
      <c r="GF389" s="31"/>
      <c r="GG389" s="31"/>
      <c r="GH389" s="31"/>
    </row>
    <row r="390" spans="1:190" ht="15.75" customHeight="1" x14ac:dyDescent="0.3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>
        <v>388</v>
      </c>
      <c r="U390" s="31" t="s">
        <v>360</v>
      </c>
      <c r="V390" s="31" t="s">
        <v>363</v>
      </c>
      <c r="W390" s="31" t="s">
        <v>363</v>
      </c>
      <c r="X390" s="31" t="s">
        <v>2495</v>
      </c>
      <c r="Y390" s="31" t="s">
        <v>2496</v>
      </c>
      <c r="Z390" s="31" t="s">
        <v>2497</v>
      </c>
      <c r="AA390" s="32" t="s">
        <v>418</v>
      </c>
      <c r="AB390" s="32" t="s">
        <v>303</v>
      </c>
      <c r="AC390" s="32"/>
      <c r="AD390" s="31"/>
      <c r="AE390" s="31"/>
      <c r="AF390" s="31" t="s">
        <v>1480</v>
      </c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  <c r="DT390" s="31"/>
      <c r="DU390" s="31"/>
      <c r="DV390" s="31"/>
      <c r="DW390" s="31"/>
      <c r="DX390" s="31"/>
      <c r="DY390" s="31"/>
      <c r="DZ390" s="31"/>
      <c r="EA390" s="31"/>
      <c r="EB390" s="31"/>
      <c r="EC390" s="31"/>
      <c r="ED390" s="31"/>
      <c r="EE390" s="31"/>
      <c r="EF390" s="31"/>
      <c r="EG390" s="31"/>
      <c r="EH390" s="31"/>
      <c r="EI390" s="31"/>
      <c r="EJ390" s="31"/>
      <c r="EK390" s="31"/>
      <c r="EL390" s="31"/>
      <c r="EM390" s="31"/>
      <c r="EN390" s="31"/>
      <c r="EO390" s="31"/>
      <c r="EP390" s="31"/>
      <c r="EQ390" s="31"/>
      <c r="ER390" s="31"/>
      <c r="ES390" s="31"/>
      <c r="ET390" s="31"/>
      <c r="EU390" s="31"/>
      <c r="EV390" s="31"/>
      <c r="EW390" s="31"/>
      <c r="EX390" s="31"/>
      <c r="EY390" s="31"/>
      <c r="EZ390" s="31"/>
      <c r="FA390" s="31"/>
      <c r="FB390" s="31"/>
      <c r="FC390" s="31"/>
      <c r="FD390" s="31"/>
      <c r="FE390" s="31"/>
      <c r="FF390" s="31"/>
      <c r="FG390" s="31"/>
      <c r="FH390" s="31"/>
      <c r="FI390" s="31"/>
      <c r="FJ390" s="31"/>
      <c r="FK390" s="31"/>
      <c r="FL390" s="31"/>
      <c r="FM390" s="31"/>
      <c r="FN390" s="31"/>
      <c r="FO390" s="31"/>
      <c r="FP390" s="31"/>
      <c r="FQ390" s="31"/>
      <c r="FR390" s="31"/>
      <c r="FS390" s="31"/>
      <c r="FT390" s="31"/>
      <c r="FU390" s="31"/>
      <c r="FV390" s="31"/>
      <c r="FW390" s="31"/>
      <c r="FX390" s="31"/>
      <c r="FY390" s="31"/>
      <c r="FZ390" s="31"/>
      <c r="GA390" s="31"/>
      <c r="GB390" s="31"/>
      <c r="GC390" s="31"/>
      <c r="GD390" s="31"/>
      <c r="GE390" s="31"/>
      <c r="GF390" s="31"/>
      <c r="GG390" s="31"/>
      <c r="GH390" s="31"/>
    </row>
    <row r="391" spans="1:190" ht="15.75" customHeight="1" x14ac:dyDescent="0.3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>
        <v>389</v>
      </c>
      <c r="U391" s="31" t="s">
        <v>194</v>
      </c>
      <c r="V391" s="31" t="s">
        <v>195</v>
      </c>
      <c r="W391" s="31" t="s">
        <v>196</v>
      </c>
      <c r="X391" s="31" t="s">
        <v>2498</v>
      </c>
      <c r="Y391" s="31" t="s">
        <v>2499</v>
      </c>
      <c r="Z391" s="31" t="s">
        <v>2500</v>
      </c>
      <c r="AA391" s="32" t="s">
        <v>202</v>
      </c>
      <c r="AB391" s="32" t="s">
        <v>203</v>
      </c>
      <c r="AC391" s="32" t="s">
        <v>204</v>
      </c>
      <c r="AD391" s="31" t="s">
        <v>303</v>
      </c>
      <c r="AE391" s="31"/>
      <c r="AF391" s="31" t="s">
        <v>956</v>
      </c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  <c r="DI391" s="31"/>
      <c r="DJ391" s="31"/>
      <c r="DK391" s="31"/>
      <c r="DL391" s="31"/>
      <c r="DM391" s="31"/>
      <c r="DN391" s="31"/>
      <c r="DO391" s="31"/>
      <c r="DP391" s="31"/>
      <c r="DQ391" s="31"/>
      <c r="DR391" s="31"/>
      <c r="DS391" s="31"/>
      <c r="DT391" s="31"/>
      <c r="DU391" s="31"/>
      <c r="DV391" s="31"/>
      <c r="DW391" s="31"/>
      <c r="DX391" s="31"/>
      <c r="DY391" s="31"/>
      <c r="DZ391" s="31"/>
      <c r="EA391" s="31"/>
      <c r="EB391" s="31"/>
      <c r="EC391" s="31"/>
      <c r="ED391" s="31"/>
      <c r="EE391" s="31"/>
      <c r="EF391" s="31"/>
      <c r="EG391" s="31"/>
      <c r="EH391" s="31"/>
      <c r="EI391" s="31"/>
      <c r="EJ391" s="31"/>
      <c r="EK391" s="31"/>
      <c r="EL391" s="31"/>
      <c r="EM391" s="31"/>
      <c r="EN391" s="31"/>
      <c r="EO391" s="31"/>
      <c r="EP391" s="31"/>
      <c r="EQ391" s="31"/>
      <c r="ER391" s="31"/>
      <c r="ES391" s="31"/>
      <c r="ET391" s="31"/>
      <c r="EU391" s="31"/>
      <c r="EV391" s="31"/>
      <c r="EW391" s="31"/>
      <c r="EX391" s="31"/>
      <c r="EY391" s="31"/>
      <c r="EZ391" s="31"/>
      <c r="FA391" s="31"/>
      <c r="FB391" s="31"/>
      <c r="FC391" s="31"/>
      <c r="FD391" s="31"/>
      <c r="FE391" s="31"/>
      <c r="FF391" s="31"/>
      <c r="FG391" s="31"/>
      <c r="FH391" s="31"/>
      <c r="FI391" s="31"/>
      <c r="FJ391" s="31"/>
      <c r="FK391" s="31"/>
      <c r="FL391" s="31"/>
      <c r="FM391" s="31"/>
      <c r="FN391" s="31"/>
      <c r="FO391" s="31"/>
      <c r="FP391" s="31"/>
      <c r="FQ391" s="31"/>
      <c r="FR391" s="31"/>
      <c r="FS391" s="31"/>
      <c r="FT391" s="31"/>
      <c r="FU391" s="31"/>
      <c r="FV391" s="31"/>
      <c r="FW391" s="31"/>
      <c r="FX391" s="31"/>
      <c r="FY391" s="31"/>
      <c r="FZ391" s="31"/>
      <c r="GA391" s="31"/>
      <c r="GB391" s="31"/>
      <c r="GC391" s="31"/>
      <c r="GD391" s="31"/>
      <c r="GE391" s="31"/>
      <c r="GF391" s="31"/>
      <c r="GG391" s="31"/>
      <c r="GH391" s="31"/>
    </row>
    <row r="392" spans="1:190" ht="15.75" customHeight="1" x14ac:dyDescent="0.3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>
        <v>390</v>
      </c>
      <c r="U392" s="31" t="s">
        <v>360</v>
      </c>
      <c r="V392" s="31" t="s">
        <v>647</v>
      </c>
      <c r="W392" s="31" t="s">
        <v>858</v>
      </c>
      <c r="X392" s="31" t="s">
        <v>1080</v>
      </c>
      <c r="Y392" s="31" t="s">
        <v>2501</v>
      </c>
      <c r="Z392" s="31" t="s">
        <v>2502</v>
      </c>
      <c r="AA392" s="32" t="s">
        <v>418</v>
      </c>
      <c r="AB392" s="32" t="s">
        <v>648</v>
      </c>
      <c r="AC392" s="32" t="s">
        <v>859</v>
      </c>
      <c r="AD392" s="31" t="s">
        <v>1963</v>
      </c>
      <c r="AE392" s="31" t="s">
        <v>303</v>
      </c>
      <c r="AF392" s="31" t="s">
        <v>1020</v>
      </c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  <c r="DT392" s="31"/>
      <c r="DU392" s="31"/>
      <c r="DV392" s="31"/>
      <c r="DW392" s="31"/>
      <c r="DX392" s="31"/>
      <c r="DY392" s="31"/>
      <c r="DZ392" s="31"/>
      <c r="EA392" s="31"/>
      <c r="EB392" s="31"/>
      <c r="EC392" s="31"/>
      <c r="ED392" s="31"/>
      <c r="EE392" s="31"/>
      <c r="EF392" s="31"/>
      <c r="EG392" s="31"/>
      <c r="EH392" s="31"/>
      <c r="EI392" s="31"/>
      <c r="EJ392" s="31"/>
      <c r="EK392" s="31"/>
      <c r="EL392" s="31"/>
      <c r="EM392" s="31"/>
      <c r="EN392" s="31"/>
      <c r="EO392" s="31"/>
      <c r="EP392" s="31"/>
      <c r="EQ392" s="31"/>
      <c r="ER392" s="31"/>
      <c r="ES392" s="31"/>
      <c r="ET392" s="31"/>
      <c r="EU392" s="31"/>
      <c r="EV392" s="31"/>
      <c r="EW392" s="31"/>
      <c r="EX392" s="31"/>
      <c r="EY392" s="31"/>
      <c r="EZ392" s="31"/>
      <c r="FA392" s="31"/>
      <c r="FB392" s="31"/>
      <c r="FC392" s="31"/>
      <c r="FD392" s="31"/>
      <c r="FE392" s="31"/>
      <c r="FF392" s="31"/>
      <c r="FG392" s="31"/>
      <c r="FH392" s="31"/>
      <c r="FI392" s="31"/>
      <c r="FJ392" s="31"/>
      <c r="FK392" s="31"/>
      <c r="FL392" s="31"/>
      <c r="FM392" s="31"/>
      <c r="FN392" s="31"/>
      <c r="FO392" s="31"/>
      <c r="FP392" s="31"/>
      <c r="FQ392" s="31"/>
      <c r="FR392" s="31"/>
      <c r="FS392" s="31"/>
      <c r="FT392" s="31"/>
      <c r="FU392" s="31"/>
      <c r="FV392" s="31"/>
      <c r="FW392" s="31"/>
      <c r="FX392" s="31"/>
      <c r="FY392" s="31"/>
      <c r="FZ392" s="31"/>
      <c r="GA392" s="31"/>
      <c r="GB392" s="31"/>
      <c r="GC392" s="31"/>
      <c r="GD392" s="31"/>
      <c r="GE392" s="31"/>
      <c r="GF392" s="31"/>
      <c r="GG392" s="31"/>
      <c r="GH392" s="31"/>
    </row>
    <row r="393" spans="1:190" ht="15.75" customHeight="1" x14ac:dyDescent="0.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>
        <v>391</v>
      </c>
      <c r="U393" s="31" t="s">
        <v>194</v>
      </c>
      <c r="V393" s="31" t="s">
        <v>294</v>
      </c>
      <c r="W393" s="31" t="s">
        <v>422</v>
      </c>
      <c r="X393" s="31" t="s">
        <v>2503</v>
      </c>
      <c r="Y393" s="31" t="s">
        <v>2504</v>
      </c>
      <c r="Z393" s="31" t="s">
        <v>2505</v>
      </c>
      <c r="AA393" s="32" t="s">
        <v>202</v>
      </c>
      <c r="AB393" s="32" t="s">
        <v>300</v>
      </c>
      <c r="AC393" s="32" t="s">
        <v>425</v>
      </c>
      <c r="AD393" s="31" t="s">
        <v>303</v>
      </c>
      <c r="AE393" s="31"/>
      <c r="AF393" s="31" t="s">
        <v>426</v>
      </c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  <c r="DT393" s="31"/>
      <c r="DU393" s="31"/>
      <c r="DV393" s="31"/>
      <c r="DW393" s="31"/>
      <c r="DX393" s="31"/>
      <c r="DY393" s="31"/>
      <c r="DZ393" s="31"/>
      <c r="EA393" s="31"/>
      <c r="EB393" s="31"/>
      <c r="EC393" s="31"/>
      <c r="ED393" s="31"/>
      <c r="EE393" s="31"/>
      <c r="EF393" s="31"/>
      <c r="EG393" s="31"/>
      <c r="EH393" s="31"/>
      <c r="EI393" s="31"/>
      <c r="EJ393" s="31"/>
      <c r="EK393" s="31"/>
      <c r="EL393" s="31"/>
      <c r="EM393" s="31"/>
      <c r="EN393" s="31"/>
      <c r="EO393" s="31"/>
      <c r="EP393" s="31"/>
      <c r="EQ393" s="31"/>
      <c r="ER393" s="31"/>
      <c r="ES393" s="31"/>
      <c r="ET393" s="31"/>
      <c r="EU393" s="31"/>
      <c r="EV393" s="31"/>
      <c r="EW393" s="31"/>
      <c r="EX393" s="31"/>
      <c r="EY393" s="31"/>
      <c r="EZ393" s="31"/>
      <c r="FA393" s="31"/>
      <c r="FB393" s="31"/>
      <c r="FC393" s="31"/>
      <c r="FD393" s="31"/>
      <c r="FE393" s="31"/>
      <c r="FF393" s="31"/>
      <c r="FG393" s="31"/>
      <c r="FH393" s="31"/>
      <c r="FI393" s="31"/>
      <c r="FJ393" s="31"/>
      <c r="FK393" s="31"/>
      <c r="FL393" s="31"/>
      <c r="FM393" s="31"/>
      <c r="FN393" s="31"/>
      <c r="FO393" s="31"/>
      <c r="FP393" s="31"/>
      <c r="FQ393" s="31"/>
      <c r="FR393" s="31"/>
      <c r="FS393" s="31"/>
      <c r="FT393" s="31"/>
      <c r="FU393" s="31"/>
      <c r="FV393" s="31"/>
      <c r="FW393" s="31"/>
      <c r="FX393" s="31"/>
      <c r="FY393" s="31"/>
      <c r="FZ393" s="31"/>
      <c r="GA393" s="31"/>
      <c r="GB393" s="31"/>
      <c r="GC393" s="31"/>
      <c r="GD393" s="31"/>
      <c r="GE393" s="31"/>
      <c r="GF393" s="31"/>
      <c r="GG393" s="31"/>
      <c r="GH393" s="31"/>
    </row>
    <row r="394" spans="1:190" ht="15.75" customHeight="1" x14ac:dyDescent="0.3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>
        <v>392</v>
      </c>
      <c r="U394" s="31" t="s">
        <v>187</v>
      </c>
      <c r="V394" s="31" t="s">
        <v>469</v>
      </c>
      <c r="W394" s="31" t="s">
        <v>474</v>
      </c>
      <c r="X394" s="31" t="s">
        <v>2506</v>
      </c>
      <c r="Y394" s="31" t="s">
        <v>2507</v>
      </c>
      <c r="Z394" s="31" t="s">
        <v>2508</v>
      </c>
      <c r="AA394" s="32" t="s">
        <v>286</v>
      </c>
      <c r="AB394" s="32" t="s">
        <v>470</v>
      </c>
      <c r="AC394" s="32" t="s">
        <v>480</v>
      </c>
      <c r="AD394" s="31" t="s">
        <v>947</v>
      </c>
      <c r="AE394" s="31" t="s">
        <v>303</v>
      </c>
      <c r="AF394" s="31" t="s">
        <v>798</v>
      </c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  <c r="DT394" s="31"/>
      <c r="DU394" s="31"/>
      <c r="DV394" s="31"/>
      <c r="DW394" s="31"/>
      <c r="DX394" s="31"/>
      <c r="DY394" s="31"/>
      <c r="DZ394" s="31"/>
      <c r="EA394" s="31"/>
      <c r="EB394" s="31"/>
      <c r="EC394" s="31"/>
      <c r="ED394" s="31"/>
      <c r="EE394" s="31"/>
      <c r="EF394" s="31"/>
      <c r="EG394" s="31"/>
      <c r="EH394" s="31"/>
      <c r="EI394" s="31"/>
      <c r="EJ394" s="31"/>
      <c r="EK394" s="31"/>
      <c r="EL394" s="31"/>
      <c r="EM394" s="31"/>
      <c r="EN394" s="31"/>
      <c r="EO394" s="31"/>
      <c r="EP394" s="31"/>
      <c r="EQ394" s="31"/>
      <c r="ER394" s="31"/>
      <c r="ES394" s="31"/>
      <c r="ET394" s="31"/>
      <c r="EU394" s="31"/>
      <c r="EV394" s="31"/>
      <c r="EW394" s="31"/>
      <c r="EX394" s="31"/>
      <c r="EY394" s="31"/>
      <c r="EZ394" s="31"/>
      <c r="FA394" s="31"/>
      <c r="FB394" s="31"/>
      <c r="FC394" s="31"/>
      <c r="FD394" s="31"/>
      <c r="FE394" s="31"/>
      <c r="FF394" s="31"/>
      <c r="FG394" s="31"/>
      <c r="FH394" s="31"/>
      <c r="FI394" s="31"/>
      <c r="FJ394" s="31"/>
      <c r="FK394" s="31"/>
      <c r="FL394" s="31"/>
      <c r="FM394" s="31"/>
      <c r="FN394" s="31"/>
      <c r="FO394" s="31"/>
      <c r="FP394" s="31"/>
      <c r="FQ394" s="31"/>
      <c r="FR394" s="31"/>
      <c r="FS394" s="31"/>
      <c r="FT394" s="31"/>
      <c r="FU394" s="31"/>
      <c r="FV394" s="31"/>
      <c r="FW394" s="31"/>
      <c r="FX394" s="31"/>
      <c r="FY394" s="31"/>
      <c r="FZ394" s="31"/>
      <c r="GA394" s="31"/>
      <c r="GB394" s="31"/>
      <c r="GC394" s="31"/>
      <c r="GD394" s="31"/>
      <c r="GE394" s="31"/>
      <c r="GF394" s="31"/>
      <c r="GG394" s="31"/>
      <c r="GH394" s="31"/>
    </row>
    <row r="395" spans="1:190" ht="15.75" customHeight="1" x14ac:dyDescent="0.3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>
        <v>393</v>
      </c>
      <c r="U395" s="31" t="s">
        <v>194</v>
      </c>
      <c r="V395" s="31" t="s">
        <v>195</v>
      </c>
      <c r="W395" s="31" t="s">
        <v>196</v>
      </c>
      <c r="X395" s="31" t="s">
        <v>2509</v>
      </c>
      <c r="Y395" s="31" t="s">
        <v>2510</v>
      </c>
      <c r="Z395" s="31" t="s">
        <v>2511</v>
      </c>
      <c r="AA395" s="32" t="s">
        <v>202</v>
      </c>
      <c r="AB395" s="32" t="s">
        <v>203</v>
      </c>
      <c r="AC395" s="32" t="s">
        <v>204</v>
      </c>
      <c r="AD395" s="31" t="s">
        <v>205</v>
      </c>
      <c r="AE395" s="31" t="s">
        <v>206</v>
      </c>
      <c r="AF395" s="31" t="s">
        <v>207</v>
      </c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  <c r="DT395" s="31"/>
      <c r="DU395" s="31"/>
      <c r="DV395" s="31"/>
      <c r="DW395" s="31"/>
      <c r="DX395" s="31"/>
      <c r="DY395" s="31"/>
      <c r="DZ395" s="31"/>
      <c r="EA395" s="31"/>
      <c r="EB395" s="31"/>
      <c r="EC395" s="31"/>
      <c r="ED395" s="31"/>
      <c r="EE395" s="31"/>
      <c r="EF395" s="31"/>
      <c r="EG395" s="31"/>
      <c r="EH395" s="31"/>
      <c r="EI395" s="31"/>
      <c r="EJ395" s="31"/>
      <c r="EK395" s="31"/>
      <c r="EL395" s="31"/>
      <c r="EM395" s="31"/>
      <c r="EN395" s="31"/>
      <c r="EO395" s="31"/>
      <c r="EP395" s="31"/>
      <c r="EQ395" s="31"/>
      <c r="ER395" s="31"/>
      <c r="ES395" s="31"/>
      <c r="ET395" s="31"/>
      <c r="EU395" s="31"/>
      <c r="EV395" s="31"/>
      <c r="EW395" s="31"/>
      <c r="EX395" s="31"/>
      <c r="EY395" s="31"/>
      <c r="EZ395" s="31"/>
      <c r="FA395" s="31"/>
      <c r="FB395" s="31"/>
      <c r="FC395" s="31"/>
      <c r="FD395" s="31"/>
      <c r="FE395" s="31"/>
      <c r="FF395" s="31"/>
      <c r="FG395" s="31"/>
      <c r="FH395" s="31"/>
      <c r="FI395" s="31"/>
      <c r="FJ395" s="31"/>
      <c r="FK395" s="31"/>
      <c r="FL395" s="31"/>
      <c r="FM395" s="31"/>
      <c r="FN395" s="31"/>
      <c r="FO395" s="31"/>
      <c r="FP395" s="31"/>
      <c r="FQ395" s="31"/>
      <c r="FR395" s="31"/>
      <c r="FS395" s="31"/>
      <c r="FT395" s="31"/>
      <c r="FU395" s="31"/>
      <c r="FV395" s="31"/>
      <c r="FW395" s="31"/>
      <c r="FX395" s="31"/>
      <c r="FY395" s="31"/>
      <c r="FZ395" s="31"/>
      <c r="GA395" s="31"/>
      <c r="GB395" s="31"/>
      <c r="GC395" s="31"/>
      <c r="GD395" s="31"/>
      <c r="GE395" s="31"/>
      <c r="GF395" s="31"/>
      <c r="GG395" s="31"/>
      <c r="GH395" s="31"/>
    </row>
    <row r="396" spans="1:190" ht="15.75" customHeight="1" x14ac:dyDescent="0.3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>
        <v>394</v>
      </c>
      <c r="U396" s="31" t="s">
        <v>360</v>
      </c>
      <c r="V396" s="31" t="s">
        <v>647</v>
      </c>
      <c r="W396" s="31" t="s">
        <v>867</v>
      </c>
      <c r="X396" s="31" t="s">
        <v>2512</v>
      </c>
      <c r="Y396" s="31" t="s">
        <v>2513</v>
      </c>
      <c r="Z396" s="31" t="s">
        <v>2514</v>
      </c>
      <c r="AA396" s="32" t="s">
        <v>418</v>
      </c>
      <c r="AB396" s="32" t="s">
        <v>648</v>
      </c>
      <c r="AC396" s="32" t="s">
        <v>868</v>
      </c>
      <c r="AD396" s="31" t="s">
        <v>303</v>
      </c>
      <c r="AE396" s="31"/>
      <c r="AF396" s="31" t="s">
        <v>1055</v>
      </c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1"/>
      <c r="DU396" s="31"/>
      <c r="DV396" s="31"/>
      <c r="DW396" s="31"/>
      <c r="DX396" s="31"/>
      <c r="DY396" s="31"/>
      <c r="DZ396" s="31"/>
      <c r="EA396" s="31"/>
      <c r="EB396" s="31"/>
      <c r="EC396" s="31"/>
      <c r="ED396" s="31"/>
      <c r="EE396" s="31"/>
      <c r="EF396" s="31"/>
      <c r="EG396" s="31"/>
      <c r="EH396" s="31"/>
      <c r="EI396" s="31"/>
      <c r="EJ396" s="31"/>
      <c r="EK396" s="31"/>
      <c r="EL396" s="31"/>
      <c r="EM396" s="31"/>
      <c r="EN396" s="31"/>
      <c r="EO396" s="31"/>
      <c r="EP396" s="31"/>
      <c r="EQ396" s="31"/>
      <c r="ER396" s="31"/>
      <c r="ES396" s="31"/>
      <c r="ET396" s="31"/>
      <c r="EU396" s="31"/>
      <c r="EV396" s="31"/>
      <c r="EW396" s="31"/>
      <c r="EX396" s="31"/>
      <c r="EY396" s="31"/>
      <c r="EZ396" s="31"/>
      <c r="FA396" s="31"/>
      <c r="FB396" s="31"/>
      <c r="FC396" s="31"/>
      <c r="FD396" s="31"/>
      <c r="FE396" s="31"/>
      <c r="FF396" s="31"/>
      <c r="FG396" s="31"/>
      <c r="FH396" s="31"/>
      <c r="FI396" s="31"/>
      <c r="FJ396" s="31"/>
      <c r="FK396" s="31"/>
      <c r="FL396" s="31"/>
      <c r="FM396" s="31"/>
      <c r="FN396" s="31"/>
      <c r="FO396" s="31"/>
      <c r="FP396" s="31"/>
      <c r="FQ396" s="31"/>
      <c r="FR396" s="31"/>
      <c r="FS396" s="31"/>
      <c r="FT396" s="31"/>
      <c r="FU396" s="31"/>
      <c r="FV396" s="31"/>
      <c r="FW396" s="31"/>
      <c r="FX396" s="31"/>
      <c r="FY396" s="31"/>
      <c r="FZ396" s="31"/>
      <c r="GA396" s="31"/>
      <c r="GB396" s="31"/>
      <c r="GC396" s="31"/>
      <c r="GD396" s="31"/>
      <c r="GE396" s="31"/>
      <c r="GF396" s="31"/>
      <c r="GG396" s="31"/>
      <c r="GH396" s="31"/>
    </row>
    <row r="397" spans="1:190" ht="15.75" customHeight="1" x14ac:dyDescent="0.3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>
        <v>395</v>
      </c>
      <c r="U397" s="31" t="s">
        <v>194</v>
      </c>
      <c r="V397" s="31" t="s">
        <v>724</v>
      </c>
      <c r="W397" s="31" t="s">
        <v>809</v>
      </c>
      <c r="X397" s="31" t="s">
        <v>2515</v>
      </c>
      <c r="Y397" s="31" t="s">
        <v>2516</v>
      </c>
      <c r="Z397" s="31" t="s">
        <v>2517</v>
      </c>
      <c r="AA397" s="32" t="s">
        <v>202</v>
      </c>
      <c r="AB397" s="32" t="s">
        <v>725</v>
      </c>
      <c r="AC397" s="32" t="s">
        <v>813</v>
      </c>
      <c r="AD397" s="31" t="s">
        <v>814</v>
      </c>
      <c r="AE397" s="31" t="s">
        <v>303</v>
      </c>
      <c r="AF397" s="31" t="s">
        <v>815</v>
      </c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1"/>
      <c r="DD397" s="31"/>
      <c r="DE397" s="31"/>
      <c r="DF397" s="31"/>
      <c r="DG397" s="31"/>
      <c r="DH397" s="31"/>
      <c r="DI397" s="31"/>
      <c r="DJ397" s="31"/>
      <c r="DK397" s="31"/>
      <c r="DL397" s="31"/>
      <c r="DM397" s="31"/>
      <c r="DN397" s="31"/>
      <c r="DO397" s="31"/>
      <c r="DP397" s="31"/>
      <c r="DQ397" s="31"/>
      <c r="DR397" s="31"/>
      <c r="DS397" s="31"/>
      <c r="DT397" s="31"/>
      <c r="DU397" s="31"/>
      <c r="DV397" s="31"/>
      <c r="DW397" s="31"/>
      <c r="DX397" s="31"/>
      <c r="DY397" s="31"/>
      <c r="DZ397" s="31"/>
      <c r="EA397" s="31"/>
      <c r="EB397" s="31"/>
      <c r="EC397" s="31"/>
      <c r="ED397" s="31"/>
      <c r="EE397" s="31"/>
      <c r="EF397" s="31"/>
      <c r="EG397" s="31"/>
      <c r="EH397" s="31"/>
      <c r="EI397" s="31"/>
      <c r="EJ397" s="31"/>
      <c r="EK397" s="31"/>
      <c r="EL397" s="31"/>
      <c r="EM397" s="31"/>
      <c r="EN397" s="31"/>
      <c r="EO397" s="31"/>
      <c r="EP397" s="31"/>
      <c r="EQ397" s="31"/>
      <c r="ER397" s="31"/>
      <c r="ES397" s="31"/>
      <c r="ET397" s="31"/>
      <c r="EU397" s="31"/>
      <c r="EV397" s="31"/>
      <c r="EW397" s="31"/>
      <c r="EX397" s="31"/>
      <c r="EY397" s="31"/>
      <c r="EZ397" s="31"/>
      <c r="FA397" s="31"/>
      <c r="FB397" s="31"/>
      <c r="FC397" s="31"/>
      <c r="FD397" s="31"/>
      <c r="FE397" s="31"/>
      <c r="FF397" s="31"/>
      <c r="FG397" s="31"/>
      <c r="FH397" s="31"/>
      <c r="FI397" s="31"/>
      <c r="FJ397" s="31"/>
      <c r="FK397" s="31"/>
      <c r="FL397" s="31"/>
      <c r="FM397" s="31"/>
      <c r="FN397" s="31"/>
      <c r="FO397" s="31"/>
      <c r="FP397" s="31"/>
      <c r="FQ397" s="31"/>
      <c r="FR397" s="31"/>
      <c r="FS397" s="31"/>
      <c r="FT397" s="31"/>
      <c r="FU397" s="31"/>
      <c r="FV397" s="31"/>
      <c r="FW397" s="31"/>
      <c r="FX397" s="31"/>
      <c r="FY397" s="31"/>
      <c r="FZ397" s="31"/>
      <c r="GA397" s="31"/>
      <c r="GB397" s="31"/>
      <c r="GC397" s="31"/>
      <c r="GD397" s="31"/>
      <c r="GE397" s="31"/>
      <c r="GF397" s="31"/>
      <c r="GG397" s="31"/>
      <c r="GH397" s="31"/>
    </row>
    <row r="398" spans="1:190" ht="15.75" customHeight="1" x14ac:dyDescent="0.3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>
        <v>396</v>
      </c>
      <c r="U398" s="31" t="s">
        <v>187</v>
      </c>
      <c r="V398" s="31" t="s">
        <v>287</v>
      </c>
      <c r="W398" s="31" t="s">
        <v>595</v>
      </c>
      <c r="X398" s="31" t="s">
        <v>2518</v>
      </c>
      <c r="Y398" s="31" t="s">
        <v>2519</v>
      </c>
      <c r="Z398" s="31" t="s">
        <v>2520</v>
      </c>
      <c r="AA398" s="32" t="s">
        <v>286</v>
      </c>
      <c r="AB398" s="32" t="s">
        <v>290</v>
      </c>
      <c r="AC398" s="32" t="s">
        <v>599</v>
      </c>
      <c r="AD398" s="31" t="s">
        <v>303</v>
      </c>
      <c r="AE398" s="31"/>
      <c r="AF398" s="31" t="s">
        <v>1051</v>
      </c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  <c r="DI398" s="31"/>
      <c r="DJ398" s="31"/>
      <c r="DK398" s="31"/>
      <c r="DL398" s="31"/>
      <c r="DM398" s="31"/>
      <c r="DN398" s="31"/>
      <c r="DO398" s="31"/>
      <c r="DP398" s="31"/>
      <c r="DQ398" s="31"/>
      <c r="DR398" s="31"/>
      <c r="DS398" s="31"/>
      <c r="DT398" s="31"/>
      <c r="DU398" s="31"/>
      <c r="DV398" s="31"/>
      <c r="DW398" s="31"/>
      <c r="DX398" s="31"/>
      <c r="DY398" s="31"/>
      <c r="DZ398" s="31"/>
      <c r="EA398" s="31"/>
      <c r="EB398" s="31"/>
      <c r="EC398" s="31"/>
      <c r="ED398" s="31"/>
      <c r="EE398" s="31"/>
      <c r="EF398" s="31"/>
      <c r="EG398" s="31"/>
      <c r="EH398" s="31"/>
      <c r="EI398" s="31"/>
      <c r="EJ398" s="31"/>
      <c r="EK398" s="31"/>
      <c r="EL398" s="31"/>
      <c r="EM398" s="31"/>
      <c r="EN398" s="31"/>
      <c r="EO398" s="31"/>
      <c r="EP398" s="31"/>
      <c r="EQ398" s="31"/>
      <c r="ER398" s="31"/>
      <c r="ES398" s="31"/>
      <c r="ET398" s="31"/>
      <c r="EU398" s="31"/>
      <c r="EV398" s="31"/>
      <c r="EW398" s="31"/>
      <c r="EX398" s="31"/>
      <c r="EY398" s="31"/>
      <c r="EZ398" s="31"/>
      <c r="FA398" s="31"/>
      <c r="FB398" s="31"/>
      <c r="FC398" s="31"/>
      <c r="FD398" s="31"/>
      <c r="FE398" s="31"/>
      <c r="FF398" s="31"/>
      <c r="FG398" s="31"/>
      <c r="FH398" s="31"/>
      <c r="FI398" s="31"/>
      <c r="FJ398" s="31"/>
      <c r="FK398" s="31"/>
      <c r="FL398" s="31"/>
      <c r="FM398" s="31"/>
      <c r="FN398" s="31"/>
      <c r="FO398" s="31"/>
      <c r="FP398" s="31"/>
      <c r="FQ398" s="31"/>
      <c r="FR398" s="31"/>
      <c r="FS398" s="31"/>
      <c r="FT398" s="31"/>
      <c r="FU398" s="31"/>
      <c r="FV398" s="31"/>
      <c r="FW398" s="31"/>
      <c r="FX398" s="31"/>
      <c r="FY398" s="31"/>
      <c r="FZ398" s="31"/>
      <c r="GA398" s="31"/>
      <c r="GB398" s="31"/>
      <c r="GC398" s="31"/>
      <c r="GD398" s="31"/>
      <c r="GE398" s="31"/>
      <c r="GF398" s="31"/>
      <c r="GG398" s="31"/>
      <c r="GH398" s="31"/>
    </row>
    <row r="399" spans="1:190" ht="15.75" customHeight="1" x14ac:dyDescent="0.3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>
        <v>397</v>
      </c>
      <c r="U399" s="31" t="s">
        <v>194</v>
      </c>
      <c r="V399" s="31" t="s">
        <v>294</v>
      </c>
      <c r="W399" s="31" t="s">
        <v>902</v>
      </c>
      <c r="X399" s="31" t="s">
        <v>2521</v>
      </c>
      <c r="Y399" s="31" t="s">
        <v>2522</v>
      </c>
      <c r="Z399" s="31" t="s">
        <v>2523</v>
      </c>
      <c r="AA399" s="32" t="s">
        <v>202</v>
      </c>
      <c r="AB399" s="32" t="s">
        <v>300</v>
      </c>
      <c r="AC399" s="32" t="s">
        <v>903</v>
      </c>
      <c r="AD399" s="31" t="s">
        <v>2524</v>
      </c>
      <c r="AE399" s="31" t="s">
        <v>303</v>
      </c>
      <c r="AF399" s="31" t="s">
        <v>1098</v>
      </c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  <c r="DI399" s="31"/>
      <c r="DJ399" s="31"/>
      <c r="DK399" s="31"/>
      <c r="DL399" s="31"/>
      <c r="DM399" s="31"/>
      <c r="DN399" s="31"/>
      <c r="DO399" s="31"/>
      <c r="DP399" s="31"/>
      <c r="DQ399" s="31"/>
      <c r="DR399" s="31"/>
      <c r="DS399" s="31"/>
      <c r="DT399" s="31"/>
      <c r="DU399" s="31"/>
      <c r="DV399" s="31"/>
      <c r="DW399" s="31"/>
      <c r="DX399" s="31"/>
      <c r="DY399" s="31"/>
      <c r="DZ399" s="31"/>
      <c r="EA399" s="31"/>
      <c r="EB399" s="31"/>
      <c r="EC399" s="31"/>
      <c r="ED399" s="31"/>
      <c r="EE399" s="31"/>
      <c r="EF399" s="31"/>
      <c r="EG399" s="31"/>
      <c r="EH399" s="31"/>
      <c r="EI399" s="31"/>
      <c r="EJ399" s="31"/>
      <c r="EK399" s="31"/>
      <c r="EL399" s="31"/>
      <c r="EM399" s="31"/>
      <c r="EN399" s="31"/>
      <c r="EO399" s="31"/>
      <c r="EP399" s="31"/>
      <c r="EQ399" s="31"/>
      <c r="ER399" s="31"/>
      <c r="ES399" s="31"/>
      <c r="ET399" s="31"/>
      <c r="EU399" s="31"/>
      <c r="EV399" s="31"/>
      <c r="EW399" s="31"/>
      <c r="EX399" s="31"/>
      <c r="EY399" s="31"/>
      <c r="EZ399" s="31"/>
      <c r="FA399" s="31"/>
      <c r="FB399" s="31"/>
      <c r="FC399" s="31"/>
      <c r="FD399" s="31"/>
      <c r="FE399" s="31"/>
      <c r="FF399" s="31"/>
      <c r="FG399" s="31"/>
      <c r="FH399" s="31"/>
      <c r="FI399" s="31"/>
      <c r="FJ399" s="31"/>
      <c r="FK399" s="31"/>
      <c r="FL399" s="31"/>
      <c r="FM399" s="31"/>
      <c r="FN399" s="31"/>
      <c r="FO399" s="31"/>
      <c r="FP399" s="31"/>
      <c r="FQ399" s="31"/>
      <c r="FR399" s="31"/>
      <c r="FS399" s="31"/>
      <c r="FT399" s="31"/>
      <c r="FU399" s="31"/>
      <c r="FV399" s="31"/>
      <c r="FW399" s="31"/>
      <c r="FX399" s="31"/>
      <c r="FY399" s="31"/>
      <c r="FZ399" s="31"/>
      <c r="GA399" s="31"/>
      <c r="GB399" s="31"/>
      <c r="GC399" s="31"/>
      <c r="GD399" s="31"/>
      <c r="GE399" s="31"/>
      <c r="GF399" s="31"/>
      <c r="GG399" s="31"/>
      <c r="GH399" s="31"/>
    </row>
    <row r="400" spans="1:190" ht="15.75" customHeight="1" x14ac:dyDescent="0.3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>
        <v>398</v>
      </c>
      <c r="U400" s="31" t="s">
        <v>287</v>
      </c>
      <c r="V400" s="31" t="s">
        <v>595</v>
      </c>
      <c r="W400" s="31" t="s">
        <v>807</v>
      </c>
      <c r="X400" s="31" t="s">
        <v>2525</v>
      </c>
      <c r="Y400" s="31" t="s">
        <v>2526</v>
      </c>
      <c r="Z400" s="31" t="s">
        <v>2527</v>
      </c>
      <c r="AA400" s="32" t="s">
        <v>359</v>
      </c>
      <c r="AB400" s="32" t="s">
        <v>598</v>
      </c>
      <c r="AC400" s="32" t="s">
        <v>808</v>
      </c>
      <c r="AD400" s="31" t="s">
        <v>303</v>
      </c>
      <c r="AE400" s="31"/>
      <c r="AF400" s="31" t="s">
        <v>1036</v>
      </c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31"/>
      <c r="DD400" s="31"/>
      <c r="DE400" s="31"/>
      <c r="DF400" s="31"/>
      <c r="DG400" s="31"/>
      <c r="DH400" s="31"/>
      <c r="DI400" s="31"/>
      <c r="DJ400" s="31"/>
      <c r="DK400" s="31"/>
      <c r="DL400" s="31"/>
      <c r="DM400" s="31"/>
      <c r="DN400" s="31"/>
      <c r="DO400" s="31"/>
      <c r="DP400" s="31"/>
      <c r="DQ400" s="31"/>
      <c r="DR400" s="31"/>
      <c r="DS400" s="31"/>
      <c r="DT400" s="31"/>
      <c r="DU400" s="31"/>
      <c r="DV400" s="31"/>
      <c r="DW400" s="31"/>
      <c r="DX400" s="31"/>
      <c r="DY400" s="31"/>
      <c r="DZ400" s="31"/>
      <c r="EA400" s="31"/>
      <c r="EB400" s="31"/>
      <c r="EC400" s="31"/>
      <c r="ED400" s="31"/>
      <c r="EE400" s="31"/>
      <c r="EF400" s="31"/>
      <c r="EG400" s="31"/>
      <c r="EH400" s="31"/>
      <c r="EI400" s="31"/>
      <c r="EJ400" s="31"/>
      <c r="EK400" s="31"/>
      <c r="EL400" s="31"/>
      <c r="EM400" s="31"/>
      <c r="EN400" s="31"/>
      <c r="EO400" s="31"/>
      <c r="EP400" s="31"/>
      <c r="EQ400" s="31"/>
      <c r="ER400" s="31"/>
      <c r="ES400" s="31"/>
      <c r="ET400" s="31"/>
      <c r="EU400" s="31"/>
      <c r="EV400" s="31"/>
      <c r="EW400" s="31"/>
      <c r="EX400" s="31"/>
      <c r="EY400" s="31"/>
      <c r="EZ400" s="31"/>
      <c r="FA400" s="31"/>
      <c r="FB400" s="31"/>
      <c r="FC400" s="31"/>
      <c r="FD400" s="31"/>
      <c r="FE400" s="31"/>
      <c r="FF400" s="31"/>
      <c r="FG400" s="31"/>
      <c r="FH400" s="31"/>
      <c r="FI400" s="31"/>
      <c r="FJ400" s="31"/>
      <c r="FK400" s="31"/>
      <c r="FL400" s="31"/>
      <c r="FM400" s="31"/>
      <c r="FN400" s="31"/>
      <c r="FO400" s="31"/>
      <c r="FP400" s="31"/>
      <c r="FQ400" s="31"/>
      <c r="FR400" s="31"/>
      <c r="FS400" s="31"/>
      <c r="FT400" s="31"/>
      <c r="FU400" s="31"/>
      <c r="FV400" s="31"/>
      <c r="FW400" s="31"/>
      <c r="FX400" s="31"/>
      <c r="FY400" s="31"/>
      <c r="FZ400" s="31"/>
      <c r="GA400" s="31"/>
      <c r="GB400" s="31"/>
      <c r="GC400" s="31"/>
      <c r="GD400" s="31"/>
      <c r="GE400" s="31"/>
      <c r="GF400" s="31"/>
      <c r="GG400" s="31"/>
      <c r="GH400" s="31"/>
    </row>
    <row r="401" spans="1:190" ht="15.75" customHeight="1" x14ac:dyDescent="0.3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>
        <v>399</v>
      </c>
      <c r="U401" s="31" t="s">
        <v>187</v>
      </c>
      <c r="V401" s="31" t="s">
        <v>194</v>
      </c>
      <c r="W401" s="31" t="s">
        <v>724</v>
      </c>
      <c r="X401" s="31" t="s">
        <v>2528</v>
      </c>
      <c r="Y401" s="31" t="s">
        <v>2529</v>
      </c>
      <c r="Z401" s="31" t="s">
        <v>2530</v>
      </c>
      <c r="AA401" s="32" t="s">
        <v>286</v>
      </c>
      <c r="AB401" s="32" t="s">
        <v>419</v>
      </c>
      <c r="AC401" s="32" t="s">
        <v>728</v>
      </c>
      <c r="AD401" s="31" t="s">
        <v>2203</v>
      </c>
      <c r="AE401" s="31" t="s">
        <v>303</v>
      </c>
      <c r="AF401" s="31" t="s">
        <v>1406</v>
      </c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31"/>
      <c r="DD401" s="31"/>
      <c r="DE401" s="31"/>
      <c r="DF401" s="31"/>
      <c r="DG401" s="31"/>
      <c r="DH401" s="31"/>
      <c r="DI401" s="31"/>
      <c r="DJ401" s="31"/>
      <c r="DK401" s="31"/>
      <c r="DL401" s="31"/>
      <c r="DM401" s="31"/>
      <c r="DN401" s="31"/>
      <c r="DO401" s="31"/>
      <c r="DP401" s="31"/>
      <c r="DQ401" s="31"/>
      <c r="DR401" s="31"/>
      <c r="DS401" s="31"/>
      <c r="DT401" s="31"/>
      <c r="DU401" s="31"/>
      <c r="DV401" s="31"/>
      <c r="DW401" s="31"/>
      <c r="DX401" s="31"/>
      <c r="DY401" s="31"/>
      <c r="DZ401" s="31"/>
      <c r="EA401" s="31"/>
      <c r="EB401" s="31"/>
      <c r="EC401" s="31"/>
      <c r="ED401" s="31"/>
      <c r="EE401" s="31"/>
      <c r="EF401" s="31"/>
      <c r="EG401" s="31"/>
      <c r="EH401" s="31"/>
      <c r="EI401" s="31"/>
      <c r="EJ401" s="31"/>
      <c r="EK401" s="31"/>
      <c r="EL401" s="31"/>
      <c r="EM401" s="31"/>
      <c r="EN401" s="31"/>
      <c r="EO401" s="31"/>
      <c r="EP401" s="31"/>
      <c r="EQ401" s="31"/>
      <c r="ER401" s="31"/>
      <c r="ES401" s="31"/>
      <c r="ET401" s="31"/>
      <c r="EU401" s="31"/>
      <c r="EV401" s="31"/>
      <c r="EW401" s="31"/>
      <c r="EX401" s="31"/>
      <c r="EY401" s="31"/>
      <c r="EZ401" s="31"/>
      <c r="FA401" s="31"/>
      <c r="FB401" s="31"/>
      <c r="FC401" s="31"/>
      <c r="FD401" s="31"/>
      <c r="FE401" s="31"/>
      <c r="FF401" s="31"/>
      <c r="FG401" s="31"/>
      <c r="FH401" s="31"/>
      <c r="FI401" s="31"/>
      <c r="FJ401" s="31"/>
      <c r="FK401" s="31"/>
      <c r="FL401" s="31"/>
      <c r="FM401" s="31"/>
      <c r="FN401" s="31"/>
      <c r="FO401" s="31"/>
      <c r="FP401" s="31"/>
      <c r="FQ401" s="31"/>
      <c r="FR401" s="31"/>
      <c r="FS401" s="31"/>
      <c r="FT401" s="31"/>
      <c r="FU401" s="31"/>
      <c r="FV401" s="31"/>
      <c r="FW401" s="31"/>
      <c r="FX401" s="31"/>
      <c r="FY401" s="31"/>
      <c r="FZ401" s="31"/>
      <c r="GA401" s="31"/>
      <c r="GB401" s="31"/>
      <c r="GC401" s="31"/>
      <c r="GD401" s="31"/>
      <c r="GE401" s="31"/>
      <c r="GF401" s="31"/>
      <c r="GG401" s="31"/>
      <c r="GH401" s="31"/>
    </row>
    <row r="402" spans="1:190" ht="15.75" customHeight="1" x14ac:dyDescent="0.3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>
        <v>400</v>
      </c>
      <c r="U402" s="31" t="s">
        <v>187</v>
      </c>
      <c r="V402" s="31" t="s">
        <v>194</v>
      </c>
      <c r="W402" s="31" t="s">
        <v>195</v>
      </c>
      <c r="X402" s="31" t="s">
        <v>2531</v>
      </c>
      <c r="Y402" s="31" t="s">
        <v>2532</v>
      </c>
      <c r="Z402" s="31" t="s">
        <v>2533</v>
      </c>
      <c r="AA402" s="32" t="s">
        <v>286</v>
      </c>
      <c r="AB402" s="32" t="s">
        <v>419</v>
      </c>
      <c r="AC402" s="32" t="s">
        <v>675</v>
      </c>
      <c r="AD402" s="31" t="s">
        <v>303</v>
      </c>
      <c r="AE402" s="31"/>
      <c r="AF402" s="31" t="s">
        <v>640</v>
      </c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  <c r="DI402" s="31"/>
      <c r="DJ402" s="31"/>
      <c r="DK402" s="31"/>
      <c r="DL402" s="31"/>
      <c r="DM402" s="31"/>
      <c r="DN402" s="31"/>
      <c r="DO402" s="31"/>
      <c r="DP402" s="31"/>
      <c r="DQ402" s="31"/>
      <c r="DR402" s="31"/>
      <c r="DS402" s="31"/>
      <c r="DT402" s="31"/>
      <c r="DU402" s="31"/>
      <c r="DV402" s="31"/>
      <c r="DW402" s="31"/>
      <c r="DX402" s="31"/>
      <c r="DY402" s="31"/>
      <c r="DZ402" s="31"/>
      <c r="EA402" s="31"/>
      <c r="EB402" s="31"/>
      <c r="EC402" s="31"/>
      <c r="ED402" s="31"/>
      <c r="EE402" s="31"/>
      <c r="EF402" s="31"/>
      <c r="EG402" s="31"/>
      <c r="EH402" s="31"/>
      <c r="EI402" s="31"/>
      <c r="EJ402" s="31"/>
      <c r="EK402" s="31"/>
      <c r="EL402" s="31"/>
      <c r="EM402" s="31"/>
      <c r="EN402" s="31"/>
      <c r="EO402" s="31"/>
      <c r="EP402" s="31"/>
      <c r="EQ402" s="31"/>
      <c r="ER402" s="31"/>
      <c r="ES402" s="31"/>
      <c r="ET402" s="31"/>
      <c r="EU402" s="31"/>
      <c r="EV402" s="31"/>
      <c r="EW402" s="31"/>
      <c r="EX402" s="31"/>
      <c r="EY402" s="31"/>
      <c r="EZ402" s="31"/>
      <c r="FA402" s="31"/>
      <c r="FB402" s="31"/>
      <c r="FC402" s="31"/>
      <c r="FD402" s="31"/>
      <c r="FE402" s="31"/>
      <c r="FF402" s="31"/>
      <c r="FG402" s="31"/>
      <c r="FH402" s="31"/>
      <c r="FI402" s="31"/>
      <c r="FJ402" s="31"/>
      <c r="FK402" s="31"/>
      <c r="FL402" s="31"/>
      <c r="FM402" s="31"/>
      <c r="FN402" s="31"/>
      <c r="FO402" s="31"/>
      <c r="FP402" s="31"/>
      <c r="FQ402" s="31"/>
      <c r="FR402" s="31"/>
      <c r="FS402" s="31"/>
      <c r="FT402" s="31"/>
      <c r="FU402" s="31"/>
      <c r="FV402" s="31"/>
      <c r="FW402" s="31"/>
      <c r="FX402" s="31"/>
      <c r="FY402" s="31"/>
      <c r="FZ402" s="31"/>
      <c r="GA402" s="31"/>
      <c r="GB402" s="31"/>
      <c r="GC402" s="31"/>
      <c r="GD402" s="31"/>
      <c r="GE402" s="31"/>
      <c r="GF402" s="31"/>
      <c r="GG402" s="31"/>
      <c r="GH402" s="31"/>
    </row>
    <row r="403" spans="1:190" ht="15.75" customHeight="1" x14ac:dyDescent="0.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>
        <v>401</v>
      </c>
      <c r="U403" s="31" t="s">
        <v>187</v>
      </c>
      <c r="V403" s="31" t="s">
        <v>187</v>
      </c>
      <c r="W403" s="31" t="s">
        <v>187</v>
      </c>
      <c r="X403" s="31" t="s">
        <v>2534</v>
      </c>
      <c r="Y403" s="31" t="s">
        <v>2535</v>
      </c>
      <c r="Z403" s="31" t="s">
        <v>2536</v>
      </c>
      <c r="AA403" s="32" t="s">
        <v>286</v>
      </c>
      <c r="AB403" s="32" t="s">
        <v>190</v>
      </c>
      <c r="AC403" s="32" t="s">
        <v>193</v>
      </c>
      <c r="AD403" s="31" t="s">
        <v>2537</v>
      </c>
      <c r="AE403" s="31" t="s">
        <v>303</v>
      </c>
      <c r="AF403" s="31" t="s">
        <v>380</v>
      </c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  <c r="DT403" s="31"/>
      <c r="DU403" s="31"/>
      <c r="DV403" s="31"/>
      <c r="DW403" s="31"/>
      <c r="DX403" s="31"/>
      <c r="DY403" s="31"/>
      <c r="DZ403" s="31"/>
      <c r="EA403" s="31"/>
      <c r="EB403" s="31"/>
      <c r="EC403" s="31"/>
      <c r="ED403" s="31"/>
      <c r="EE403" s="31"/>
      <c r="EF403" s="31"/>
      <c r="EG403" s="31"/>
      <c r="EH403" s="31"/>
      <c r="EI403" s="31"/>
      <c r="EJ403" s="31"/>
      <c r="EK403" s="31"/>
      <c r="EL403" s="31"/>
      <c r="EM403" s="31"/>
      <c r="EN403" s="31"/>
      <c r="EO403" s="31"/>
      <c r="EP403" s="31"/>
      <c r="EQ403" s="31"/>
      <c r="ER403" s="31"/>
      <c r="ES403" s="31"/>
      <c r="ET403" s="31"/>
      <c r="EU403" s="31"/>
      <c r="EV403" s="31"/>
      <c r="EW403" s="31"/>
      <c r="EX403" s="31"/>
      <c r="EY403" s="31"/>
      <c r="EZ403" s="31"/>
      <c r="FA403" s="31"/>
      <c r="FB403" s="31"/>
      <c r="FC403" s="31"/>
      <c r="FD403" s="31"/>
      <c r="FE403" s="31"/>
      <c r="FF403" s="31"/>
      <c r="FG403" s="31"/>
      <c r="FH403" s="31"/>
      <c r="FI403" s="31"/>
      <c r="FJ403" s="31"/>
      <c r="FK403" s="31"/>
      <c r="FL403" s="31"/>
      <c r="FM403" s="31"/>
      <c r="FN403" s="31"/>
      <c r="FO403" s="31"/>
      <c r="FP403" s="31"/>
      <c r="FQ403" s="31"/>
      <c r="FR403" s="31"/>
      <c r="FS403" s="31"/>
      <c r="FT403" s="31"/>
      <c r="FU403" s="31"/>
      <c r="FV403" s="31"/>
      <c r="FW403" s="31"/>
      <c r="FX403" s="31"/>
      <c r="FY403" s="31"/>
      <c r="FZ403" s="31"/>
      <c r="GA403" s="31"/>
      <c r="GB403" s="31"/>
      <c r="GC403" s="31"/>
      <c r="GD403" s="31"/>
      <c r="GE403" s="31"/>
      <c r="GF403" s="31"/>
      <c r="GG403" s="31"/>
      <c r="GH403" s="31"/>
    </row>
    <row r="404" spans="1:190" ht="15.75" customHeight="1" x14ac:dyDescent="0.3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>
        <v>402</v>
      </c>
      <c r="U404" s="31" t="s">
        <v>360</v>
      </c>
      <c r="V404" s="31" t="s">
        <v>600</v>
      </c>
      <c r="W404" s="31" t="s">
        <v>601</v>
      </c>
      <c r="X404" s="31" t="s">
        <v>2538</v>
      </c>
      <c r="Y404" s="31" t="s">
        <v>2539</v>
      </c>
      <c r="Z404" s="31" t="s">
        <v>2540</v>
      </c>
      <c r="AA404" s="32" t="s">
        <v>418</v>
      </c>
      <c r="AB404" s="32" t="s">
        <v>605</v>
      </c>
      <c r="AC404" s="32" t="s">
        <v>606</v>
      </c>
      <c r="AD404" s="31" t="s">
        <v>608</v>
      </c>
      <c r="AE404" s="31" t="s">
        <v>303</v>
      </c>
      <c r="AF404" s="31" t="s">
        <v>610</v>
      </c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  <c r="DT404" s="31"/>
      <c r="DU404" s="31"/>
      <c r="DV404" s="31"/>
      <c r="DW404" s="31"/>
      <c r="DX404" s="31"/>
      <c r="DY404" s="31"/>
      <c r="DZ404" s="31"/>
      <c r="EA404" s="31"/>
      <c r="EB404" s="31"/>
      <c r="EC404" s="31"/>
      <c r="ED404" s="31"/>
      <c r="EE404" s="31"/>
      <c r="EF404" s="31"/>
      <c r="EG404" s="31"/>
      <c r="EH404" s="31"/>
      <c r="EI404" s="31"/>
      <c r="EJ404" s="31"/>
      <c r="EK404" s="31"/>
      <c r="EL404" s="31"/>
      <c r="EM404" s="31"/>
      <c r="EN404" s="31"/>
      <c r="EO404" s="31"/>
      <c r="EP404" s="31"/>
      <c r="EQ404" s="31"/>
      <c r="ER404" s="31"/>
      <c r="ES404" s="31"/>
      <c r="ET404" s="31"/>
      <c r="EU404" s="31"/>
      <c r="EV404" s="31"/>
      <c r="EW404" s="31"/>
      <c r="EX404" s="31"/>
      <c r="EY404" s="31"/>
      <c r="EZ404" s="31"/>
      <c r="FA404" s="31"/>
      <c r="FB404" s="31"/>
      <c r="FC404" s="31"/>
      <c r="FD404" s="31"/>
      <c r="FE404" s="31"/>
      <c r="FF404" s="31"/>
      <c r="FG404" s="31"/>
      <c r="FH404" s="31"/>
      <c r="FI404" s="31"/>
      <c r="FJ404" s="31"/>
      <c r="FK404" s="31"/>
      <c r="FL404" s="31"/>
      <c r="FM404" s="31"/>
      <c r="FN404" s="31"/>
      <c r="FO404" s="31"/>
      <c r="FP404" s="31"/>
      <c r="FQ404" s="31"/>
      <c r="FR404" s="31"/>
      <c r="FS404" s="31"/>
      <c r="FT404" s="31"/>
      <c r="FU404" s="31"/>
      <c r="FV404" s="31"/>
      <c r="FW404" s="31"/>
      <c r="FX404" s="31"/>
      <c r="FY404" s="31"/>
      <c r="FZ404" s="31"/>
      <c r="GA404" s="31"/>
      <c r="GB404" s="31"/>
      <c r="GC404" s="31"/>
      <c r="GD404" s="31"/>
      <c r="GE404" s="31"/>
      <c r="GF404" s="31"/>
      <c r="GG404" s="31"/>
      <c r="GH404" s="31"/>
    </row>
    <row r="405" spans="1:190" ht="15.75" customHeight="1" x14ac:dyDescent="0.3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>
        <v>403</v>
      </c>
      <c r="U405" s="31" t="s">
        <v>194</v>
      </c>
      <c r="V405" s="31" t="s">
        <v>724</v>
      </c>
      <c r="W405" s="31" t="s">
        <v>809</v>
      </c>
      <c r="X405" s="31" t="s">
        <v>2541</v>
      </c>
      <c r="Y405" s="31" t="s">
        <v>2542</v>
      </c>
      <c r="Z405" s="31" t="s">
        <v>2543</v>
      </c>
      <c r="AA405" s="32" t="s">
        <v>202</v>
      </c>
      <c r="AB405" s="32" t="s">
        <v>725</v>
      </c>
      <c r="AC405" s="32" t="s">
        <v>813</v>
      </c>
      <c r="AD405" s="31" t="s">
        <v>1078</v>
      </c>
      <c r="AE405" s="31" t="s">
        <v>303</v>
      </c>
      <c r="AF405" s="31" t="s">
        <v>847</v>
      </c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  <c r="DT405" s="31"/>
      <c r="DU405" s="31"/>
      <c r="DV405" s="31"/>
      <c r="DW405" s="31"/>
      <c r="DX405" s="31"/>
      <c r="DY405" s="31"/>
      <c r="DZ405" s="31"/>
      <c r="EA405" s="31"/>
      <c r="EB405" s="31"/>
      <c r="EC405" s="31"/>
      <c r="ED405" s="31"/>
      <c r="EE405" s="31"/>
      <c r="EF405" s="31"/>
      <c r="EG405" s="31"/>
      <c r="EH405" s="31"/>
      <c r="EI405" s="31"/>
      <c r="EJ405" s="31"/>
      <c r="EK405" s="31"/>
      <c r="EL405" s="31"/>
      <c r="EM405" s="31"/>
      <c r="EN405" s="31"/>
      <c r="EO405" s="31"/>
      <c r="EP405" s="31"/>
      <c r="EQ405" s="31"/>
      <c r="ER405" s="31"/>
      <c r="ES405" s="31"/>
      <c r="ET405" s="31"/>
      <c r="EU405" s="31"/>
      <c r="EV405" s="31"/>
      <c r="EW405" s="31"/>
      <c r="EX405" s="31"/>
      <c r="EY405" s="31"/>
      <c r="EZ405" s="31"/>
      <c r="FA405" s="31"/>
      <c r="FB405" s="31"/>
      <c r="FC405" s="31"/>
      <c r="FD405" s="31"/>
      <c r="FE405" s="31"/>
      <c r="FF405" s="31"/>
      <c r="FG405" s="31"/>
      <c r="FH405" s="31"/>
      <c r="FI405" s="31"/>
      <c r="FJ405" s="31"/>
      <c r="FK405" s="31"/>
      <c r="FL405" s="31"/>
      <c r="FM405" s="31"/>
      <c r="FN405" s="31"/>
      <c r="FO405" s="31"/>
      <c r="FP405" s="31"/>
      <c r="FQ405" s="31"/>
      <c r="FR405" s="31"/>
      <c r="FS405" s="31"/>
      <c r="FT405" s="31"/>
      <c r="FU405" s="31"/>
      <c r="FV405" s="31"/>
      <c r="FW405" s="31"/>
      <c r="FX405" s="31"/>
      <c r="FY405" s="31"/>
      <c r="FZ405" s="31"/>
      <c r="GA405" s="31"/>
      <c r="GB405" s="31"/>
      <c r="GC405" s="31"/>
      <c r="GD405" s="31"/>
      <c r="GE405" s="31"/>
      <c r="GF405" s="31"/>
      <c r="GG405" s="31"/>
      <c r="GH405" s="31"/>
    </row>
    <row r="406" spans="1:190" ht="15.75" customHeight="1" x14ac:dyDescent="0.3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>
        <v>404</v>
      </c>
      <c r="U406" s="31" t="s">
        <v>187</v>
      </c>
      <c r="V406" s="31" t="s">
        <v>194</v>
      </c>
      <c r="W406" s="31" t="s">
        <v>294</v>
      </c>
      <c r="X406" s="31" t="s">
        <v>2544</v>
      </c>
      <c r="Y406" s="31" t="s">
        <v>2545</v>
      </c>
      <c r="Z406" s="31" t="s">
        <v>2546</v>
      </c>
      <c r="AA406" s="32" t="s">
        <v>286</v>
      </c>
      <c r="AB406" s="32" t="s">
        <v>419</v>
      </c>
      <c r="AC406" s="32" t="s">
        <v>698</v>
      </c>
      <c r="AD406" s="31" t="s">
        <v>1745</v>
      </c>
      <c r="AE406" s="31" t="s">
        <v>1746</v>
      </c>
      <c r="AF406" s="31" t="s">
        <v>994</v>
      </c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1"/>
      <c r="DD406" s="31"/>
      <c r="DE406" s="31"/>
      <c r="DF406" s="31"/>
      <c r="DG406" s="31"/>
      <c r="DH406" s="31"/>
      <c r="DI406" s="31"/>
      <c r="DJ406" s="31"/>
      <c r="DK406" s="31"/>
      <c r="DL406" s="31"/>
      <c r="DM406" s="31"/>
      <c r="DN406" s="31"/>
      <c r="DO406" s="31"/>
      <c r="DP406" s="31"/>
      <c r="DQ406" s="31"/>
      <c r="DR406" s="31"/>
      <c r="DS406" s="31"/>
      <c r="DT406" s="31"/>
      <c r="DU406" s="31"/>
      <c r="DV406" s="31"/>
      <c r="DW406" s="31"/>
      <c r="DX406" s="31"/>
      <c r="DY406" s="31"/>
      <c r="DZ406" s="31"/>
      <c r="EA406" s="31"/>
      <c r="EB406" s="31"/>
      <c r="EC406" s="31"/>
      <c r="ED406" s="31"/>
      <c r="EE406" s="31"/>
      <c r="EF406" s="31"/>
      <c r="EG406" s="31"/>
      <c r="EH406" s="31"/>
      <c r="EI406" s="31"/>
      <c r="EJ406" s="31"/>
      <c r="EK406" s="31"/>
      <c r="EL406" s="31"/>
      <c r="EM406" s="31"/>
      <c r="EN406" s="31"/>
      <c r="EO406" s="31"/>
      <c r="EP406" s="31"/>
      <c r="EQ406" s="31"/>
      <c r="ER406" s="31"/>
      <c r="ES406" s="31"/>
      <c r="ET406" s="31"/>
      <c r="EU406" s="31"/>
      <c r="EV406" s="31"/>
      <c r="EW406" s="31"/>
      <c r="EX406" s="31"/>
      <c r="EY406" s="31"/>
      <c r="EZ406" s="31"/>
      <c r="FA406" s="31"/>
      <c r="FB406" s="31"/>
      <c r="FC406" s="31"/>
      <c r="FD406" s="31"/>
      <c r="FE406" s="31"/>
      <c r="FF406" s="31"/>
      <c r="FG406" s="31"/>
      <c r="FH406" s="31"/>
      <c r="FI406" s="31"/>
      <c r="FJ406" s="31"/>
      <c r="FK406" s="31"/>
      <c r="FL406" s="31"/>
      <c r="FM406" s="31"/>
      <c r="FN406" s="31"/>
      <c r="FO406" s="31"/>
      <c r="FP406" s="31"/>
      <c r="FQ406" s="31"/>
      <c r="FR406" s="31"/>
      <c r="FS406" s="31"/>
      <c r="FT406" s="31"/>
      <c r="FU406" s="31"/>
      <c r="FV406" s="31"/>
      <c r="FW406" s="31"/>
      <c r="FX406" s="31"/>
      <c r="FY406" s="31"/>
      <c r="FZ406" s="31"/>
      <c r="GA406" s="31"/>
      <c r="GB406" s="31"/>
      <c r="GC406" s="31"/>
      <c r="GD406" s="31"/>
      <c r="GE406" s="31"/>
      <c r="GF406" s="31"/>
      <c r="GG406" s="31"/>
      <c r="GH406" s="31"/>
    </row>
    <row r="407" spans="1:190" ht="15.75" customHeight="1" x14ac:dyDescent="0.3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>
        <v>405</v>
      </c>
      <c r="U407" s="31" t="s">
        <v>194</v>
      </c>
      <c r="V407" s="31" t="s">
        <v>724</v>
      </c>
      <c r="W407" s="31" t="s">
        <v>809</v>
      </c>
      <c r="X407" s="31" t="s">
        <v>2547</v>
      </c>
      <c r="Y407" s="31" t="s">
        <v>2548</v>
      </c>
      <c r="Z407" s="31" t="s">
        <v>2549</v>
      </c>
      <c r="AA407" s="32" t="s">
        <v>202</v>
      </c>
      <c r="AB407" s="32" t="s">
        <v>725</v>
      </c>
      <c r="AC407" s="32" t="s">
        <v>813</v>
      </c>
      <c r="AD407" s="31" t="s">
        <v>1078</v>
      </c>
      <c r="AE407" s="31" t="s">
        <v>303</v>
      </c>
      <c r="AF407" s="31" t="s">
        <v>847</v>
      </c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1"/>
      <c r="DD407" s="31"/>
      <c r="DE407" s="31"/>
      <c r="DF407" s="31"/>
      <c r="DG407" s="31"/>
      <c r="DH407" s="31"/>
      <c r="DI407" s="31"/>
      <c r="DJ407" s="31"/>
      <c r="DK407" s="31"/>
      <c r="DL407" s="31"/>
      <c r="DM407" s="31"/>
      <c r="DN407" s="31"/>
      <c r="DO407" s="31"/>
      <c r="DP407" s="31"/>
      <c r="DQ407" s="31"/>
      <c r="DR407" s="31"/>
      <c r="DS407" s="31"/>
      <c r="DT407" s="31"/>
      <c r="DU407" s="31"/>
      <c r="DV407" s="31"/>
      <c r="DW407" s="31"/>
      <c r="DX407" s="31"/>
      <c r="DY407" s="31"/>
      <c r="DZ407" s="31"/>
      <c r="EA407" s="31"/>
      <c r="EB407" s="31"/>
      <c r="EC407" s="31"/>
      <c r="ED407" s="31"/>
      <c r="EE407" s="31"/>
      <c r="EF407" s="31"/>
      <c r="EG407" s="31"/>
      <c r="EH407" s="31"/>
      <c r="EI407" s="31"/>
      <c r="EJ407" s="31"/>
      <c r="EK407" s="31"/>
      <c r="EL407" s="31"/>
      <c r="EM407" s="31"/>
      <c r="EN407" s="31"/>
      <c r="EO407" s="31"/>
      <c r="EP407" s="31"/>
      <c r="EQ407" s="31"/>
      <c r="ER407" s="31"/>
      <c r="ES407" s="31"/>
      <c r="ET407" s="31"/>
      <c r="EU407" s="31"/>
      <c r="EV407" s="31"/>
      <c r="EW407" s="31"/>
      <c r="EX407" s="31"/>
      <c r="EY407" s="31"/>
      <c r="EZ407" s="31"/>
      <c r="FA407" s="31"/>
      <c r="FB407" s="31"/>
      <c r="FC407" s="31"/>
      <c r="FD407" s="31"/>
      <c r="FE407" s="31"/>
      <c r="FF407" s="31"/>
      <c r="FG407" s="31"/>
      <c r="FH407" s="31"/>
      <c r="FI407" s="31"/>
      <c r="FJ407" s="31"/>
      <c r="FK407" s="31"/>
      <c r="FL407" s="31"/>
      <c r="FM407" s="31"/>
      <c r="FN407" s="31"/>
      <c r="FO407" s="31"/>
      <c r="FP407" s="31"/>
      <c r="FQ407" s="31"/>
      <c r="FR407" s="31"/>
      <c r="FS407" s="31"/>
      <c r="FT407" s="31"/>
      <c r="FU407" s="31"/>
      <c r="FV407" s="31"/>
      <c r="FW407" s="31"/>
      <c r="FX407" s="31"/>
      <c r="FY407" s="31"/>
      <c r="FZ407" s="31"/>
      <c r="GA407" s="31"/>
      <c r="GB407" s="31"/>
      <c r="GC407" s="31"/>
      <c r="GD407" s="31"/>
      <c r="GE407" s="31"/>
      <c r="GF407" s="31"/>
      <c r="GG407" s="31"/>
      <c r="GH407" s="31"/>
    </row>
    <row r="408" spans="1:190" ht="15.75" customHeight="1" x14ac:dyDescent="0.3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>
        <v>406</v>
      </c>
      <c r="U408" s="31" t="s">
        <v>194</v>
      </c>
      <c r="V408" s="31" t="s">
        <v>195</v>
      </c>
      <c r="W408" s="31" t="s">
        <v>196</v>
      </c>
      <c r="X408" s="31" t="s">
        <v>2550</v>
      </c>
      <c r="Y408" s="31" t="s">
        <v>2551</v>
      </c>
      <c r="Z408" s="31" t="s">
        <v>2552</v>
      </c>
      <c r="AA408" s="32" t="s">
        <v>202</v>
      </c>
      <c r="AB408" s="32" t="s">
        <v>203</v>
      </c>
      <c r="AC408" s="32" t="s">
        <v>204</v>
      </c>
      <c r="AD408" s="31" t="s">
        <v>205</v>
      </c>
      <c r="AE408" s="31" t="s">
        <v>206</v>
      </c>
      <c r="AF408" s="31" t="s">
        <v>207</v>
      </c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1"/>
      <c r="DD408" s="31"/>
      <c r="DE408" s="31"/>
      <c r="DF408" s="31"/>
      <c r="DG408" s="31"/>
      <c r="DH408" s="31"/>
      <c r="DI408" s="31"/>
      <c r="DJ408" s="31"/>
      <c r="DK408" s="31"/>
      <c r="DL408" s="31"/>
      <c r="DM408" s="31"/>
      <c r="DN408" s="31"/>
      <c r="DO408" s="31"/>
      <c r="DP408" s="31"/>
      <c r="DQ408" s="31"/>
      <c r="DR408" s="31"/>
      <c r="DS408" s="31"/>
      <c r="DT408" s="31"/>
      <c r="DU408" s="31"/>
      <c r="DV408" s="31"/>
      <c r="DW408" s="31"/>
      <c r="DX408" s="31"/>
      <c r="DY408" s="31"/>
      <c r="DZ408" s="31"/>
      <c r="EA408" s="31"/>
      <c r="EB408" s="31"/>
      <c r="EC408" s="31"/>
      <c r="ED408" s="31"/>
      <c r="EE408" s="31"/>
      <c r="EF408" s="31"/>
      <c r="EG408" s="31"/>
      <c r="EH408" s="31"/>
      <c r="EI408" s="31"/>
      <c r="EJ408" s="31"/>
      <c r="EK408" s="31"/>
      <c r="EL408" s="31"/>
      <c r="EM408" s="31"/>
      <c r="EN408" s="31"/>
      <c r="EO408" s="31"/>
      <c r="EP408" s="31"/>
      <c r="EQ408" s="31"/>
      <c r="ER408" s="31"/>
      <c r="ES408" s="31"/>
      <c r="ET408" s="31"/>
      <c r="EU408" s="31"/>
      <c r="EV408" s="31"/>
      <c r="EW408" s="31"/>
      <c r="EX408" s="31"/>
      <c r="EY408" s="31"/>
      <c r="EZ408" s="31"/>
      <c r="FA408" s="31"/>
      <c r="FB408" s="31"/>
      <c r="FC408" s="31"/>
      <c r="FD408" s="31"/>
      <c r="FE408" s="31"/>
      <c r="FF408" s="31"/>
      <c r="FG408" s="31"/>
      <c r="FH408" s="31"/>
      <c r="FI408" s="31"/>
      <c r="FJ408" s="31"/>
      <c r="FK408" s="31"/>
      <c r="FL408" s="31"/>
      <c r="FM408" s="31"/>
      <c r="FN408" s="31"/>
      <c r="FO408" s="31"/>
      <c r="FP408" s="31"/>
      <c r="FQ408" s="31"/>
      <c r="FR408" s="31"/>
      <c r="FS408" s="31"/>
      <c r="FT408" s="31"/>
      <c r="FU408" s="31"/>
      <c r="FV408" s="31"/>
      <c r="FW408" s="31"/>
      <c r="FX408" s="31"/>
      <c r="FY408" s="31"/>
      <c r="FZ408" s="31"/>
      <c r="GA408" s="31"/>
      <c r="GB408" s="31"/>
      <c r="GC408" s="31"/>
      <c r="GD408" s="31"/>
      <c r="GE408" s="31"/>
      <c r="GF408" s="31"/>
      <c r="GG408" s="31"/>
      <c r="GH408" s="31"/>
    </row>
    <row r="409" spans="1:190" ht="15.75" customHeight="1" x14ac:dyDescent="0.3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>
        <v>407</v>
      </c>
      <c r="U409" s="31" t="s">
        <v>194</v>
      </c>
      <c r="V409" s="31" t="s">
        <v>294</v>
      </c>
      <c r="W409" s="31" t="s">
        <v>776</v>
      </c>
      <c r="X409" s="31" t="s">
        <v>2553</v>
      </c>
      <c r="Y409" s="31" t="s">
        <v>2554</v>
      </c>
      <c r="Z409" s="31" t="s">
        <v>2555</v>
      </c>
      <c r="AA409" s="32" t="s">
        <v>202</v>
      </c>
      <c r="AB409" s="32" t="s">
        <v>300</v>
      </c>
      <c r="AC409" s="32" t="s">
        <v>779</v>
      </c>
      <c r="AD409" s="31" t="s">
        <v>965</v>
      </c>
      <c r="AE409" s="31" t="s">
        <v>303</v>
      </c>
      <c r="AF409" s="31" t="s">
        <v>966</v>
      </c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  <c r="DI409" s="31"/>
      <c r="DJ409" s="31"/>
      <c r="DK409" s="31"/>
      <c r="DL409" s="31"/>
      <c r="DM409" s="31"/>
      <c r="DN409" s="31"/>
      <c r="DO409" s="31"/>
      <c r="DP409" s="31"/>
      <c r="DQ409" s="31"/>
      <c r="DR409" s="31"/>
      <c r="DS409" s="31"/>
      <c r="DT409" s="31"/>
      <c r="DU409" s="31"/>
      <c r="DV409" s="31"/>
      <c r="DW409" s="31"/>
      <c r="DX409" s="31"/>
      <c r="DY409" s="31"/>
      <c r="DZ409" s="31"/>
      <c r="EA409" s="31"/>
      <c r="EB409" s="31"/>
      <c r="EC409" s="31"/>
      <c r="ED409" s="31"/>
      <c r="EE409" s="31"/>
      <c r="EF409" s="31"/>
      <c r="EG409" s="31"/>
      <c r="EH409" s="31"/>
      <c r="EI409" s="31"/>
      <c r="EJ409" s="31"/>
      <c r="EK409" s="31"/>
      <c r="EL409" s="31"/>
      <c r="EM409" s="31"/>
      <c r="EN409" s="31"/>
      <c r="EO409" s="31"/>
      <c r="EP409" s="31"/>
      <c r="EQ409" s="31"/>
      <c r="ER409" s="31"/>
      <c r="ES409" s="31"/>
      <c r="ET409" s="31"/>
      <c r="EU409" s="31"/>
      <c r="EV409" s="31"/>
      <c r="EW409" s="31"/>
      <c r="EX409" s="31"/>
      <c r="EY409" s="31"/>
      <c r="EZ409" s="31"/>
      <c r="FA409" s="31"/>
      <c r="FB409" s="31"/>
      <c r="FC409" s="31"/>
      <c r="FD409" s="31"/>
      <c r="FE409" s="31"/>
      <c r="FF409" s="31"/>
      <c r="FG409" s="31"/>
      <c r="FH409" s="31"/>
      <c r="FI409" s="31"/>
      <c r="FJ409" s="31"/>
      <c r="FK409" s="31"/>
      <c r="FL409" s="31"/>
      <c r="FM409" s="31"/>
      <c r="FN409" s="31"/>
      <c r="FO409" s="31"/>
      <c r="FP409" s="31"/>
      <c r="FQ409" s="31"/>
      <c r="FR409" s="31"/>
      <c r="FS409" s="31"/>
      <c r="FT409" s="31"/>
      <c r="FU409" s="31"/>
      <c r="FV409" s="31"/>
      <c r="FW409" s="31"/>
      <c r="FX409" s="31"/>
      <c r="FY409" s="31"/>
      <c r="FZ409" s="31"/>
      <c r="GA409" s="31"/>
      <c r="GB409" s="31"/>
      <c r="GC409" s="31"/>
      <c r="GD409" s="31"/>
      <c r="GE409" s="31"/>
      <c r="GF409" s="31"/>
      <c r="GG409" s="31"/>
      <c r="GH409" s="31"/>
    </row>
    <row r="410" spans="1:190" ht="15.75" customHeight="1" x14ac:dyDescent="0.3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>
        <v>408</v>
      </c>
      <c r="U410" s="31" t="s">
        <v>194</v>
      </c>
      <c r="V410" s="31" t="s">
        <v>724</v>
      </c>
      <c r="W410" s="31" t="s">
        <v>789</v>
      </c>
      <c r="X410" s="31" t="s">
        <v>2556</v>
      </c>
      <c r="Y410" s="31" t="s">
        <v>2557</v>
      </c>
      <c r="Z410" s="31" t="s">
        <v>2558</v>
      </c>
      <c r="AA410" s="32" t="s">
        <v>202</v>
      </c>
      <c r="AB410" s="32" t="s">
        <v>725</v>
      </c>
      <c r="AC410" s="32" t="s">
        <v>793</v>
      </c>
      <c r="AD410" s="31" t="s">
        <v>794</v>
      </c>
      <c r="AE410" s="31" t="s">
        <v>303</v>
      </c>
      <c r="AF410" s="31" t="s">
        <v>688</v>
      </c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1"/>
      <c r="DD410" s="31"/>
      <c r="DE410" s="31"/>
      <c r="DF410" s="31"/>
      <c r="DG410" s="31"/>
      <c r="DH410" s="31"/>
      <c r="DI410" s="31"/>
      <c r="DJ410" s="31"/>
      <c r="DK410" s="31"/>
      <c r="DL410" s="31"/>
      <c r="DM410" s="31"/>
      <c r="DN410" s="31"/>
      <c r="DO410" s="31"/>
      <c r="DP410" s="31"/>
      <c r="DQ410" s="31"/>
      <c r="DR410" s="31"/>
      <c r="DS410" s="31"/>
      <c r="DT410" s="31"/>
      <c r="DU410" s="31"/>
      <c r="DV410" s="31"/>
      <c r="DW410" s="31"/>
      <c r="DX410" s="31"/>
      <c r="DY410" s="31"/>
      <c r="DZ410" s="31"/>
      <c r="EA410" s="31"/>
      <c r="EB410" s="31"/>
      <c r="EC410" s="31"/>
      <c r="ED410" s="31"/>
      <c r="EE410" s="31"/>
      <c r="EF410" s="31"/>
      <c r="EG410" s="31"/>
      <c r="EH410" s="31"/>
      <c r="EI410" s="31"/>
      <c r="EJ410" s="31"/>
      <c r="EK410" s="31"/>
      <c r="EL410" s="31"/>
      <c r="EM410" s="31"/>
      <c r="EN410" s="31"/>
      <c r="EO410" s="31"/>
      <c r="EP410" s="31"/>
      <c r="EQ410" s="31"/>
      <c r="ER410" s="31"/>
      <c r="ES410" s="31"/>
      <c r="ET410" s="31"/>
      <c r="EU410" s="31"/>
      <c r="EV410" s="31"/>
      <c r="EW410" s="31"/>
      <c r="EX410" s="31"/>
      <c r="EY410" s="31"/>
      <c r="EZ410" s="31"/>
      <c r="FA410" s="31"/>
      <c r="FB410" s="31"/>
      <c r="FC410" s="31"/>
      <c r="FD410" s="31"/>
      <c r="FE410" s="31"/>
      <c r="FF410" s="31"/>
      <c r="FG410" s="31"/>
      <c r="FH410" s="31"/>
      <c r="FI410" s="31"/>
      <c r="FJ410" s="31"/>
      <c r="FK410" s="31"/>
      <c r="FL410" s="31"/>
      <c r="FM410" s="31"/>
      <c r="FN410" s="31"/>
      <c r="FO410" s="31"/>
      <c r="FP410" s="31"/>
      <c r="FQ410" s="31"/>
      <c r="FR410" s="31"/>
      <c r="FS410" s="31"/>
      <c r="FT410" s="31"/>
      <c r="FU410" s="31"/>
      <c r="FV410" s="31"/>
      <c r="FW410" s="31"/>
      <c r="FX410" s="31"/>
      <c r="FY410" s="31"/>
      <c r="FZ410" s="31"/>
      <c r="GA410" s="31"/>
      <c r="GB410" s="31"/>
      <c r="GC410" s="31"/>
      <c r="GD410" s="31"/>
      <c r="GE410" s="31"/>
      <c r="GF410" s="31"/>
      <c r="GG410" s="31"/>
      <c r="GH410" s="31"/>
    </row>
    <row r="411" spans="1:190" ht="15.75" customHeight="1" x14ac:dyDescent="0.3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>
        <v>409</v>
      </c>
      <c r="U411" s="31" t="s">
        <v>187</v>
      </c>
      <c r="V411" s="31" t="s">
        <v>287</v>
      </c>
      <c r="W411" s="31" t="s">
        <v>469</v>
      </c>
      <c r="X411" s="31" t="s">
        <v>2559</v>
      </c>
      <c r="Y411" s="31" t="s">
        <v>2560</v>
      </c>
      <c r="Z411" s="31" t="s">
        <v>2561</v>
      </c>
      <c r="AA411" s="32" t="s">
        <v>286</v>
      </c>
      <c r="AB411" s="32" t="s">
        <v>290</v>
      </c>
      <c r="AC411" s="32" t="s">
        <v>473</v>
      </c>
      <c r="AD411" s="31" t="s">
        <v>1646</v>
      </c>
      <c r="AE411" s="31" t="s">
        <v>303</v>
      </c>
      <c r="AF411" s="31" t="s">
        <v>489</v>
      </c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1"/>
      <c r="DD411" s="31"/>
      <c r="DE411" s="31"/>
      <c r="DF411" s="31"/>
      <c r="DG411" s="31"/>
      <c r="DH411" s="31"/>
      <c r="DI411" s="31"/>
      <c r="DJ411" s="31"/>
      <c r="DK411" s="31"/>
      <c r="DL411" s="31"/>
      <c r="DM411" s="31"/>
      <c r="DN411" s="31"/>
      <c r="DO411" s="31"/>
      <c r="DP411" s="31"/>
      <c r="DQ411" s="31"/>
      <c r="DR411" s="31"/>
      <c r="DS411" s="31"/>
      <c r="DT411" s="31"/>
      <c r="DU411" s="31"/>
      <c r="DV411" s="31"/>
      <c r="DW411" s="31"/>
      <c r="DX411" s="31"/>
      <c r="DY411" s="31"/>
      <c r="DZ411" s="31"/>
      <c r="EA411" s="31"/>
      <c r="EB411" s="31"/>
      <c r="EC411" s="31"/>
      <c r="ED411" s="31"/>
      <c r="EE411" s="31"/>
      <c r="EF411" s="31"/>
      <c r="EG411" s="31"/>
      <c r="EH411" s="31"/>
      <c r="EI411" s="31"/>
      <c r="EJ411" s="31"/>
      <c r="EK411" s="31"/>
      <c r="EL411" s="31"/>
      <c r="EM411" s="31"/>
      <c r="EN411" s="31"/>
      <c r="EO411" s="31"/>
      <c r="EP411" s="31"/>
      <c r="EQ411" s="31"/>
      <c r="ER411" s="31"/>
      <c r="ES411" s="31"/>
      <c r="ET411" s="31"/>
      <c r="EU411" s="31"/>
      <c r="EV411" s="31"/>
      <c r="EW411" s="31"/>
      <c r="EX411" s="31"/>
      <c r="EY411" s="31"/>
      <c r="EZ411" s="31"/>
      <c r="FA411" s="31"/>
      <c r="FB411" s="31"/>
      <c r="FC411" s="31"/>
      <c r="FD411" s="31"/>
      <c r="FE411" s="31"/>
      <c r="FF411" s="31"/>
      <c r="FG411" s="31"/>
      <c r="FH411" s="31"/>
      <c r="FI411" s="31"/>
      <c r="FJ411" s="31"/>
      <c r="FK411" s="31"/>
      <c r="FL411" s="31"/>
      <c r="FM411" s="31"/>
      <c r="FN411" s="31"/>
      <c r="FO411" s="31"/>
      <c r="FP411" s="31"/>
      <c r="FQ411" s="31"/>
      <c r="FR411" s="31"/>
      <c r="FS411" s="31"/>
      <c r="FT411" s="31"/>
      <c r="FU411" s="31"/>
      <c r="FV411" s="31"/>
      <c r="FW411" s="31"/>
      <c r="FX411" s="31"/>
      <c r="FY411" s="31"/>
      <c r="FZ411" s="31"/>
      <c r="GA411" s="31"/>
      <c r="GB411" s="31"/>
      <c r="GC411" s="31"/>
      <c r="GD411" s="31"/>
      <c r="GE411" s="31"/>
      <c r="GF411" s="31"/>
      <c r="GG411" s="31"/>
      <c r="GH411" s="31"/>
    </row>
    <row r="412" spans="1:190" ht="15.75" customHeight="1" x14ac:dyDescent="0.3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>
        <v>410</v>
      </c>
      <c r="U412" s="31" t="s">
        <v>187</v>
      </c>
      <c r="V412" s="31" t="s">
        <v>287</v>
      </c>
      <c r="W412" s="31" t="s">
        <v>561</v>
      </c>
      <c r="X412" s="31" t="s">
        <v>2562</v>
      </c>
      <c r="Y412" s="31" t="s">
        <v>2563</v>
      </c>
      <c r="Z412" s="31" t="s">
        <v>2564</v>
      </c>
      <c r="AA412" s="32" t="s">
        <v>286</v>
      </c>
      <c r="AB412" s="32" t="s">
        <v>290</v>
      </c>
      <c r="AC412" s="32" t="s">
        <v>565</v>
      </c>
      <c r="AD412" s="31" t="s">
        <v>303</v>
      </c>
      <c r="AE412" s="31"/>
      <c r="AF412" s="31" t="s">
        <v>978</v>
      </c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1"/>
      <c r="DD412" s="31"/>
      <c r="DE412" s="31"/>
      <c r="DF412" s="31"/>
      <c r="DG412" s="31"/>
      <c r="DH412" s="31"/>
      <c r="DI412" s="31"/>
      <c r="DJ412" s="31"/>
      <c r="DK412" s="31"/>
      <c r="DL412" s="31"/>
      <c r="DM412" s="31"/>
      <c r="DN412" s="31"/>
      <c r="DO412" s="31"/>
      <c r="DP412" s="31"/>
      <c r="DQ412" s="31"/>
      <c r="DR412" s="31"/>
      <c r="DS412" s="31"/>
      <c r="DT412" s="31"/>
      <c r="DU412" s="31"/>
      <c r="DV412" s="31"/>
      <c r="DW412" s="31"/>
      <c r="DX412" s="31"/>
      <c r="DY412" s="31"/>
      <c r="DZ412" s="31"/>
      <c r="EA412" s="31"/>
      <c r="EB412" s="31"/>
      <c r="EC412" s="31"/>
      <c r="ED412" s="31"/>
      <c r="EE412" s="31"/>
      <c r="EF412" s="31"/>
      <c r="EG412" s="31"/>
      <c r="EH412" s="31"/>
      <c r="EI412" s="31"/>
      <c r="EJ412" s="31"/>
      <c r="EK412" s="31"/>
      <c r="EL412" s="31"/>
      <c r="EM412" s="31"/>
      <c r="EN412" s="31"/>
      <c r="EO412" s="31"/>
      <c r="EP412" s="31"/>
      <c r="EQ412" s="31"/>
      <c r="ER412" s="31"/>
      <c r="ES412" s="31"/>
      <c r="ET412" s="31"/>
      <c r="EU412" s="31"/>
      <c r="EV412" s="31"/>
      <c r="EW412" s="31"/>
      <c r="EX412" s="31"/>
      <c r="EY412" s="31"/>
      <c r="EZ412" s="31"/>
      <c r="FA412" s="31"/>
      <c r="FB412" s="31"/>
      <c r="FC412" s="31"/>
      <c r="FD412" s="31"/>
      <c r="FE412" s="31"/>
      <c r="FF412" s="31"/>
      <c r="FG412" s="31"/>
      <c r="FH412" s="31"/>
      <c r="FI412" s="31"/>
      <c r="FJ412" s="31"/>
      <c r="FK412" s="31"/>
      <c r="FL412" s="31"/>
      <c r="FM412" s="31"/>
      <c r="FN412" s="31"/>
      <c r="FO412" s="31"/>
      <c r="FP412" s="31"/>
      <c r="FQ412" s="31"/>
      <c r="FR412" s="31"/>
      <c r="FS412" s="31"/>
      <c r="FT412" s="31"/>
      <c r="FU412" s="31"/>
      <c r="FV412" s="31"/>
      <c r="FW412" s="31"/>
      <c r="FX412" s="31"/>
      <c r="FY412" s="31"/>
      <c r="FZ412" s="31"/>
      <c r="GA412" s="31"/>
      <c r="GB412" s="31"/>
      <c r="GC412" s="31"/>
      <c r="GD412" s="31"/>
      <c r="GE412" s="31"/>
      <c r="GF412" s="31"/>
      <c r="GG412" s="31"/>
      <c r="GH412" s="31"/>
    </row>
    <row r="413" spans="1:190" ht="15.75" customHeight="1" x14ac:dyDescent="0.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>
        <v>411</v>
      </c>
      <c r="U413" s="31" t="s">
        <v>194</v>
      </c>
      <c r="V413" s="31" t="s">
        <v>195</v>
      </c>
      <c r="W413" s="31" t="s">
        <v>196</v>
      </c>
      <c r="X413" s="31" t="s">
        <v>2565</v>
      </c>
      <c r="Y413" s="31" t="s">
        <v>2566</v>
      </c>
      <c r="Z413" s="31" t="s">
        <v>2567</v>
      </c>
      <c r="AA413" s="32" t="s">
        <v>202</v>
      </c>
      <c r="AB413" s="32" t="s">
        <v>203</v>
      </c>
      <c r="AC413" s="32" t="s">
        <v>204</v>
      </c>
      <c r="AD413" s="31" t="s">
        <v>205</v>
      </c>
      <c r="AE413" s="31" t="s">
        <v>897</v>
      </c>
      <c r="AF413" s="31" t="s">
        <v>207</v>
      </c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1"/>
      <c r="DD413" s="31"/>
      <c r="DE413" s="31"/>
      <c r="DF413" s="31"/>
      <c r="DG413" s="31"/>
      <c r="DH413" s="31"/>
      <c r="DI413" s="31"/>
      <c r="DJ413" s="31"/>
      <c r="DK413" s="31"/>
      <c r="DL413" s="31"/>
      <c r="DM413" s="31"/>
      <c r="DN413" s="31"/>
      <c r="DO413" s="31"/>
      <c r="DP413" s="31"/>
      <c r="DQ413" s="31"/>
      <c r="DR413" s="31"/>
      <c r="DS413" s="31"/>
      <c r="DT413" s="31"/>
      <c r="DU413" s="31"/>
      <c r="DV413" s="31"/>
      <c r="DW413" s="31"/>
      <c r="DX413" s="31"/>
      <c r="DY413" s="31"/>
      <c r="DZ413" s="31"/>
      <c r="EA413" s="31"/>
      <c r="EB413" s="31"/>
      <c r="EC413" s="31"/>
      <c r="ED413" s="31"/>
      <c r="EE413" s="31"/>
      <c r="EF413" s="31"/>
      <c r="EG413" s="31"/>
      <c r="EH413" s="31"/>
      <c r="EI413" s="31"/>
      <c r="EJ413" s="31"/>
      <c r="EK413" s="31"/>
      <c r="EL413" s="31"/>
      <c r="EM413" s="31"/>
      <c r="EN413" s="31"/>
      <c r="EO413" s="31"/>
      <c r="EP413" s="31"/>
      <c r="EQ413" s="31"/>
      <c r="ER413" s="31"/>
      <c r="ES413" s="31"/>
      <c r="ET413" s="31"/>
      <c r="EU413" s="31"/>
      <c r="EV413" s="31"/>
      <c r="EW413" s="31"/>
      <c r="EX413" s="31"/>
      <c r="EY413" s="31"/>
      <c r="EZ413" s="31"/>
      <c r="FA413" s="31"/>
      <c r="FB413" s="31"/>
      <c r="FC413" s="31"/>
      <c r="FD413" s="31"/>
      <c r="FE413" s="31"/>
      <c r="FF413" s="31"/>
      <c r="FG413" s="31"/>
      <c r="FH413" s="31"/>
      <c r="FI413" s="31"/>
      <c r="FJ413" s="31"/>
      <c r="FK413" s="31"/>
      <c r="FL413" s="31"/>
      <c r="FM413" s="31"/>
      <c r="FN413" s="31"/>
      <c r="FO413" s="31"/>
      <c r="FP413" s="31"/>
      <c r="FQ413" s="31"/>
      <c r="FR413" s="31"/>
      <c r="FS413" s="31"/>
      <c r="FT413" s="31"/>
      <c r="FU413" s="31"/>
      <c r="FV413" s="31"/>
      <c r="FW413" s="31"/>
      <c r="FX413" s="31"/>
      <c r="FY413" s="31"/>
      <c r="FZ413" s="31"/>
      <c r="GA413" s="31"/>
      <c r="GB413" s="31"/>
      <c r="GC413" s="31"/>
      <c r="GD413" s="31"/>
      <c r="GE413" s="31"/>
      <c r="GF413" s="31"/>
      <c r="GG413" s="31"/>
      <c r="GH413" s="31"/>
    </row>
    <row r="414" spans="1:190" ht="15.75" customHeight="1" x14ac:dyDescent="0.3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>
        <v>412</v>
      </c>
      <c r="U414" s="31" t="s">
        <v>194</v>
      </c>
      <c r="V414" s="31" t="s">
        <v>729</v>
      </c>
      <c r="W414" s="31" t="s">
        <v>987</v>
      </c>
      <c r="X414" s="31" t="s">
        <v>2568</v>
      </c>
      <c r="Y414" s="31" t="s">
        <v>2569</v>
      </c>
      <c r="Z414" s="31" t="s">
        <v>2570</v>
      </c>
      <c r="AA414" s="32" t="s">
        <v>202</v>
      </c>
      <c r="AB414" s="32" t="s">
        <v>736</v>
      </c>
      <c r="AC414" s="32" t="s">
        <v>901</v>
      </c>
      <c r="AD414" s="31" t="s">
        <v>303</v>
      </c>
      <c r="AE414" s="31"/>
      <c r="AF414" s="31" t="s">
        <v>1201</v>
      </c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  <c r="DI414" s="31"/>
      <c r="DJ414" s="31"/>
      <c r="DK414" s="31"/>
      <c r="DL414" s="31"/>
      <c r="DM414" s="31"/>
      <c r="DN414" s="31"/>
      <c r="DO414" s="31"/>
      <c r="DP414" s="31"/>
      <c r="DQ414" s="31"/>
      <c r="DR414" s="31"/>
      <c r="DS414" s="31"/>
      <c r="DT414" s="31"/>
      <c r="DU414" s="31"/>
      <c r="DV414" s="31"/>
      <c r="DW414" s="31"/>
      <c r="DX414" s="31"/>
      <c r="DY414" s="31"/>
      <c r="DZ414" s="31"/>
      <c r="EA414" s="31"/>
      <c r="EB414" s="31"/>
      <c r="EC414" s="31"/>
      <c r="ED414" s="31"/>
      <c r="EE414" s="31"/>
      <c r="EF414" s="31"/>
      <c r="EG414" s="31"/>
      <c r="EH414" s="31"/>
      <c r="EI414" s="31"/>
      <c r="EJ414" s="31"/>
      <c r="EK414" s="31"/>
      <c r="EL414" s="31"/>
      <c r="EM414" s="31"/>
      <c r="EN414" s="31"/>
      <c r="EO414" s="31"/>
      <c r="EP414" s="31"/>
      <c r="EQ414" s="31"/>
      <c r="ER414" s="31"/>
      <c r="ES414" s="31"/>
      <c r="ET414" s="31"/>
      <c r="EU414" s="31"/>
      <c r="EV414" s="31"/>
      <c r="EW414" s="31"/>
      <c r="EX414" s="31"/>
      <c r="EY414" s="31"/>
      <c r="EZ414" s="31"/>
      <c r="FA414" s="31"/>
      <c r="FB414" s="31"/>
      <c r="FC414" s="31"/>
      <c r="FD414" s="31"/>
      <c r="FE414" s="31"/>
      <c r="FF414" s="31"/>
      <c r="FG414" s="31"/>
      <c r="FH414" s="31"/>
      <c r="FI414" s="31"/>
      <c r="FJ414" s="31"/>
      <c r="FK414" s="31"/>
      <c r="FL414" s="31"/>
      <c r="FM414" s="31"/>
      <c r="FN414" s="31"/>
      <c r="FO414" s="31"/>
      <c r="FP414" s="31"/>
      <c r="FQ414" s="31"/>
      <c r="FR414" s="31"/>
      <c r="FS414" s="31"/>
      <c r="FT414" s="31"/>
      <c r="FU414" s="31"/>
      <c r="FV414" s="31"/>
      <c r="FW414" s="31"/>
      <c r="FX414" s="31"/>
      <c r="FY414" s="31"/>
      <c r="FZ414" s="31"/>
      <c r="GA414" s="31"/>
      <c r="GB414" s="31"/>
      <c r="GC414" s="31"/>
      <c r="GD414" s="31"/>
      <c r="GE414" s="31"/>
      <c r="GF414" s="31"/>
      <c r="GG414" s="31"/>
      <c r="GH414" s="31"/>
    </row>
    <row r="415" spans="1:190" ht="15.75" customHeight="1" x14ac:dyDescent="0.3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>
        <v>413</v>
      </c>
      <c r="U415" s="31" t="s">
        <v>360</v>
      </c>
      <c r="V415" s="31" t="s">
        <v>647</v>
      </c>
      <c r="W415" s="31" t="s">
        <v>858</v>
      </c>
      <c r="X415" s="31" t="s">
        <v>2571</v>
      </c>
      <c r="Y415" s="31" t="s">
        <v>2572</v>
      </c>
      <c r="Z415" s="31" t="s">
        <v>2573</v>
      </c>
      <c r="AA415" s="32" t="s">
        <v>418</v>
      </c>
      <c r="AB415" s="32" t="s">
        <v>648</v>
      </c>
      <c r="AC415" s="32" t="s">
        <v>859</v>
      </c>
      <c r="AD415" s="31" t="s">
        <v>1963</v>
      </c>
      <c r="AE415" s="31" t="s">
        <v>303</v>
      </c>
      <c r="AF415" s="31" t="s">
        <v>1020</v>
      </c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  <c r="DT415" s="31"/>
      <c r="DU415" s="31"/>
      <c r="DV415" s="31"/>
      <c r="DW415" s="31"/>
      <c r="DX415" s="31"/>
      <c r="DY415" s="31"/>
      <c r="DZ415" s="31"/>
      <c r="EA415" s="31"/>
      <c r="EB415" s="31"/>
      <c r="EC415" s="31"/>
      <c r="ED415" s="31"/>
      <c r="EE415" s="31"/>
      <c r="EF415" s="31"/>
      <c r="EG415" s="31"/>
      <c r="EH415" s="31"/>
      <c r="EI415" s="31"/>
      <c r="EJ415" s="31"/>
      <c r="EK415" s="31"/>
      <c r="EL415" s="31"/>
      <c r="EM415" s="31"/>
      <c r="EN415" s="31"/>
      <c r="EO415" s="31"/>
      <c r="EP415" s="31"/>
      <c r="EQ415" s="31"/>
      <c r="ER415" s="31"/>
      <c r="ES415" s="31"/>
      <c r="ET415" s="31"/>
      <c r="EU415" s="31"/>
      <c r="EV415" s="31"/>
      <c r="EW415" s="31"/>
      <c r="EX415" s="31"/>
      <c r="EY415" s="31"/>
      <c r="EZ415" s="31"/>
      <c r="FA415" s="31"/>
      <c r="FB415" s="31"/>
      <c r="FC415" s="31"/>
      <c r="FD415" s="31"/>
      <c r="FE415" s="31"/>
      <c r="FF415" s="31"/>
      <c r="FG415" s="31"/>
      <c r="FH415" s="31"/>
      <c r="FI415" s="31"/>
      <c r="FJ415" s="31"/>
      <c r="FK415" s="31"/>
      <c r="FL415" s="31"/>
      <c r="FM415" s="31"/>
      <c r="FN415" s="31"/>
      <c r="FO415" s="31"/>
      <c r="FP415" s="31"/>
      <c r="FQ415" s="31"/>
      <c r="FR415" s="31"/>
      <c r="FS415" s="31"/>
      <c r="FT415" s="31"/>
      <c r="FU415" s="31"/>
      <c r="FV415" s="31"/>
      <c r="FW415" s="31"/>
      <c r="FX415" s="31"/>
      <c r="FY415" s="31"/>
      <c r="FZ415" s="31"/>
      <c r="GA415" s="31"/>
      <c r="GB415" s="31"/>
      <c r="GC415" s="31"/>
      <c r="GD415" s="31"/>
      <c r="GE415" s="31"/>
      <c r="GF415" s="31"/>
      <c r="GG415" s="31"/>
      <c r="GH415" s="31"/>
    </row>
    <row r="416" spans="1:190" ht="15.75" customHeight="1" x14ac:dyDescent="0.3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>
        <v>414</v>
      </c>
      <c r="U416" s="31" t="s">
        <v>194</v>
      </c>
      <c r="V416" s="31" t="s">
        <v>195</v>
      </c>
      <c r="W416" s="31" t="s">
        <v>196</v>
      </c>
      <c r="X416" s="31" t="s">
        <v>2574</v>
      </c>
      <c r="Y416" s="31" t="s">
        <v>2575</v>
      </c>
      <c r="Z416" s="31" t="s">
        <v>2576</v>
      </c>
      <c r="AA416" s="32" t="s">
        <v>202</v>
      </c>
      <c r="AB416" s="32" t="s">
        <v>203</v>
      </c>
      <c r="AC416" s="32" t="s">
        <v>204</v>
      </c>
      <c r="AD416" s="31" t="s">
        <v>205</v>
      </c>
      <c r="AE416" s="31" t="s">
        <v>897</v>
      </c>
      <c r="AF416" s="31" t="s">
        <v>207</v>
      </c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  <c r="DT416" s="31"/>
      <c r="DU416" s="31"/>
      <c r="DV416" s="31"/>
      <c r="DW416" s="31"/>
      <c r="DX416" s="31"/>
      <c r="DY416" s="31"/>
      <c r="DZ416" s="31"/>
      <c r="EA416" s="31"/>
      <c r="EB416" s="31"/>
      <c r="EC416" s="31"/>
      <c r="ED416" s="31"/>
      <c r="EE416" s="31"/>
      <c r="EF416" s="31"/>
      <c r="EG416" s="31"/>
      <c r="EH416" s="31"/>
      <c r="EI416" s="31"/>
      <c r="EJ416" s="31"/>
      <c r="EK416" s="31"/>
      <c r="EL416" s="31"/>
      <c r="EM416" s="31"/>
      <c r="EN416" s="31"/>
      <c r="EO416" s="31"/>
      <c r="EP416" s="31"/>
      <c r="EQ416" s="31"/>
      <c r="ER416" s="31"/>
      <c r="ES416" s="31"/>
      <c r="ET416" s="31"/>
      <c r="EU416" s="31"/>
      <c r="EV416" s="31"/>
      <c r="EW416" s="31"/>
      <c r="EX416" s="31"/>
      <c r="EY416" s="31"/>
      <c r="EZ416" s="31"/>
      <c r="FA416" s="31"/>
      <c r="FB416" s="31"/>
      <c r="FC416" s="31"/>
      <c r="FD416" s="31"/>
      <c r="FE416" s="31"/>
      <c r="FF416" s="31"/>
      <c r="FG416" s="31"/>
      <c r="FH416" s="31"/>
      <c r="FI416" s="31"/>
      <c r="FJ416" s="31"/>
      <c r="FK416" s="31"/>
      <c r="FL416" s="31"/>
      <c r="FM416" s="31"/>
      <c r="FN416" s="31"/>
      <c r="FO416" s="31"/>
      <c r="FP416" s="31"/>
      <c r="FQ416" s="31"/>
      <c r="FR416" s="31"/>
      <c r="FS416" s="31"/>
      <c r="FT416" s="31"/>
      <c r="FU416" s="31"/>
      <c r="FV416" s="31"/>
      <c r="FW416" s="31"/>
      <c r="FX416" s="31"/>
      <c r="FY416" s="31"/>
      <c r="FZ416" s="31"/>
      <c r="GA416" s="31"/>
      <c r="GB416" s="31"/>
      <c r="GC416" s="31"/>
      <c r="GD416" s="31"/>
      <c r="GE416" s="31"/>
      <c r="GF416" s="31"/>
      <c r="GG416" s="31"/>
      <c r="GH416" s="31"/>
    </row>
    <row r="417" spans="1:190" ht="15.75" customHeight="1" x14ac:dyDescent="0.3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>
        <v>415</v>
      </c>
      <c r="U417" s="31" t="s">
        <v>187</v>
      </c>
      <c r="V417" s="31" t="s">
        <v>360</v>
      </c>
      <c r="W417" s="31" t="s">
        <v>363</v>
      </c>
      <c r="X417" s="31" t="s">
        <v>2577</v>
      </c>
      <c r="Y417" s="31" t="s">
        <v>2578</v>
      </c>
      <c r="Z417" s="31" t="s">
        <v>2579</v>
      </c>
      <c r="AA417" s="32" t="s">
        <v>286</v>
      </c>
      <c r="AB417" s="32" t="s">
        <v>361</v>
      </c>
      <c r="AC417" s="32" t="s">
        <v>303</v>
      </c>
      <c r="AD417" s="31"/>
      <c r="AE417" s="31"/>
      <c r="AF417" s="31" t="s">
        <v>361</v>
      </c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  <c r="DI417" s="31"/>
      <c r="DJ417" s="31"/>
      <c r="DK417" s="31"/>
      <c r="DL417" s="31"/>
      <c r="DM417" s="31"/>
      <c r="DN417" s="31"/>
      <c r="DO417" s="31"/>
      <c r="DP417" s="31"/>
      <c r="DQ417" s="31"/>
      <c r="DR417" s="31"/>
      <c r="DS417" s="31"/>
      <c r="DT417" s="31"/>
      <c r="DU417" s="31"/>
      <c r="DV417" s="31"/>
      <c r="DW417" s="31"/>
      <c r="DX417" s="31"/>
      <c r="DY417" s="31"/>
      <c r="DZ417" s="31"/>
      <c r="EA417" s="31"/>
      <c r="EB417" s="31"/>
      <c r="EC417" s="31"/>
      <c r="ED417" s="31"/>
      <c r="EE417" s="31"/>
      <c r="EF417" s="31"/>
      <c r="EG417" s="31"/>
      <c r="EH417" s="31"/>
      <c r="EI417" s="31"/>
      <c r="EJ417" s="31"/>
      <c r="EK417" s="31"/>
      <c r="EL417" s="31"/>
      <c r="EM417" s="31"/>
      <c r="EN417" s="31"/>
      <c r="EO417" s="31"/>
      <c r="EP417" s="31"/>
      <c r="EQ417" s="31"/>
      <c r="ER417" s="31"/>
      <c r="ES417" s="31"/>
      <c r="ET417" s="31"/>
      <c r="EU417" s="31"/>
      <c r="EV417" s="31"/>
      <c r="EW417" s="31"/>
      <c r="EX417" s="31"/>
      <c r="EY417" s="31"/>
      <c r="EZ417" s="31"/>
      <c r="FA417" s="31"/>
      <c r="FB417" s="31"/>
      <c r="FC417" s="31"/>
      <c r="FD417" s="31"/>
      <c r="FE417" s="31"/>
      <c r="FF417" s="31"/>
      <c r="FG417" s="31"/>
      <c r="FH417" s="31"/>
      <c r="FI417" s="31"/>
      <c r="FJ417" s="31"/>
      <c r="FK417" s="31"/>
      <c r="FL417" s="31"/>
      <c r="FM417" s="31"/>
      <c r="FN417" s="31"/>
      <c r="FO417" s="31"/>
      <c r="FP417" s="31"/>
      <c r="FQ417" s="31"/>
      <c r="FR417" s="31"/>
      <c r="FS417" s="31"/>
      <c r="FT417" s="31"/>
      <c r="FU417" s="31"/>
      <c r="FV417" s="31"/>
      <c r="FW417" s="31"/>
      <c r="FX417" s="31"/>
      <c r="FY417" s="31"/>
      <c r="FZ417" s="31"/>
      <c r="GA417" s="31"/>
      <c r="GB417" s="31"/>
      <c r="GC417" s="31"/>
      <c r="GD417" s="31"/>
      <c r="GE417" s="31"/>
      <c r="GF417" s="31"/>
      <c r="GG417" s="31"/>
      <c r="GH417" s="31"/>
    </row>
    <row r="418" spans="1:190" ht="15.75" customHeight="1" x14ac:dyDescent="0.3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>
        <v>416</v>
      </c>
      <c r="U418" s="31" t="s">
        <v>187</v>
      </c>
      <c r="V418" s="31" t="s">
        <v>187</v>
      </c>
      <c r="W418" s="31" t="s">
        <v>187</v>
      </c>
      <c r="X418" s="31" t="s">
        <v>2580</v>
      </c>
      <c r="Y418" s="31" t="s">
        <v>2581</v>
      </c>
      <c r="Z418" s="31" t="s">
        <v>2582</v>
      </c>
      <c r="AA418" s="32" t="s">
        <v>286</v>
      </c>
      <c r="AB418" s="32" t="s">
        <v>190</v>
      </c>
      <c r="AC418" s="32" t="s">
        <v>193</v>
      </c>
      <c r="AD418" s="31" t="s">
        <v>2537</v>
      </c>
      <c r="AE418" s="31" t="s">
        <v>303</v>
      </c>
      <c r="AF418" s="31" t="s">
        <v>380</v>
      </c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1"/>
      <c r="DD418" s="31"/>
      <c r="DE418" s="31"/>
      <c r="DF418" s="31"/>
      <c r="DG418" s="31"/>
      <c r="DH418" s="31"/>
      <c r="DI418" s="31"/>
      <c r="DJ418" s="31"/>
      <c r="DK418" s="31"/>
      <c r="DL418" s="31"/>
      <c r="DM418" s="31"/>
      <c r="DN418" s="31"/>
      <c r="DO418" s="31"/>
      <c r="DP418" s="31"/>
      <c r="DQ418" s="31"/>
      <c r="DR418" s="31"/>
      <c r="DS418" s="31"/>
      <c r="DT418" s="31"/>
      <c r="DU418" s="31"/>
      <c r="DV418" s="31"/>
      <c r="DW418" s="31"/>
      <c r="DX418" s="31"/>
      <c r="DY418" s="31"/>
      <c r="DZ418" s="31"/>
      <c r="EA418" s="31"/>
      <c r="EB418" s="31"/>
      <c r="EC418" s="31"/>
      <c r="ED418" s="31"/>
      <c r="EE418" s="31"/>
      <c r="EF418" s="31"/>
      <c r="EG418" s="31"/>
      <c r="EH418" s="31"/>
      <c r="EI418" s="31"/>
      <c r="EJ418" s="31"/>
      <c r="EK418" s="31"/>
      <c r="EL418" s="31"/>
      <c r="EM418" s="31"/>
      <c r="EN418" s="31"/>
      <c r="EO418" s="31"/>
      <c r="EP418" s="31"/>
      <c r="EQ418" s="31"/>
      <c r="ER418" s="31"/>
      <c r="ES418" s="31"/>
      <c r="ET418" s="31"/>
      <c r="EU418" s="31"/>
      <c r="EV418" s="31"/>
      <c r="EW418" s="31"/>
      <c r="EX418" s="31"/>
      <c r="EY418" s="31"/>
      <c r="EZ418" s="31"/>
      <c r="FA418" s="31"/>
      <c r="FB418" s="31"/>
      <c r="FC418" s="31"/>
      <c r="FD418" s="31"/>
      <c r="FE418" s="31"/>
      <c r="FF418" s="31"/>
      <c r="FG418" s="31"/>
      <c r="FH418" s="31"/>
      <c r="FI418" s="31"/>
      <c r="FJ418" s="31"/>
      <c r="FK418" s="31"/>
      <c r="FL418" s="31"/>
      <c r="FM418" s="31"/>
      <c r="FN418" s="31"/>
      <c r="FO418" s="31"/>
      <c r="FP418" s="31"/>
      <c r="FQ418" s="31"/>
      <c r="FR418" s="31"/>
      <c r="FS418" s="31"/>
      <c r="FT418" s="31"/>
      <c r="FU418" s="31"/>
      <c r="FV418" s="31"/>
      <c r="FW418" s="31"/>
      <c r="FX418" s="31"/>
      <c r="FY418" s="31"/>
      <c r="FZ418" s="31"/>
      <c r="GA418" s="31"/>
      <c r="GB418" s="31"/>
      <c r="GC418" s="31"/>
      <c r="GD418" s="31"/>
      <c r="GE418" s="31"/>
      <c r="GF418" s="31"/>
      <c r="GG418" s="31"/>
      <c r="GH418" s="31"/>
    </row>
    <row r="419" spans="1:190" ht="15.75" customHeight="1" x14ac:dyDescent="0.3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>
        <v>417</v>
      </c>
      <c r="U419" s="31" t="s">
        <v>194</v>
      </c>
      <c r="V419" s="31" t="s">
        <v>724</v>
      </c>
      <c r="W419" s="31" t="s">
        <v>809</v>
      </c>
      <c r="X419" s="31" t="s">
        <v>2583</v>
      </c>
      <c r="Y419" s="31" t="s">
        <v>2584</v>
      </c>
      <c r="Z419" s="31" t="s">
        <v>2585</v>
      </c>
      <c r="AA419" s="32" t="s">
        <v>202</v>
      </c>
      <c r="AB419" s="32" t="s">
        <v>725</v>
      </c>
      <c r="AC419" s="32" t="s">
        <v>813</v>
      </c>
      <c r="AD419" s="31" t="s">
        <v>2242</v>
      </c>
      <c r="AE419" s="31" t="s">
        <v>303</v>
      </c>
      <c r="AF419" s="31" t="s">
        <v>857</v>
      </c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1"/>
      <c r="DD419" s="31"/>
      <c r="DE419" s="31"/>
      <c r="DF419" s="31"/>
      <c r="DG419" s="31"/>
      <c r="DH419" s="31"/>
      <c r="DI419" s="31"/>
      <c r="DJ419" s="31"/>
      <c r="DK419" s="31"/>
      <c r="DL419" s="31"/>
      <c r="DM419" s="31"/>
      <c r="DN419" s="31"/>
      <c r="DO419" s="31"/>
      <c r="DP419" s="31"/>
      <c r="DQ419" s="31"/>
      <c r="DR419" s="31"/>
      <c r="DS419" s="31"/>
      <c r="DT419" s="31"/>
      <c r="DU419" s="31"/>
      <c r="DV419" s="31"/>
      <c r="DW419" s="31"/>
      <c r="DX419" s="31"/>
      <c r="DY419" s="31"/>
      <c r="DZ419" s="31"/>
      <c r="EA419" s="31"/>
      <c r="EB419" s="31"/>
      <c r="EC419" s="31"/>
      <c r="ED419" s="31"/>
      <c r="EE419" s="31"/>
      <c r="EF419" s="31"/>
      <c r="EG419" s="31"/>
      <c r="EH419" s="31"/>
      <c r="EI419" s="31"/>
      <c r="EJ419" s="31"/>
      <c r="EK419" s="31"/>
      <c r="EL419" s="31"/>
      <c r="EM419" s="31"/>
      <c r="EN419" s="31"/>
      <c r="EO419" s="31"/>
      <c r="EP419" s="31"/>
      <c r="EQ419" s="31"/>
      <c r="ER419" s="31"/>
      <c r="ES419" s="31"/>
      <c r="ET419" s="31"/>
      <c r="EU419" s="31"/>
      <c r="EV419" s="31"/>
      <c r="EW419" s="31"/>
      <c r="EX419" s="31"/>
      <c r="EY419" s="31"/>
      <c r="EZ419" s="31"/>
      <c r="FA419" s="31"/>
      <c r="FB419" s="31"/>
      <c r="FC419" s="31"/>
      <c r="FD419" s="31"/>
      <c r="FE419" s="31"/>
      <c r="FF419" s="31"/>
      <c r="FG419" s="31"/>
      <c r="FH419" s="31"/>
      <c r="FI419" s="31"/>
      <c r="FJ419" s="31"/>
      <c r="FK419" s="31"/>
      <c r="FL419" s="31"/>
      <c r="FM419" s="31"/>
      <c r="FN419" s="31"/>
      <c r="FO419" s="31"/>
      <c r="FP419" s="31"/>
      <c r="FQ419" s="31"/>
      <c r="FR419" s="31"/>
      <c r="FS419" s="31"/>
      <c r="FT419" s="31"/>
      <c r="FU419" s="31"/>
      <c r="FV419" s="31"/>
      <c r="FW419" s="31"/>
      <c r="FX419" s="31"/>
      <c r="FY419" s="31"/>
      <c r="FZ419" s="31"/>
      <c r="GA419" s="31"/>
      <c r="GB419" s="31"/>
      <c r="GC419" s="31"/>
      <c r="GD419" s="31"/>
      <c r="GE419" s="31"/>
      <c r="GF419" s="31"/>
      <c r="GG419" s="31"/>
      <c r="GH419" s="31"/>
    </row>
    <row r="420" spans="1:190" ht="15.75" customHeight="1" x14ac:dyDescent="0.3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>
        <v>418</v>
      </c>
      <c r="U420" s="31" t="s">
        <v>194</v>
      </c>
      <c r="V420" s="31" t="s">
        <v>729</v>
      </c>
      <c r="W420" s="31" t="s">
        <v>987</v>
      </c>
      <c r="X420" s="31" t="s">
        <v>2586</v>
      </c>
      <c r="Y420" s="31" t="s">
        <v>2587</v>
      </c>
      <c r="Z420" s="31" t="s">
        <v>518</v>
      </c>
      <c r="AA420" s="32" t="s">
        <v>202</v>
      </c>
      <c r="AB420" s="32" t="s">
        <v>736</v>
      </c>
      <c r="AC420" s="32" t="s">
        <v>901</v>
      </c>
      <c r="AD420" s="31" t="s">
        <v>303</v>
      </c>
      <c r="AE420" s="31"/>
      <c r="AF420" s="31" t="s">
        <v>1201</v>
      </c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1"/>
      <c r="DR420" s="31"/>
      <c r="DS420" s="31"/>
      <c r="DT420" s="31"/>
      <c r="DU420" s="31"/>
      <c r="DV420" s="31"/>
      <c r="DW420" s="31"/>
      <c r="DX420" s="31"/>
      <c r="DY420" s="31"/>
      <c r="DZ420" s="31"/>
      <c r="EA420" s="31"/>
      <c r="EB420" s="31"/>
      <c r="EC420" s="31"/>
      <c r="ED420" s="31"/>
      <c r="EE420" s="31"/>
      <c r="EF420" s="31"/>
      <c r="EG420" s="31"/>
      <c r="EH420" s="31"/>
      <c r="EI420" s="31"/>
      <c r="EJ420" s="31"/>
      <c r="EK420" s="31"/>
      <c r="EL420" s="31"/>
      <c r="EM420" s="31"/>
      <c r="EN420" s="31"/>
      <c r="EO420" s="31"/>
      <c r="EP420" s="31"/>
      <c r="EQ420" s="31"/>
      <c r="ER420" s="31"/>
      <c r="ES420" s="31"/>
      <c r="ET420" s="31"/>
      <c r="EU420" s="31"/>
      <c r="EV420" s="31"/>
      <c r="EW420" s="31"/>
      <c r="EX420" s="31"/>
      <c r="EY420" s="31"/>
      <c r="EZ420" s="31"/>
      <c r="FA420" s="31"/>
      <c r="FB420" s="31"/>
      <c r="FC420" s="31"/>
      <c r="FD420" s="31"/>
      <c r="FE420" s="31"/>
      <c r="FF420" s="31"/>
      <c r="FG420" s="31"/>
      <c r="FH420" s="31"/>
      <c r="FI420" s="31"/>
      <c r="FJ420" s="31"/>
      <c r="FK420" s="31"/>
      <c r="FL420" s="31"/>
      <c r="FM420" s="31"/>
      <c r="FN420" s="31"/>
      <c r="FO420" s="31"/>
      <c r="FP420" s="31"/>
      <c r="FQ420" s="31"/>
      <c r="FR420" s="31"/>
      <c r="FS420" s="31"/>
      <c r="FT420" s="31"/>
      <c r="FU420" s="31"/>
      <c r="FV420" s="31"/>
      <c r="FW420" s="31"/>
      <c r="FX420" s="31"/>
      <c r="FY420" s="31"/>
      <c r="FZ420" s="31"/>
      <c r="GA420" s="31"/>
      <c r="GB420" s="31"/>
      <c r="GC420" s="31"/>
      <c r="GD420" s="31"/>
      <c r="GE420" s="31"/>
      <c r="GF420" s="31"/>
      <c r="GG420" s="31"/>
      <c r="GH420" s="31"/>
    </row>
    <row r="421" spans="1:190" ht="15.75" customHeight="1" x14ac:dyDescent="0.3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>
        <v>419</v>
      </c>
      <c r="U421" s="31" t="s">
        <v>194</v>
      </c>
      <c r="V421" s="31" t="s">
        <v>729</v>
      </c>
      <c r="W421" s="31" t="s">
        <v>730</v>
      </c>
      <c r="X421" s="31" t="s">
        <v>2588</v>
      </c>
      <c r="Y421" s="31" t="s">
        <v>2589</v>
      </c>
      <c r="Z421" s="31" t="s">
        <v>560</v>
      </c>
      <c r="AA421" s="32" t="s">
        <v>202</v>
      </c>
      <c r="AB421" s="32" t="s">
        <v>736</v>
      </c>
      <c r="AC421" s="32" t="s">
        <v>737</v>
      </c>
      <c r="AD421" s="31" t="s">
        <v>303</v>
      </c>
      <c r="AE421" s="31"/>
      <c r="AF421" s="31" t="s">
        <v>738</v>
      </c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  <c r="DI421" s="31"/>
      <c r="DJ421" s="31"/>
      <c r="DK421" s="31"/>
      <c r="DL421" s="31"/>
      <c r="DM421" s="31"/>
      <c r="DN421" s="31"/>
      <c r="DO421" s="31"/>
      <c r="DP421" s="31"/>
      <c r="DQ421" s="31"/>
      <c r="DR421" s="31"/>
      <c r="DS421" s="31"/>
      <c r="DT421" s="31"/>
      <c r="DU421" s="31"/>
      <c r="DV421" s="31"/>
      <c r="DW421" s="31"/>
      <c r="DX421" s="31"/>
      <c r="DY421" s="31"/>
      <c r="DZ421" s="31"/>
      <c r="EA421" s="31"/>
      <c r="EB421" s="31"/>
      <c r="EC421" s="31"/>
      <c r="ED421" s="31"/>
      <c r="EE421" s="31"/>
      <c r="EF421" s="31"/>
      <c r="EG421" s="31"/>
      <c r="EH421" s="31"/>
      <c r="EI421" s="31"/>
      <c r="EJ421" s="31"/>
      <c r="EK421" s="31"/>
      <c r="EL421" s="31"/>
      <c r="EM421" s="31"/>
      <c r="EN421" s="31"/>
      <c r="EO421" s="31"/>
      <c r="EP421" s="31"/>
      <c r="EQ421" s="31"/>
      <c r="ER421" s="31"/>
      <c r="ES421" s="31"/>
      <c r="ET421" s="31"/>
      <c r="EU421" s="31"/>
      <c r="EV421" s="31"/>
      <c r="EW421" s="31"/>
      <c r="EX421" s="31"/>
      <c r="EY421" s="31"/>
      <c r="EZ421" s="31"/>
      <c r="FA421" s="31"/>
      <c r="FB421" s="31"/>
      <c r="FC421" s="31"/>
      <c r="FD421" s="31"/>
      <c r="FE421" s="31"/>
      <c r="FF421" s="31"/>
      <c r="FG421" s="31"/>
      <c r="FH421" s="31"/>
      <c r="FI421" s="31"/>
      <c r="FJ421" s="31"/>
      <c r="FK421" s="31"/>
      <c r="FL421" s="31"/>
      <c r="FM421" s="31"/>
      <c r="FN421" s="31"/>
      <c r="FO421" s="31"/>
      <c r="FP421" s="31"/>
      <c r="FQ421" s="31"/>
      <c r="FR421" s="31"/>
      <c r="FS421" s="31"/>
      <c r="FT421" s="31"/>
      <c r="FU421" s="31"/>
      <c r="FV421" s="31"/>
      <c r="FW421" s="31"/>
      <c r="FX421" s="31"/>
      <c r="FY421" s="31"/>
      <c r="FZ421" s="31"/>
      <c r="GA421" s="31"/>
      <c r="GB421" s="31"/>
      <c r="GC421" s="31"/>
      <c r="GD421" s="31"/>
      <c r="GE421" s="31"/>
      <c r="GF421" s="31"/>
      <c r="GG421" s="31"/>
      <c r="GH421" s="31"/>
    </row>
    <row r="422" spans="1:190" ht="15.75" customHeight="1" x14ac:dyDescent="0.3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>
        <v>420</v>
      </c>
      <c r="U422" s="31" t="s">
        <v>187</v>
      </c>
      <c r="V422" s="31" t="s">
        <v>187</v>
      </c>
      <c r="W422" s="31" t="s">
        <v>187</v>
      </c>
      <c r="X422" s="31" t="s">
        <v>2590</v>
      </c>
      <c r="Y422" s="31" t="s">
        <v>2591</v>
      </c>
      <c r="Z422" s="31" t="s">
        <v>2592</v>
      </c>
      <c r="AA422" s="32" t="s">
        <v>286</v>
      </c>
      <c r="AB422" s="32" t="s">
        <v>190</v>
      </c>
      <c r="AC422" s="32" t="s">
        <v>193</v>
      </c>
      <c r="AD422" s="31" t="s">
        <v>2537</v>
      </c>
      <c r="AE422" s="31" t="s">
        <v>303</v>
      </c>
      <c r="AF422" s="31" t="s">
        <v>380</v>
      </c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  <c r="DT422" s="31"/>
      <c r="DU422" s="31"/>
      <c r="DV422" s="31"/>
      <c r="DW422" s="31"/>
      <c r="DX422" s="31"/>
      <c r="DY422" s="31"/>
      <c r="DZ422" s="31"/>
      <c r="EA422" s="31"/>
      <c r="EB422" s="31"/>
      <c r="EC422" s="31"/>
      <c r="ED422" s="31"/>
      <c r="EE422" s="31"/>
      <c r="EF422" s="31"/>
      <c r="EG422" s="31"/>
      <c r="EH422" s="31"/>
      <c r="EI422" s="31"/>
      <c r="EJ422" s="31"/>
      <c r="EK422" s="31"/>
      <c r="EL422" s="31"/>
      <c r="EM422" s="31"/>
      <c r="EN422" s="31"/>
      <c r="EO422" s="31"/>
      <c r="EP422" s="31"/>
      <c r="EQ422" s="31"/>
      <c r="ER422" s="31"/>
      <c r="ES422" s="31"/>
      <c r="ET422" s="31"/>
      <c r="EU422" s="31"/>
      <c r="EV422" s="31"/>
      <c r="EW422" s="31"/>
      <c r="EX422" s="31"/>
      <c r="EY422" s="31"/>
      <c r="EZ422" s="31"/>
      <c r="FA422" s="31"/>
      <c r="FB422" s="31"/>
      <c r="FC422" s="31"/>
      <c r="FD422" s="31"/>
      <c r="FE422" s="31"/>
      <c r="FF422" s="31"/>
      <c r="FG422" s="31"/>
      <c r="FH422" s="31"/>
      <c r="FI422" s="31"/>
      <c r="FJ422" s="31"/>
      <c r="FK422" s="31"/>
      <c r="FL422" s="31"/>
      <c r="FM422" s="31"/>
      <c r="FN422" s="31"/>
      <c r="FO422" s="31"/>
      <c r="FP422" s="31"/>
      <c r="FQ422" s="31"/>
      <c r="FR422" s="31"/>
      <c r="FS422" s="31"/>
      <c r="FT422" s="31"/>
      <c r="FU422" s="31"/>
      <c r="FV422" s="31"/>
      <c r="FW422" s="31"/>
      <c r="FX422" s="31"/>
      <c r="FY422" s="31"/>
      <c r="FZ422" s="31"/>
      <c r="GA422" s="31"/>
      <c r="GB422" s="31"/>
      <c r="GC422" s="31"/>
      <c r="GD422" s="31"/>
      <c r="GE422" s="31"/>
      <c r="GF422" s="31"/>
      <c r="GG422" s="31"/>
      <c r="GH422" s="31"/>
    </row>
    <row r="423" spans="1:190" ht="15.75" customHeight="1" x14ac:dyDescent="0.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>
        <v>421</v>
      </c>
      <c r="U423" s="31" t="s">
        <v>194</v>
      </c>
      <c r="V423" s="31" t="s">
        <v>729</v>
      </c>
      <c r="W423" s="31" t="s">
        <v>970</v>
      </c>
      <c r="X423" s="31" t="s">
        <v>2593</v>
      </c>
      <c r="Y423" s="31" t="s">
        <v>2594</v>
      </c>
      <c r="Z423" s="31" t="s">
        <v>2595</v>
      </c>
      <c r="AA423" s="32" t="s">
        <v>202</v>
      </c>
      <c r="AB423" s="32" t="s">
        <v>736</v>
      </c>
      <c r="AC423" s="32" t="s">
        <v>885</v>
      </c>
      <c r="AD423" s="31" t="s">
        <v>1451</v>
      </c>
      <c r="AE423" s="31" t="s">
        <v>303</v>
      </c>
      <c r="AF423" s="31" t="s">
        <v>1384</v>
      </c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  <c r="DT423" s="31"/>
      <c r="DU423" s="31"/>
      <c r="DV423" s="31"/>
      <c r="DW423" s="31"/>
      <c r="DX423" s="31"/>
      <c r="DY423" s="31"/>
      <c r="DZ423" s="31"/>
      <c r="EA423" s="31"/>
      <c r="EB423" s="31"/>
      <c r="EC423" s="31"/>
      <c r="ED423" s="31"/>
      <c r="EE423" s="31"/>
      <c r="EF423" s="31"/>
      <c r="EG423" s="31"/>
      <c r="EH423" s="31"/>
      <c r="EI423" s="31"/>
      <c r="EJ423" s="31"/>
      <c r="EK423" s="31"/>
      <c r="EL423" s="31"/>
      <c r="EM423" s="31"/>
      <c r="EN423" s="31"/>
      <c r="EO423" s="31"/>
      <c r="EP423" s="31"/>
      <c r="EQ423" s="31"/>
      <c r="ER423" s="31"/>
      <c r="ES423" s="31"/>
      <c r="ET423" s="31"/>
      <c r="EU423" s="31"/>
      <c r="EV423" s="31"/>
      <c r="EW423" s="31"/>
      <c r="EX423" s="31"/>
      <c r="EY423" s="31"/>
      <c r="EZ423" s="31"/>
      <c r="FA423" s="31"/>
      <c r="FB423" s="31"/>
      <c r="FC423" s="31"/>
      <c r="FD423" s="31"/>
      <c r="FE423" s="31"/>
      <c r="FF423" s="31"/>
      <c r="FG423" s="31"/>
      <c r="FH423" s="31"/>
      <c r="FI423" s="31"/>
      <c r="FJ423" s="31"/>
      <c r="FK423" s="31"/>
      <c r="FL423" s="31"/>
      <c r="FM423" s="31"/>
      <c r="FN423" s="31"/>
      <c r="FO423" s="31"/>
      <c r="FP423" s="31"/>
      <c r="FQ423" s="31"/>
      <c r="FR423" s="31"/>
      <c r="FS423" s="31"/>
      <c r="FT423" s="31"/>
      <c r="FU423" s="31"/>
      <c r="FV423" s="31"/>
      <c r="FW423" s="31"/>
      <c r="FX423" s="31"/>
      <c r="FY423" s="31"/>
      <c r="FZ423" s="31"/>
      <c r="GA423" s="31"/>
      <c r="GB423" s="31"/>
      <c r="GC423" s="31"/>
      <c r="GD423" s="31"/>
      <c r="GE423" s="31"/>
      <c r="GF423" s="31"/>
      <c r="GG423" s="31"/>
      <c r="GH423" s="31"/>
    </row>
    <row r="424" spans="1:190" ht="15.75" customHeight="1" x14ac:dyDescent="0.3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>
        <v>422</v>
      </c>
      <c r="U424" s="31" t="s">
        <v>194</v>
      </c>
      <c r="V424" s="31" t="s">
        <v>294</v>
      </c>
      <c r="W424" s="31" t="s">
        <v>902</v>
      </c>
      <c r="X424" s="31" t="s">
        <v>2596</v>
      </c>
      <c r="Y424" s="31" t="s">
        <v>2597</v>
      </c>
      <c r="Z424" s="31" t="s">
        <v>2598</v>
      </c>
      <c r="AA424" s="32" t="s">
        <v>202</v>
      </c>
      <c r="AB424" s="32" t="s">
        <v>300</v>
      </c>
      <c r="AC424" s="32" t="s">
        <v>903</v>
      </c>
      <c r="AD424" s="31" t="s">
        <v>2599</v>
      </c>
      <c r="AE424" s="31" t="s">
        <v>303</v>
      </c>
      <c r="AF424" s="31" t="s">
        <v>1090</v>
      </c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  <c r="DI424" s="31"/>
      <c r="DJ424" s="31"/>
      <c r="DK424" s="31"/>
      <c r="DL424" s="31"/>
      <c r="DM424" s="31"/>
      <c r="DN424" s="31"/>
      <c r="DO424" s="31"/>
      <c r="DP424" s="31"/>
      <c r="DQ424" s="31"/>
      <c r="DR424" s="31"/>
      <c r="DS424" s="31"/>
      <c r="DT424" s="31"/>
      <c r="DU424" s="31"/>
      <c r="DV424" s="31"/>
      <c r="DW424" s="31"/>
      <c r="DX424" s="31"/>
      <c r="DY424" s="31"/>
      <c r="DZ424" s="31"/>
      <c r="EA424" s="31"/>
      <c r="EB424" s="31"/>
      <c r="EC424" s="31"/>
      <c r="ED424" s="31"/>
      <c r="EE424" s="31"/>
      <c r="EF424" s="31"/>
      <c r="EG424" s="31"/>
      <c r="EH424" s="31"/>
      <c r="EI424" s="31"/>
      <c r="EJ424" s="31"/>
      <c r="EK424" s="31"/>
      <c r="EL424" s="31"/>
      <c r="EM424" s="31"/>
      <c r="EN424" s="31"/>
      <c r="EO424" s="31"/>
      <c r="EP424" s="31"/>
      <c r="EQ424" s="31"/>
      <c r="ER424" s="31"/>
      <c r="ES424" s="31"/>
      <c r="ET424" s="31"/>
      <c r="EU424" s="31"/>
      <c r="EV424" s="31"/>
      <c r="EW424" s="31"/>
      <c r="EX424" s="31"/>
      <c r="EY424" s="31"/>
      <c r="EZ424" s="31"/>
      <c r="FA424" s="31"/>
      <c r="FB424" s="31"/>
      <c r="FC424" s="31"/>
      <c r="FD424" s="31"/>
      <c r="FE424" s="31"/>
      <c r="FF424" s="31"/>
      <c r="FG424" s="31"/>
      <c r="FH424" s="31"/>
      <c r="FI424" s="31"/>
      <c r="FJ424" s="31"/>
      <c r="FK424" s="31"/>
      <c r="FL424" s="31"/>
      <c r="FM424" s="31"/>
      <c r="FN424" s="31"/>
      <c r="FO424" s="31"/>
      <c r="FP424" s="31"/>
      <c r="FQ424" s="31"/>
      <c r="FR424" s="31"/>
      <c r="FS424" s="31"/>
      <c r="FT424" s="31"/>
      <c r="FU424" s="31"/>
      <c r="FV424" s="31"/>
      <c r="FW424" s="31"/>
      <c r="FX424" s="31"/>
      <c r="FY424" s="31"/>
      <c r="FZ424" s="31"/>
      <c r="GA424" s="31"/>
      <c r="GB424" s="31"/>
      <c r="GC424" s="31"/>
      <c r="GD424" s="31"/>
      <c r="GE424" s="31"/>
      <c r="GF424" s="31"/>
      <c r="GG424" s="31"/>
      <c r="GH424" s="31"/>
    </row>
    <row r="425" spans="1:190" ht="15.75" customHeight="1" x14ac:dyDescent="0.3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>
        <v>423</v>
      </c>
      <c r="U425" s="31" t="s">
        <v>360</v>
      </c>
      <c r="V425" s="31" t="s">
        <v>600</v>
      </c>
      <c r="W425" s="31" t="s">
        <v>829</v>
      </c>
      <c r="X425" s="31" t="s">
        <v>2600</v>
      </c>
      <c r="Y425" s="31" t="s">
        <v>2601</v>
      </c>
      <c r="Z425" s="31" t="s">
        <v>2602</v>
      </c>
      <c r="AA425" s="32" t="s">
        <v>418</v>
      </c>
      <c r="AB425" s="32" t="s">
        <v>605</v>
      </c>
      <c r="AC425" s="32" t="s">
        <v>830</v>
      </c>
      <c r="AD425" s="31" t="s">
        <v>1536</v>
      </c>
      <c r="AE425" s="31" t="s">
        <v>303</v>
      </c>
      <c r="AF425" s="31" t="s">
        <v>1011</v>
      </c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  <c r="DT425" s="31"/>
      <c r="DU425" s="31"/>
      <c r="DV425" s="31"/>
      <c r="DW425" s="31"/>
      <c r="DX425" s="31"/>
      <c r="DY425" s="31"/>
      <c r="DZ425" s="31"/>
      <c r="EA425" s="31"/>
      <c r="EB425" s="31"/>
      <c r="EC425" s="31"/>
      <c r="ED425" s="31"/>
      <c r="EE425" s="31"/>
      <c r="EF425" s="31"/>
      <c r="EG425" s="31"/>
      <c r="EH425" s="31"/>
      <c r="EI425" s="31"/>
      <c r="EJ425" s="31"/>
      <c r="EK425" s="31"/>
      <c r="EL425" s="31"/>
      <c r="EM425" s="31"/>
      <c r="EN425" s="31"/>
      <c r="EO425" s="31"/>
      <c r="EP425" s="31"/>
      <c r="EQ425" s="31"/>
      <c r="ER425" s="31"/>
      <c r="ES425" s="31"/>
      <c r="ET425" s="31"/>
      <c r="EU425" s="31"/>
      <c r="EV425" s="31"/>
      <c r="EW425" s="31"/>
      <c r="EX425" s="31"/>
      <c r="EY425" s="31"/>
      <c r="EZ425" s="31"/>
      <c r="FA425" s="31"/>
      <c r="FB425" s="31"/>
      <c r="FC425" s="31"/>
      <c r="FD425" s="31"/>
      <c r="FE425" s="31"/>
      <c r="FF425" s="31"/>
      <c r="FG425" s="31"/>
      <c r="FH425" s="31"/>
      <c r="FI425" s="31"/>
      <c r="FJ425" s="31"/>
      <c r="FK425" s="31"/>
      <c r="FL425" s="31"/>
      <c r="FM425" s="31"/>
      <c r="FN425" s="31"/>
      <c r="FO425" s="31"/>
      <c r="FP425" s="31"/>
      <c r="FQ425" s="31"/>
      <c r="FR425" s="31"/>
      <c r="FS425" s="31"/>
      <c r="FT425" s="31"/>
      <c r="FU425" s="31"/>
      <c r="FV425" s="31"/>
      <c r="FW425" s="31"/>
      <c r="FX425" s="31"/>
      <c r="FY425" s="31"/>
      <c r="FZ425" s="31"/>
      <c r="GA425" s="31"/>
      <c r="GB425" s="31"/>
      <c r="GC425" s="31"/>
      <c r="GD425" s="31"/>
      <c r="GE425" s="31"/>
      <c r="GF425" s="31"/>
      <c r="GG425" s="31"/>
      <c r="GH425" s="31"/>
    </row>
    <row r="426" spans="1:190" ht="15.75" customHeight="1" x14ac:dyDescent="0.3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>
        <v>424</v>
      </c>
      <c r="U426" s="31" t="s">
        <v>187</v>
      </c>
      <c r="V426" s="31" t="s">
        <v>287</v>
      </c>
      <c r="W426" s="31" t="s">
        <v>595</v>
      </c>
      <c r="X426" s="31" t="s">
        <v>2603</v>
      </c>
      <c r="Y426" s="31" t="s">
        <v>2604</v>
      </c>
      <c r="Z426" s="31" t="s">
        <v>2605</v>
      </c>
      <c r="AA426" s="32" t="s">
        <v>286</v>
      </c>
      <c r="AB426" s="32" t="s">
        <v>290</v>
      </c>
      <c r="AC426" s="32" t="s">
        <v>599</v>
      </c>
      <c r="AD426" s="31" t="s">
        <v>303</v>
      </c>
      <c r="AE426" s="31"/>
      <c r="AF426" s="31" t="s">
        <v>1051</v>
      </c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1"/>
      <c r="DD426" s="31"/>
      <c r="DE426" s="31"/>
      <c r="DF426" s="31"/>
      <c r="DG426" s="31"/>
      <c r="DH426" s="31"/>
      <c r="DI426" s="31"/>
      <c r="DJ426" s="31"/>
      <c r="DK426" s="31"/>
      <c r="DL426" s="31"/>
      <c r="DM426" s="31"/>
      <c r="DN426" s="31"/>
      <c r="DO426" s="31"/>
      <c r="DP426" s="31"/>
      <c r="DQ426" s="31"/>
      <c r="DR426" s="31"/>
      <c r="DS426" s="31"/>
      <c r="DT426" s="31"/>
      <c r="DU426" s="31"/>
      <c r="DV426" s="31"/>
      <c r="DW426" s="31"/>
      <c r="DX426" s="31"/>
      <c r="DY426" s="31"/>
      <c r="DZ426" s="31"/>
      <c r="EA426" s="31"/>
      <c r="EB426" s="31"/>
      <c r="EC426" s="31"/>
      <c r="ED426" s="31"/>
      <c r="EE426" s="31"/>
      <c r="EF426" s="31"/>
      <c r="EG426" s="31"/>
      <c r="EH426" s="31"/>
      <c r="EI426" s="31"/>
      <c r="EJ426" s="31"/>
      <c r="EK426" s="31"/>
      <c r="EL426" s="31"/>
      <c r="EM426" s="31"/>
      <c r="EN426" s="31"/>
      <c r="EO426" s="31"/>
      <c r="EP426" s="31"/>
      <c r="EQ426" s="31"/>
      <c r="ER426" s="31"/>
      <c r="ES426" s="31"/>
      <c r="ET426" s="31"/>
      <c r="EU426" s="31"/>
      <c r="EV426" s="31"/>
      <c r="EW426" s="31"/>
      <c r="EX426" s="31"/>
      <c r="EY426" s="31"/>
      <c r="EZ426" s="31"/>
      <c r="FA426" s="31"/>
      <c r="FB426" s="31"/>
      <c r="FC426" s="31"/>
      <c r="FD426" s="31"/>
      <c r="FE426" s="31"/>
      <c r="FF426" s="31"/>
      <c r="FG426" s="31"/>
      <c r="FH426" s="31"/>
      <c r="FI426" s="31"/>
      <c r="FJ426" s="31"/>
      <c r="FK426" s="31"/>
      <c r="FL426" s="31"/>
      <c r="FM426" s="31"/>
      <c r="FN426" s="31"/>
      <c r="FO426" s="31"/>
      <c r="FP426" s="31"/>
      <c r="FQ426" s="31"/>
      <c r="FR426" s="31"/>
      <c r="FS426" s="31"/>
      <c r="FT426" s="31"/>
      <c r="FU426" s="31"/>
      <c r="FV426" s="31"/>
      <c r="FW426" s="31"/>
      <c r="FX426" s="31"/>
      <c r="FY426" s="31"/>
      <c r="FZ426" s="31"/>
      <c r="GA426" s="31"/>
      <c r="GB426" s="31"/>
      <c r="GC426" s="31"/>
      <c r="GD426" s="31"/>
      <c r="GE426" s="31"/>
      <c r="GF426" s="31"/>
      <c r="GG426" s="31"/>
      <c r="GH426" s="31"/>
    </row>
    <row r="427" spans="1:190" ht="15.75" customHeight="1" x14ac:dyDescent="0.3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>
        <v>425</v>
      </c>
      <c r="U427" s="31" t="s">
        <v>287</v>
      </c>
      <c r="V427" s="31" t="s">
        <v>595</v>
      </c>
      <c r="W427" s="31" t="s">
        <v>807</v>
      </c>
      <c r="X427" s="31" t="s">
        <v>2606</v>
      </c>
      <c r="Y427" s="31" t="s">
        <v>2607</v>
      </c>
      <c r="Z427" s="31" t="s">
        <v>2608</v>
      </c>
      <c r="AA427" s="32" t="s">
        <v>359</v>
      </c>
      <c r="AB427" s="32" t="s">
        <v>598</v>
      </c>
      <c r="AC427" s="32" t="s">
        <v>808</v>
      </c>
      <c r="AD427" s="31" t="s">
        <v>823</v>
      </c>
      <c r="AE427" s="31" t="s">
        <v>303</v>
      </c>
      <c r="AF427" s="31" t="s">
        <v>824</v>
      </c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  <c r="DI427" s="31"/>
      <c r="DJ427" s="31"/>
      <c r="DK427" s="31"/>
      <c r="DL427" s="31"/>
      <c r="DM427" s="31"/>
      <c r="DN427" s="31"/>
      <c r="DO427" s="31"/>
      <c r="DP427" s="31"/>
      <c r="DQ427" s="31"/>
      <c r="DR427" s="31"/>
      <c r="DS427" s="31"/>
      <c r="DT427" s="31"/>
      <c r="DU427" s="31"/>
      <c r="DV427" s="31"/>
      <c r="DW427" s="31"/>
      <c r="DX427" s="31"/>
      <c r="DY427" s="31"/>
      <c r="DZ427" s="31"/>
      <c r="EA427" s="31"/>
      <c r="EB427" s="31"/>
      <c r="EC427" s="31"/>
      <c r="ED427" s="31"/>
      <c r="EE427" s="31"/>
      <c r="EF427" s="31"/>
      <c r="EG427" s="31"/>
      <c r="EH427" s="31"/>
      <c r="EI427" s="31"/>
      <c r="EJ427" s="31"/>
      <c r="EK427" s="31"/>
      <c r="EL427" s="31"/>
      <c r="EM427" s="31"/>
      <c r="EN427" s="31"/>
      <c r="EO427" s="31"/>
      <c r="EP427" s="31"/>
      <c r="EQ427" s="31"/>
      <c r="ER427" s="31"/>
      <c r="ES427" s="31"/>
      <c r="ET427" s="31"/>
      <c r="EU427" s="31"/>
      <c r="EV427" s="31"/>
      <c r="EW427" s="31"/>
      <c r="EX427" s="31"/>
      <c r="EY427" s="31"/>
      <c r="EZ427" s="31"/>
      <c r="FA427" s="31"/>
      <c r="FB427" s="31"/>
      <c r="FC427" s="31"/>
      <c r="FD427" s="31"/>
      <c r="FE427" s="31"/>
      <c r="FF427" s="31"/>
      <c r="FG427" s="31"/>
      <c r="FH427" s="31"/>
      <c r="FI427" s="31"/>
      <c r="FJ427" s="31"/>
      <c r="FK427" s="31"/>
      <c r="FL427" s="31"/>
      <c r="FM427" s="31"/>
      <c r="FN427" s="31"/>
      <c r="FO427" s="31"/>
      <c r="FP427" s="31"/>
      <c r="FQ427" s="31"/>
      <c r="FR427" s="31"/>
      <c r="FS427" s="31"/>
      <c r="FT427" s="31"/>
      <c r="FU427" s="31"/>
      <c r="FV427" s="31"/>
      <c r="FW427" s="31"/>
      <c r="FX427" s="31"/>
      <c r="FY427" s="31"/>
      <c r="FZ427" s="31"/>
      <c r="GA427" s="31"/>
      <c r="GB427" s="31"/>
      <c r="GC427" s="31"/>
      <c r="GD427" s="31"/>
      <c r="GE427" s="31"/>
      <c r="GF427" s="31"/>
      <c r="GG427" s="31"/>
      <c r="GH427" s="31"/>
    </row>
    <row r="428" spans="1:190" ht="15.75" customHeight="1" x14ac:dyDescent="0.3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>
        <v>426</v>
      </c>
      <c r="U428" s="31" t="s">
        <v>194</v>
      </c>
      <c r="V428" s="31" t="s">
        <v>729</v>
      </c>
      <c r="W428" s="31" t="s">
        <v>730</v>
      </c>
      <c r="X428" s="31" t="s">
        <v>2609</v>
      </c>
      <c r="Y428" s="31" t="s">
        <v>2610</v>
      </c>
      <c r="Z428" s="31" t="s">
        <v>2611</v>
      </c>
      <c r="AA428" s="32" t="s">
        <v>202</v>
      </c>
      <c r="AB428" s="32" t="s">
        <v>736</v>
      </c>
      <c r="AC428" s="32" t="s">
        <v>737</v>
      </c>
      <c r="AD428" s="31" t="s">
        <v>303</v>
      </c>
      <c r="AE428" s="31"/>
      <c r="AF428" s="31" t="s">
        <v>738</v>
      </c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  <c r="DI428" s="31"/>
      <c r="DJ428" s="31"/>
      <c r="DK428" s="31"/>
      <c r="DL428" s="31"/>
      <c r="DM428" s="31"/>
      <c r="DN428" s="31"/>
      <c r="DO428" s="31"/>
      <c r="DP428" s="31"/>
      <c r="DQ428" s="31"/>
      <c r="DR428" s="31"/>
      <c r="DS428" s="31"/>
      <c r="DT428" s="31"/>
      <c r="DU428" s="31"/>
      <c r="DV428" s="31"/>
      <c r="DW428" s="31"/>
      <c r="DX428" s="31"/>
      <c r="DY428" s="31"/>
      <c r="DZ428" s="31"/>
      <c r="EA428" s="31"/>
      <c r="EB428" s="31"/>
      <c r="EC428" s="31"/>
      <c r="ED428" s="31"/>
      <c r="EE428" s="31"/>
      <c r="EF428" s="31"/>
      <c r="EG428" s="31"/>
      <c r="EH428" s="31"/>
      <c r="EI428" s="31"/>
      <c r="EJ428" s="31"/>
      <c r="EK428" s="31"/>
      <c r="EL428" s="31"/>
      <c r="EM428" s="31"/>
      <c r="EN428" s="31"/>
      <c r="EO428" s="31"/>
      <c r="EP428" s="31"/>
      <c r="EQ428" s="31"/>
      <c r="ER428" s="31"/>
      <c r="ES428" s="31"/>
      <c r="ET428" s="31"/>
      <c r="EU428" s="31"/>
      <c r="EV428" s="31"/>
      <c r="EW428" s="31"/>
      <c r="EX428" s="31"/>
      <c r="EY428" s="31"/>
      <c r="EZ428" s="31"/>
      <c r="FA428" s="31"/>
      <c r="FB428" s="31"/>
      <c r="FC428" s="31"/>
      <c r="FD428" s="31"/>
      <c r="FE428" s="31"/>
      <c r="FF428" s="31"/>
      <c r="FG428" s="31"/>
      <c r="FH428" s="31"/>
      <c r="FI428" s="31"/>
      <c r="FJ428" s="31"/>
      <c r="FK428" s="31"/>
      <c r="FL428" s="31"/>
      <c r="FM428" s="31"/>
      <c r="FN428" s="31"/>
      <c r="FO428" s="31"/>
      <c r="FP428" s="31"/>
      <c r="FQ428" s="31"/>
      <c r="FR428" s="31"/>
      <c r="FS428" s="31"/>
      <c r="FT428" s="31"/>
      <c r="FU428" s="31"/>
      <c r="FV428" s="31"/>
      <c r="FW428" s="31"/>
      <c r="FX428" s="31"/>
      <c r="FY428" s="31"/>
      <c r="FZ428" s="31"/>
      <c r="GA428" s="31"/>
      <c r="GB428" s="31"/>
      <c r="GC428" s="31"/>
      <c r="GD428" s="31"/>
      <c r="GE428" s="31"/>
      <c r="GF428" s="31"/>
      <c r="GG428" s="31"/>
      <c r="GH428" s="31"/>
    </row>
    <row r="429" spans="1:190" ht="15.75" customHeight="1" x14ac:dyDescent="0.3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>
        <v>427</v>
      </c>
      <c r="U429" s="31" t="s">
        <v>194</v>
      </c>
      <c r="V429" s="31" t="s">
        <v>729</v>
      </c>
      <c r="W429" s="31" t="s">
        <v>730</v>
      </c>
      <c r="X429" s="31" t="s">
        <v>2612</v>
      </c>
      <c r="Y429" s="31" t="s">
        <v>2613</v>
      </c>
      <c r="Z429" s="31" t="s">
        <v>2614</v>
      </c>
      <c r="AA429" s="32" t="s">
        <v>202</v>
      </c>
      <c r="AB429" s="32" t="s">
        <v>736</v>
      </c>
      <c r="AC429" s="32" t="s">
        <v>737</v>
      </c>
      <c r="AD429" s="31" t="s">
        <v>303</v>
      </c>
      <c r="AE429" s="31"/>
      <c r="AF429" s="31" t="s">
        <v>738</v>
      </c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  <c r="DI429" s="31"/>
      <c r="DJ429" s="31"/>
      <c r="DK429" s="31"/>
      <c r="DL429" s="31"/>
      <c r="DM429" s="31"/>
      <c r="DN429" s="31"/>
      <c r="DO429" s="31"/>
      <c r="DP429" s="31"/>
      <c r="DQ429" s="31"/>
      <c r="DR429" s="31"/>
      <c r="DS429" s="31"/>
      <c r="DT429" s="31"/>
      <c r="DU429" s="31"/>
      <c r="DV429" s="31"/>
      <c r="DW429" s="31"/>
      <c r="DX429" s="31"/>
      <c r="DY429" s="31"/>
      <c r="DZ429" s="31"/>
      <c r="EA429" s="31"/>
      <c r="EB429" s="31"/>
      <c r="EC429" s="31"/>
      <c r="ED429" s="31"/>
      <c r="EE429" s="31"/>
      <c r="EF429" s="31"/>
      <c r="EG429" s="31"/>
      <c r="EH429" s="31"/>
      <c r="EI429" s="31"/>
      <c r="EJ429" s="31"/>
      <c r="EK429" s="31"/>
      <c r="EL429" s="31"/>
      <c r="EM429" s="31"/>
      <c r="EN429" s="31"/>
      <c r="EO429" s="31"/>
      <c r="EP429" s="31"/>
      <c r="EQ429" s="31"/>
      <c r="ER429" s="31"/>
      <c r="ES429" s="31"/>
      <c r="ET429" s="31"/>
      <c r="EU429" s="31"/>
      <c r="EV429" s="31"/>
      <c r="EW429" s="31"/>
      <c r="EX429" s="31"/>
      <c r="EY429" s="31"/>
      <c r="EZ429" s="31"/>
      <c r="FA429" s="31"/>
      <c r="FB429" s="31"/>
      <c r="FC429" s="31"/>
      <c r="FD429" s="31"/>
      <c r="FE429" s="31"/>
      <c r="FF429" s="31"/>
      <c r="FG429" s="31"/>
      <c r="FH429" s="31"/>
      <c r="FI429" s="31"/>
      <c r="FJ429" s="31"/>
      <c r="FK429" s="31"/>
      <c r="FL429" s="31"/>
      <c r="FM429" s="31"/>
      <c r="FN429" s="31"/>
      <c r="FO429" s="31"/>
      <c r="FP429" s="31"/>
      <c r="FQ429" s="31"/>
      <c r="FR429" s="31"/>
      <c r="FS429" s="31"/>
      <c r="FT429" s="31"/>
      <c r="FU429" s="31"/>
      <c r="FV429" s="31"/>
      <c r="FW429" s="31"/>
      <c r="FX429" s="31"/>
      <c r="FY429" s="31"/>
      <c r="FZ429" s="31"/>
      <c r="GA429" s="31"/>
      <c r="GB429" s="31"/>
      <c r="GC429" s="31"/>
      <c r="GD429" s="31"/>
      <c r="GE429" s="31"/>
      <c r="GF429" s="31"/>
      <c r="GG429" s="31"/>
      <c r="GH429" s="31"/>
    </row>
    <row r="430" spans="1:190" ht="15.75" customHeight="1" x14ac:dyDescent="0.3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>
        <v>428</v>
      </c>
      <c r="U430" s="31" t="s">
        <v>194</v>
      </c>
      <c r="V430" s="31" t="s">
        <v>195</v>
      </c>
      <c r="W430" s="31" t="s">
        <v>196</v>
      </c>
      <c r="X430" s="31" t="s">
        <v>2615</v>
      </c>
      <c r="Y430" s="31" t="s">
        <v>2616</v>
      </c>
      <c r="Z430" s="31" t="s">
        <v>2617</v>
      </c>
      <c r="AA430" s="32" t="s">
        <v>202</v>
      </c>
      <c r="AB430" s="32" t="s">
        <v>203</v>
      </c>
      <c r="AC430" s="32" t="s">
        <v>204</v>
      </c>
      <c r="AD430" s="31" t="s">
        <v>205</v>
      </c>
      <c r="AE430" s="31" t="s">
        <v>206</v>
      </c>
      <c r="AF430" s="31" t="s">
        <v>207</v>
      </c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  <c r="DI430" s="31"/>
      <c r="DJ430" s="31"/>
      <c r="DK430" s="31"/>
      <c r="DL430" s="31"/>
      <c r="DM430" s="31"/>
      <c r="DN430" s="31"/>
      <c r="DO430" s="31"/>
      <c r="DP430" s="31"/>
      <c r="DQ430" s="31"/>
      <c r="DR430" s="31"/>
      <c r="DS430" s="31"/>
      <c r="DT430" s="31"/>
      <c r="DU430" s="31"/>
      <c r="DV430" s="31"/>
      <c r="DW430" s="31"/>
      <c r="DX430" s="31"/>
      <c r="DY430" s="31"/>
      <c r="DZ430" s="31"/>
      <c r="EA430" s="31"/>
      <c r="EB430" s="31"/>
      <c r="EC430" s="31"/>
      <c r="ED430" s="31"/>
      <c r="EE430" s="31"/>
      <c r="EF430" s="31"/>
      <c r="EG430" s="31"/>
      <c r="EH430" s="31"/>
      <c r="EI430" s="31"/>
      <c r="EJ430" s="31"/>
      <c r="EK430" s="31"/>
      <c r="EL430" s="31"/>
      <c r="EM430" s="31"/>
      <c r="EN430" s="31"/>
      <c r="EO430" s="31"/>
      <c r="EP430" s="31"/>
      <c r="EQ430" s="31"/>
      <c r="ER430" s="31"/>
      <c r="ES430" s="31"/>
      <c r="ET430" s="31"/>
      <c r="EU430" s="31"/>
      <c r="EV430" s="31"/>
      <c r="EW430" s="31"/>
      <c r="EX430" s="31"/>
      <c r="EY430" s="31"/>
      <c r="EZ430" s="31"/>
      <c r="FA430" s="31"/>
      <c r="FB430" s="31"/>
      <c r="FC430" s="31"/>
      <c r="FD430" s="31"/>
      <c r="FE430" s="31"/>
      <c r="FF430" s="31"/>
      <c r="FG430" s="31"/>
      <c r="FH430" s="31"/>
      <c r="FI430" s="31"/>
      <c r="FJ430" s="31"/>
      <c r="FK430" s="31"/>
      <c r="FL430" s="31"/>
      <c r="FM430" s="31"/>
      <c r="FN430" s="31"/>
      <c r="FO430" s="31"/>
      <c r="FP430" s="31"/>
      <c r="FQ430" s="31"/>
      <c r="FR430" s="31"/>
      <c r="FS430" s="31"/>
      <c r="FT430" s="31"/>
      <c r="FU430" s="31"/>
      <c r="FV430" s="31"/>
      <c r="FW430" s="31"/>
      <c r="FX430" s="31"/>
      <c r="FY430" s="31"/>
      <c r="FZ430" s="31"/>
      <c r="GA430" s="31"/>
      <c r="GB430" s="31"/>
      <c r="GC430" s="31"/>
      <c r="GD430" s="31"/>
      <c r="GE430" s="31"/>
      <c r="GF430" s="31"/>
      <c r="GG430" s="31"/>
      <c r="GH430" s="31"/>
    </row>
    <row r="431" spans="1:190" ht="15.75" customHeight="1" x14ac:dyDescent="0.3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>
        <v>429</v>
      </c>
      <c r="U431" s="31" t="s">
        <v>194</v>
      </c>
      <c r="V431" s="31" t="s">
        <v>294</v>
      </c>
      <c r="W431" s="31" t="s">
        <v>776</v>
      </c>
      <c r="X431" s="31" t="s">
        <v>2618</v>
      </c>
      <c r="Y431" s="31" t="s">
        <v>2619</v>
      </c>
      <c r="Z431" s="31" t="s">
        <v>674</v>
      </c>
      <c r="AA431" s="32" t="s">
        <v>202</v>
      </c>
      <c r="AB431" s="32" t="s">
        <v>300</v>
      </c>
      <c r="AC431" s="32" t="s">
        <v>779</v>
      </c>
      <c r="AD431" s="31" t="s">
        <v>965</v>
      </c>
      <c r="AE431" s="31" t="s">
        <v>303</v>
      </c>
      <c r="AF431" s="31" t="s">
        <v>966</v>
      </c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  <c r="DI431" s="31"/>
      <c r="DJ431" s="31"/>
      <c r="DK431" s="31"/>
      <c r="DL431" s="31"/>
      <c r="DM431" s="31"/>
      <c r="DN431" s="31"/>
      <c r="DO431" s="31"/>
      <c r="DP431" s="31"/>
      <c r="DQ431" s="31"/>
      <c r="DR431" s="31"/>
      <c r="DS431" s="31"/>
      <c r="DT431" s="31"/>
      <c r="DU431" s="31"/>
      <c r="DV431" s="31"/>
      <c r="DW431" s="31"/>
      <c r="DX431" s="31"/>
      <c r="DY431" s="31"/>
      <c r="DZ431" s="31"/>
      <c r="EA431" s="31"/>
      <c r="EB431" s="31"/>
      <c r="EC431" s="31"/>
      <c r="ED431" s="31"/>
      <c r="EE431" s="31"/>
      <c r="EF431" s="31"/>
      <c r="EG431" s="31"/>
      <c r="EH431" s="31"/>
      <c r="EI431" s="31"/>
      <c r="EJ431" s="31"/>
      <c r="EK431" s="31"/>
      <c r="EL431" s="31"/>
      <c r="EM431" s="31"/>
      <c r="EN431" s="31"/>
      <c r="EO431" s="31"/>
      <c r="EP431" s="31"/>
      <c r="EQ431" s="31"/>
      <c r="ER431" s="31"/>
      <c r="ES431" s="31"/>
      <c r="ET431" s="31"/>
      <c r="EU431" s="31"/>
      <c r="EV431" s="31"/>
      <c r="EW431" s="31"/>
      <c r="EX431" s="31"/>
      <c r="EY431" s="31"/>
      <c r="EZ431" s="31"/>
      <c r="FA431" s="31"/>
      <c r="FB431" s="31"/>
      <c r="FC431" s="31"/>
      <c r="FD431" s="31"/>
      <c r="FE431" s="31"/>
      <c r="FF431" s="31"/>
      <c r="FG431" s="31"/>
      <c r="FH431" s="31"/>
      <c r="FI431" s="31"/>
      <c r="FJ431" s="31"/>
      <c r="FK431" s="31"/>
      <c r="FL431" s="31"/>
      <c r="FM431" s="31"/>
      <c r="FN431" s="31"/>
      <c r="FO431" s="31"/>
      <c r="FP431" s="31"/>
      <c r="FQ431" s="31"/>
      <c r="FR431" s="31"/>
      <c r="FS431" s="31"/>
      <c r="FT431" s="31"/>
      <c r="FU431" s="31"/>
      <c r="FV431" s="31"/>
      <c r="FW431" s="31"/>
      <c r="FX431" s="31"/>
      <c r="FY431" s="31"/>
      <c r="FZ431" s="31"/>
      <c r="GA431" s="31"/>
      <c r="GB431" s="31"/>
      <c r="GC431" s="31"/>
      <c r="GD431" s="31"/>
      <c r="GE431" s="31"/>
      <c r="GF431" s="31"/>
      <c r="GG431" s="31"/>
      <c r="GH431" s="31"/>
    </row>
    <row r="432" spans="1:190" ht="15.75" customHeight="1" x14ac:dyDescent="0.3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>
        <v>430</v>
      </c>
      <c r="U432" s="31" t="s">
        <v>194</v>
      </c>
      <c r="V432" s="31" t="s">
        <v>724</v>
      </c>
      <c r="W432" s="31" t="s">
        <v>951</v>
      </c>
      <c r="X432" s="31" t="s">
        <v>2620</v>
      </c>
      <c r="Y432" s="31" t="s">
        <v>2621</v>
      </c>
      <c r="Z432" s="31" t="s">
        <v>2622</v>
      </c>
      <c r="AA432" s="32" t="s">
        <v>202</v>
      </c>
      <c r="AB432" s="32" t="s">
        <v>725</v>
      </c>
      <c r="AC432" s="32" t="s">
        <v>952</v>
      </c>
      <c r="AD432" s="31" t="s">
        <v>303</v>
      </c>
      <c r="AE432" s="31"/>
      <c r="AF432" s="31" t="s">
        <v>990</v>
      </c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  <c r="DI432" s="31"/>
      <c r="DJ432" s="31"/>
      <c r="DK432" s="31"/>
      <c r="DL432" s="31"/>
      <c r="DM432" s="31"/>
      <c r="DN432" s="31"/>
      <c r="DO432" s="31"/>
      <c r="DP432" s="31"/>
      <c r="DQ432" s="31"/>
      <c r="DR432" s="31"/>
      <c r="DS432" s="31"/>
      <c r="DT432" s="31"/>
      <c r="DU432" s="31"/>
      <c r="DV432" s="31"/>
      <c r="DW432" s="31"/>
      <c r="DX432" s="31"/>
      <c r="DY432" s="31"/>
      <c r="DZ432" s="31"/>
      <c r="EA432" s="31"/>
      <c r="EB432" s="31"/>
      <c r="EC432" s="31"/>
      <c r="ED432" s="31"/>
      <c r="EE432" s="31"/>
      <c r="EF432" s="31"/>
      <c r="EG432" s="31"/>
      <c r="EH432" s="31"/>
      <c r="EI432" s="31"/>
      <c r="EJ432" s="31"/>
      <c r="EK432" s="31"/>
      <c r="EL432" s="31"/>
      <c r="EM432" s="31"/>
      <c r="EN432" s="31"/>
      <c r="EO432" s="31"/>
      <c r="EP432" s="31"/>
      <c r="EQ432" s="31"/>
      <c r="ER432" s="31"/>
      <c r="ES432" s="31"/>
      <c r="ET432" s="31"/>
      <c r="EU432" s="31"/>
      <c r="EV432" s="31"/>
      <c r="EW432" s="31"/>
      <c r="EX432" s="31"/>
      <c r="EY432" s="31"/>
      <c r="EZ432" s="31"/>
      <c r="FA432" s="31"/>
      <c r="FB432" s="31"/>
      <c r="FC432" s="31"/>
      <c r="FD432" s="31"/>
      <c r="FE432" s="31"/>
      <c r="FF432" s="31"/>
      <c r="FG432" s="31"/>
      <c r="FH432" s="31"/>
      <c r="FI432" s="31"/>
      <c r="FJ432" s="31"/>
      <c r="FK432" s="31"/>
      <c r="FL432" s="31"/>
      <c r="FM432" s="31"/>
      <c r="FN432" s="31"/>
      <c r="FO432" s="31"/>
      <c r="FP432" s="31"/>
      <c r="FQ432" s="31"/>
      <c r="FR432" s="31"/>
      <c r="FS432" s="31"/>
      <c r="FT432" s="31"/>
      <c r="FU432" s="31"/>
      <c r="FV432" s="31"/>
      <c r="FW432" s="31"/>
      <c r="FX432" s="31"/>
      <c r="FY432" s="31"/>
      <c r="FZ432" s="31"/>
      <c r="GA432" s="31"/>
      <c r="GB432" s="31"/>
      <c r="GC432" s="31"/>
      <c r="GD432" s="31"/>
      <c r="GE432" s="31"/>
      <c r="GF432" s="31"/>
      <c r="GG432" s="31"/>
      <c r="GH432" s="31"/>
    </row>
    <row r="433" spans="1:190" ht="15.75" customHeight="1" x14ac:dyDescent="0.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>
        <v>431</v>
      </c>
      <c r="U433" s="31" t="s">
        <v>187</v>
      </c>
      <c r="V433" s="31" t="s">
        <v>187</v>
      </c>
      <c r="W433" s="31" t="s">
        <v>187</v>
      </c>
      <c r="X433" s="31" t="s">
        <v>2623</v>
      </c>
      <c r="Y433" s="31" t="s">
        <v>2624</v>
      </c>
      <c r="Z433" s="31" t="s">
        <v>2625</v>
      </c>
      <c r="AA433" s="32" t="s">
        <v>286</v>
      </c>
      <c r="AB433" s="32" t="s">
        <v>190</v>
      </c>
      <c r="AC433" s="32" t="s">
        <v>193</v>
      </c>
      <c r="AD433" s="31" t="s">
        <v>1911</v>
      </c>
      <c r="AE433" s="31" t="s">
        <v>303</v>
      </c>
      <c r="AF433" s="31" t="s">
        <v>436</v>
      </c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  <c r="DI433" s="31"/>
      <c r="DJ433" s="31"/>
      <c r="DK433" s="31"/>
      <c r="DL433" s="31"/>
      <c r="DM433" s="31"/>
      <c r="DN433" s="31"/>
      <c r="DO433" s="31"/>
      <c r="DP433" s="31"/>
      <c r="DQ433" s="31"/>
      <c r="DR433" s="31"/>
      <c r="DS433" s="31"/>
      <c r="DT433" s="31"/>
      <c r="DU433" s="31"/>
      <c r="DV433" s="31"/>
      <c r="DW433" s="31"/>
      <c r="DX433" s="31"/>
      <c r="DY433" s="31"/>
      <c r="DZ433" s="31"/>
      <c r="EA433" s="31"/>
      <c r="EB433" s="31"/>
      <c r="EC433" s="31"/>
      <c r="ED433" s="31"/>
      <c r="EE433" s="31"/>
      <c r="EF433" s="31"/>
      <c r="EG433" s="31"/>
      <c r="EH433" s="31"/>
      <c r="EI433" s="31"/>
      <c r="EJ433" s="31"/>
      <c r="EK433" s="31"/>
      <c r="EL433" s="31"/>
      <c r="EM433" s="31"/>
      <c r="EN433" s="31"/>
      <c r="EO433" s="31"/>
      <c r="EP433" s="31"/>
      <c r="EQ433" s="31"/>
      <c r="ER433" s="31"/>
      <c r="ES433" s="31"/>
      <c r="ET433" s="31"/>
      <c r="EU433" s="31"/>
      <c r="EV433" s="31"/>
      <c r="EW433" s="31"/>
      <c r="EX433" s="31"/>
      <c r="EY433" s="31"/>
      <c r="EZ433" s="31"/>
      <c r="FA433" s="31"/>
      <c r="FB433" s="31"/>
      <c r="FC433" s="31"/>
      <c r="FD433" s="31"/>
      <c r="FE433" s="31"/>
      <c r="FF433" s="31"/>
      <c r="FG433" s="31"/>
      <c r="FH433" s="31"/>
      <c r="FI433" s="31"/>
      <c r="FJ433" s="31"/>
      <c r="FK433" s="31"/>
      <c r="FL433" s="31"/>
      <c r="FM433" s="31"/>
      <c r="FN433" s="31"/>
      <c r="FO433" s="31"/>
      <c r="FP433" s="31"/>
      <c r="FQ433" s="31"/>
      <c r="FR433" s="31"/>
      <c r="FS433" s="31"/>
      <c r="FT433" s="31"/>
      <c r="FU433" s="31"/>
      <c r="FV433" s="31"/>
      <c r="FW433" s="31"/>
      <c r="FX433" s="31"/>
      <c r="FY433" s="31"/>
      <c r="FZ433" s="31"/>
      <c r="GA433" s="31"/>
      <c r="GB433" s="31"/>
      <c r="GC433" s="31"/>
      <c r="GD433" s="31"/>
      <c r="GE433" s="31"/>
      <c r="GF433" s="31"/>
      <c r="GG433" s="31"/>
      <c r="GH433" s="31"/>
    </row>
    <row r="434" spans="1:190" ht="15.75" customHeight="1" x14ac:dyDescent="0.3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>
        <v>432</v>
      </c>
      <c r="U434" s="31" t="s">
        <v>194</v>
      </c>
      <c r="V434" s="31" t="s">
        <v>195</v>
      </c>
      <c r="W434" s="31" t="s">
        <v>196</v>
      </c>
      <c r="X434" s="31" t="s">
        <v>2626</v>
      </c>
      <c r="Y434" s="31" t="s">
        <v>2627</v>
      </c>
      <c r="Z434" s="31" t="s">
        <v>2628</v>
      </c>
      <c r="AA434" s="32" t="s">
        <v>202</v>
      </c>
      <c r="AB434" s="32" t="s">
        <v>203</v>
      </c>
      <c r="AC434" s="32" t="s">
        <v>204</v>
      </c>
      <c r="AD434" s="31" t="s">
        <v>205</v>
      </c>
      <c r="AE434" s="31" t="s">
        <v>897</v>
      </c>
      <c r="AF434" s="31" t="s">
        <v>207</v>
      </c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1"/>
      <c r="DT434" s="31"/>
      <c r="DU434" s="31"/>
      <c r="DV434" s="31"/>
      <c r="DW434" s="31"/>
      <c r="DX434" s="31"/>
      <c r="DY434" s="31"/>
      <c r="DZ434" s="31"/>
      <c r="EA434" s="31"/>
      <c r="EB434" s="31"/>
      <c r="EC434" s="31"/>
      <c r="ED434" s="31"/>
      <c r="EE434" s="31"/>
      <c r="EF434" s="31"/>
      <c r="EG434" s="31"/>
      <c r="EH434" s="31"/>
      <c r="EI434" s="31"/>
      <c r="EJ434" s="31"/>
      <c r="EK434" s="31"/>
      <c r="EL434" s="31"/>
      <c r="EM434" s="31"/>
      <c r="EN434" s="31"/>
      <c r="EO434" s="31"/>
      <c r="EP434" s="31"/>
      <c r="EQ434" s="31"/>
      <c r="ER434" s="31"/>
      <c r="ES434" s="31"/>
      <c r="ET434" s="31"/>
      <c r="EU434" s="31"/>
      <c r="EV434" s="31"/>
      <c r="EW434" s="31"/>
      <c r="EX434" s="31"/>
      <c r="EY434" s="31"/>
      <c r="EZ434" s="31"/>
      <c r="FA434" s="31"/>
      <c r="FB434" s="31"/>
      <c r="FC434" s="31"/>
      <c r="FD434" s="31"/>
      <c r="FE434" s="31"/>
      <c r="FF434" s="31"/>
      <c r="FG434" s="31"/>
      <c r="FH434" s="31"/>
      <c r="FI434" s="31"/>
      <c r="FJ434" s="31"/>
      <c r="FK434" s="31"/>
      <c r="FL434" s="31"/>
      <c r="FM434" s="31"/>
      <c r="FN434" s="31"/>
      <c r="FO434" s="31"/>
      <c r="FP434" s="31"/>
      <c r="FQ434" s="31"/>
      <c r="FR434" s="31"/>
      <c r="FS434" s="31"/>
      <c r="FT434" s="31"/>
      <c r="FU434" s="31"/>
      <c r="FV434" s="31"/>
      <c r="FW434" s="31"/>
      <c r="FX434" s="31"/>
      <c r="FY434" s="31"/>
      <c r="FZ434" s="31"/>
      <c r="GA434" s="31"/>
      <c r="GB434" s="31"/>
      <c r="GC434" s="31"/>
      <c r="GD434" s="31"/>
      <c r="GE434" s="31"/>
      <c r="GF434" s="31"/>
      <c r="GG434" s="31"/>
      <c r="GH434" s="31"/>
    </row>
    <row r="435" spans="1:190" ht="15.75" customHeight="1" x14ac:dyDescent="0.3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>
        <v>433</v>
      </c>
      <c r="U435" s="31" t="s">
        <v>360</v>
      </c>
      <c r="V435" s="31" t="s">
        <v>600</v>
      </c>
      <c r="W435" s="31" t="s">
        <v>829</v>
      </c>
      <c r="X435" s="31" t="s">
        <v>2629</v>
      </c>
      <c r="Y435" s="31" t="s">
        <v>2630</v>
      </c>
      <c r="Z435" s="31" t="s">
        <v>2631</v>
      </c>
      <c r="AA435" s="32" t="s">
        <v>418</v>
      </c>
      <c r="AB435" s="32" t="s">
        <v>605</v>
      </c>
      <c r="AC435" s="32" t="s">
        <v>830</v>
      </c>
      <c r="AD435" s="31" t="s">
        <v>1536</v>
      </c>
      <c r="AE435" s="31" t="s">
        <v>303</v>
      </c>
      <c r="AF435" s="31" t="s">
        <v>1011</v>
      </c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  <c r="DT435" s="31"/>
      <c r="DU435" s="31"/>
      <c r="DV435" s="31"/>
      <c r="DW435" s="31"/>
      <c r="DX435" s="31"/>
      <c r="DY435" s="31"/>
      <c r="DZ435" s="31"/>
      <c r="EA435" s="31"/>
      <c r="EB435" s="31"/>
      <c r="EC435" s="31"/>
      <c r="ED435" s="31"/>
      <c r="EE435" s="31"/>
      <c r="EF435" s="31"/>
      <c r="EG435" s="31"/>
      <c r="EH435" s="31"/>
      <c r="EI435" s="31"/>
      <c r="EJ435" s="31"/>
      <c r="EK435" s="31"/>
      <c r="EL435" s="31"/>
      <c r="EM435" s="31"/>
      <c r="EN435" s="31"/>
      <c r="EO435" s="31"/>
      <c r="EP435" s="31"/>
      <c r="EQ435" s="31"/>
      <c r="ER435" s="31"/>
      <c r="ES435" s="31"/>
      <c r="ET435" s="31"/>
      <c r="EU435" s="31"/>
      <c r="EV435" s="31"/>
      <c r="EW435" s="31"/>
      <c r="EX435" s="31"/>
      <c r="EY435" s="31"/>
      <c r="EZ435" s="31"/>
      <c r="FA435" s="31"/>
      <c r="FB435" s="31"/>
      <c r="FC435" s="31"/>
      <c r="FD435" s="31"/>
      <c r="FE435" s="31"/>
      <c r="FF435" s="31"/>
      <c r="FG435" s="31"/>
      <c r="FH435" s="31"/>
      <c r="FI435" s="31"/>
      <c r="FJ435" s="31"/>
      <c r="FK435" s="31"/>
      <c r="FL435" s="31"/>
      <c r="FM435" s="31"/>
      <c r="FN435" s="31"/>
      <c r="FO435" s="31"/>
      <c r="FP435" s="31"/>
      <c r="FQ435" s="31"/>
      <c r="FR435" s="31"/>
      <c r="FS435" s="31"/>
      <c r="FT435" s="31"/>
      <c r="FU435" s="31"/>
      <c r="FV435" s="31"/>
      <c r="FW435" s="31"/>
      <c r="FX435" s="31"/>
      <c r="FY435" s="31"/>
      <c r="FZ435" s="31"/>
      <c r="GA435" s="31"/>
      <c r="GB435" s="31"/>
      <c r="GC435" s="31"/>
      <c r="GD435" s="31"/>
      <c r="GE435" s="31"/>
      <c r="GF435" s="31"/>
      <c r="GG435" s="31"/>
      <c r="GH435" s="31"/>
    </row>
    <row r="436" spans="1:190" ht="15.75" customHeight="1" x14ac:dyDescent="0.3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>
        <v>434</v>
      </c>
      <c r="U436" s="31" t="s">
        <v>194</v>
      </c>
      <c r="V436" s="31" t="s">
        <v>724</v>
      </c>
      <c r="W436" s="31" t="s">
        <v>809</v>
      </c>
      <c r="X436" s="31" t="s">
        <v>2632</v>
      </c>
      <c r="Y436" s="31" t="s">
        <v>2633</v>
      </c>
      <c r="Z436" s="31" t="s">
        <v>2634</v>
      </c>
      <c r="AA436" s="32" t="s">
        <v>202</v>
      </c>
      <c r="AB436" s="32" t="s">
        <v>725</v>
      </c>
      <c r="AC436" s="32" t="s">
        <v>813</v>
      </c>
      <c r="AD436" s="31" t="s">
        <v>303</v>
      </c>
      <c r="AE436" s="31"/>
      <c r="AF436" s="31" t="s">
        <v>929</v>
      </c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  <c r="DT436" s="31"/>
      <c r="DU436" s="31"/>
      <c r="DV436" s="31"/>
      <c r="DW436" s="31"/>
      <c r="DX436" s="31"/>
      <c r="DY436" s="31"/>
      <c r="DZ436" s="31"/>
      <c r="EA436" s="31"/>
      <c r="EB436" s="31"/>
      <c r="EC436" s="31"/>
      <c r="ED436" s="31"/>
      <c r="EE436" s="31"/>
      <c r="EF436" s="31"/>
      <c r="EG436" s="31"/>
      <c r="EH436" s="31"/>
      <c r="EI436" s="31"/>
      <c r="EJ436" s="31"/>
      <c r="EK436" s="31"/>
      <c r="EL436" s="31"/>
      <c r="EM436" s="31"/>
      <c r="EN436" s="31"/>
      <c r="EO436" s="31"/>
      <c r="EP436" s="31"/>
      <c r="EQ436" s="31"/>
      <c r="ER436" s="31"/>
      <c r="ES436" s="31"/>
      <c r="ET436" s="31"/>
      <c r="EU436" s="31"/>
      <c r="EV436" s="31"/>
      <c r="EW436" s="31"/>
      <c r="EX436" s="31"/>
      <c r="EY436" s="31"/>
      <c r="EZ436" s="31"/>
      <c r="FA436" s="31"/>
      <c r="FB436" s="31"/>
      <c r="FC436" s="31"/>
      <c r="FD436" s="31"/>
      <c r="FE436" s="31"/>
      <c r="FF436" s="31"/>
      <c r="FG436" s="31"/>
      <c r="FH436" s="31"/>
      <c r="FI436" s="31"/>
      <c r="FJ436" s="31"/>
      <c r="FK436" s="31"/>
      <c r="FL436" s="31"/>
      <c r="FM436" s="31"/>
      <c r="FN436" s="31"/>
      <c r="FO436" s="31"/>
      <c r="FP436" s="31"/>
      <c r="FQ436" s="31"/>
      <c r="FR436" s="31"/>
      <c r="FS436" s="31"/>
      <c r="FT436" s="31"/>
      <c r="FU436" s="31"/>
      <c r="FV436" s="31"/>
      <c r="FW436" s="31"/>
      <c r="FX436" s="31"/>
      <c r="FY436" s="31"/>
      <c r="FZ436" s="31"/>
      <c r="GA436" s="31"/>
      <c r="GB436" s="31"/>
      <c r="GC436" s="31"/>
      <c r="GD436" s="31"/>
      <c r="GE436" s="31"/>
      <c r="GF436" s="31"/>
      <c r="GG436" s="31"/>
      <c r="GH436" s="31"/>
    </row>
    <row r="437" spans="1:190" ht="15.75" customHeight="1" x14ac:dyDescent="0.3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>
        <v>435</v>
      </c>
      <c r="U437" s="31" t="s">
        <v>360</v>
      </c>
      <c r="V437" s="31" t="s">
        <v>647</v>
      </c>
      <c r="W437" s="31" t="s">
        <v>867</v>
      </c>
      <c r="X437" s="31" t="s">
        <v>2635</v>
      </c>
      <c r="Y437" s="31" t="s">
        <v>2636</v>
      </c>
      <c r="Z437" s="31" t="s">
        <v>2637</v>
      </c>
      <c r="AA437" s="32" t="s">
        <v>418</v>
      </c>
      <c r="AB437" s="32" t="s">
        <v>648</v>
      </c>
      <c r="AC437" s="32" t="s">
        <v>868</v>
      </c>
      <c r="AD437" s="31" t="s">
        <v>303</v>
      </c>
      <c r="AE437" s="31"/>
      <c r="AF437" s="31" t="s">
        <v>1055</v>
      </c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  <c r="DT437" s="31"/>
      <c r="DU437" s="31"/>
      <c r="DV437" s="31"/>
      <c r="DW437" s="31"/>
      <c r="DX437" s="31"/>
      <c r="DY437" s="31"/>
      <c r="DZ437" s="31"/>
      <c r="EA437" s="31"/>
      <c r="EB437" s="31"/>
      <c r="EC437" s="31"/>
      <c r="ED437" s="31"/>
      <c r="EE437" s="31"/>
      <c r="EF437" s="31"/>
      <c r="EG437" s="31"/>
      <c r="EH437" s="31"/>
      <c r="EI437" s="31"/>
      <c r="EJ437" s="31"/>
      <c r="EK437" s="31"/>
      <c r="EL437" s="31"/>
      <c r="EM437" s="31"/>
      <c r="EN437" s="31"/>
      <c r="EO437" s="31"/>
      <c r="EP437" s="31"/>
      <c r="EQ437" s="31"/>
      <c r="ER437" s="31"/>
      <c r="ES437" s="31"/>
      <c r="ET437" s="31"/>
      <c r="EU437" s="31"/>
      <c r="EV437" s="31"/>
      <c r="EW437" s="31"/>
      <c r="EX437" s="31"/>
      <c r="EY437" s="31"/>
      <c r="EZ437" s="31"/>
      <c r="FA437" s="31"/>
      <c r="FB437" s="31"/>
      <c r="FC437" s="31"/>
      <c r="FD437" s="31"/>
      <c r="FE437" s="31"/>
      <c r="FF437" s="31"/>
      <c r="FG437" s="31"/>
      <c r="FH437" s="31"/>
      <c r="FI437" s="31"/>
      <c r="FJ437" s="31"/>
      <c r="FK437" s="31"/>
      <c r="FL437" s="31"/>
      <c r="FM437" s="31"/>
      <c r="FN437" s="31"/>
      <c r="FO437" s="31"/>
      <c r="FP437" s="31"/>
      <c r="FQ437" s="31"/>
      <c r="FR437" s="31"/>
      <c r="FS437" s="31"/>
      <c r="FT437" s="31"/>
      <c r="FU437" s="31"/>
      <c r="FV437" s="31"/>
      <c r="FW437" s="31"/>
      <c r="FX437" s="31"/>
      <c r="FY437" s="31"/>
      <c r="FZ437" s="31"/>
      <c r="GA437" s="31"/>
      <c r="GB437" s="31"/>
      <c r="GC437" s="31"/>
      <c r="GD437" s="31"/>
      <c r="GE437" s="31"/>
      <c r="GF437" s="31"/>
      <c r="GG437" s="31"/>
      <c r="GH437" s="31"/>
    </row>
  </sheetData>
  <autoFilter ref="O2:R150" xr:uid="{00000000-0009-0000-0000-000003000000}"/>
  <customSheetViews>
    <customSheetView guid="{3CBA89FD-46B1-4A08-B2D2-3519FEC2346D}" filter="1" showAutoFilter="1">
      <pageMargins left="0.7" right="0.7" top="0.75" bottom="0.75" header="0.3" footer="0.3"/>
      <autoFilter ref="DH2:DH5" xr:uid="{0986EBD0-2A0D-4513-88F0-C897CB1510C3}"/>
    </customSheetView>
    <customSheetView guid="{AAF22817-1714-4AB9-B654-252A07F3A6CC}" filter="1" showAutoFilter="1">
      <pageMargins left="0.7" right="0.7" top="0.75" bottom="0.75" header="0.3" footer="0.3"/>
      <autoFilter ref="ER2:ER5" xr:uid="{B2D642DA-090B-4EBD-94A1-652B363A5614}"/>
    </customSheetView>
    <customSheetView guid="{9AE15F20-F8CF-46FC-896C-4A788001DD0F}" filter="1" showAutoFilter="1">
      <pageMargins left="0.7" right="0.7" top="0.75" bottom="0.75" header="0.3" footer="0.3"/>
      <autoFilter ref="DF2:DF3" xr:uid="{59E3AA37-07E9-43A9-A112-E7E586F4EFD5}"/>
    </customSheetView>
    <customSheetView guid="{57C9BD02-9895-49F8-962E-0831F4A982F0}" filter="1" showAutoFilter="1">
      <pageMargins left="0.7" right="0.7" top="0.75" bottom="0.75" header="0.3" footer="0.3"/>
      <autoFilter ref="BZ2:BZ3" xr:uid="{C57DC219-28D6-47DB-ADFE-263637AE3B42}"/>
    </customSheetView>
    <customSheetView guid="{F1E9D2A0-60E8-4AC0-9BB3-4C38422F06D2}" filter="1" showAutoFilter="1">
      <pageMargins left="0.7" right="0.7" top="0.75" bottom="0.75" header="0.3" footer="0.3"/>
      <autoFilter ref="EV2:EV6" xr:uid="{5C468CC9-1F20-43FD-89AA-1640293B60BE}"/>
    </customSheetView>
    <customSheetView guid="{765EE89A-25ED-48E6-A52D-D35FE9C1C1D9}" filter="1" showAutoFilter="1">
      <pageMargins left="0.7" right="0.7" top="0.75" bottom="0.75" header="0.3" footer="0.3"/>
      <autoFilter ref="FT2:FT9" xr:uid="{34C968A3-676B-4218-9250-D52FBBD6D11B}"/>
    </customSheetView>
    <customSheetView guid="{26A889F6-0779-4935-B6D2-06E38BF890ED}" filter="1" showAutoFilter="1">
      <pageMargins left="0.7" right="0.7" top="0.75" bottom="0.75" header="0.3" footer="0.3"/>
      <autoFilter ref="CN2:CN4" xr:uid="{5F57836B-0A6F-4B44-9EF4-9E522A039809}"/>
    </customSheetView>
    <customSheetView guid="{058784DF-0E95-4ECF-8C4E-D68F1D345992}" filter="1" showAutoFilter="1">
      <pageMargins left="0.7" right="0.7" top="0.75" bottom="0.75" header="0.3" footer="0.3"/>
      <autoFilter ref="FV2:FV3" xr:uid="{D20693DA-FEC3-430F-A5F8-72E8A9E9AAB0}"/>
    </customSheetView>
    <customSheetView guid="{30BDE5F4-1AC1-45B2-BB26-AA455966E20A}" filter="1" showAutoFilter="1">
      <pageMargins left="0.7" right="0.7" top="0.75" bottom="0.75" header="0.3" footer="0.3"/>
      <autoFilter ref="BR151:BR153" xr:uid="{9A597477-053C-4F64-92D7-99FECDE34AD5}"/>
    </customSheetView>
    <customSheetView guid="{7EFB0A79-490D-407D-8341-F66CBC5AC007}" filter="1" showAutoFilter="1">
      <pageMargins left="0.7" right="0.7" top="0.75" bottom="0.75" header="0.3" footer="0.3"/>
      <autoFilter ref="CD2:CD3" xr:uid="{1DF5C140-C32D-4794-AFCD-C87592467D20}"/>
    </customSheetView>
    <customSheetView guid="{B611170C-791F-4D2C-8758-5283A2BCB065}" filter="1" showAutoFilter="1">
      <pageMargins left="0.7" right="0.7" top="0.75" bottom="0.75" header="0.3" footer="0.3"/>
      <autoFilter ref="CP2:CP4" xr:uid="{5E281ACE-DAA4-4CA8-9793-7999038100DD}"/>
    </customSheetView>
    <customSheetView guid="{626833D3-606C-45FD-B628-0647E76B6597}" filter="1" showAutoFilter="1">
      <pageMargins left="0.7" right="0.7" top="0.75" bottom="0.75" header="0.3" footer="0.3"/>
      <autoFilter ref="GF2:GF8" xr:uid="{743B3F9A-34E2-46B5-ADDA-366536D8DDB2}"/>
    </customSheetView>
    <customSheetView guid="{0FACE99F-6A2B-4345-BA0F-D63F5D034D92}" filter="1" showAutoFilter="1">
      <pageMargins left="0.7" right="0.7" top="0.75" bottom="0.75" header="0.3" footer="0.3"/>
      <autoFilter ref="FR2:FR10" xr:uid="{33372B1D-51B6-4857-BD0B-121F28BE1A95}"/>
    </customSheetView>
    <customSheetView guid="{94C69D9A-FEBB-47DB-854E-7F2687C2799C}" filter="1" showAutoFilter="1">
      <pageMargins left="0.7" right="0.7" top="0.75" bottom="0.75" header="0.3" footer="0.3"/>
      <autoFilter ref="BU151:BU156" xr:uid="{46D52788-6636-4065-9B82-5EF9E5308E5F}"/>
    </customSheetView>
    <customSheetView guid="{FF3B780F-C6C9-49B9-BFAE-8C955401FEEC}" filter="1" showAutoFilter="1">
      <pageMargins left="0.7" right="0.7" top="0.75" bottom="0.75" header="0.3" footer="0.3"/>
      <autoFilter ref="DD2:DD5" xr:uid="{D870F6F4-E681-4FE1-BA37-54B9110BBCED}"/>
    </customSheetView>
    <customSheetView guid="{581CE30B-064E-4CF6-84AB-DE0E83BC501D}" filter="1" showAutoFilter="1">
      <pageMargins left="0.7" right="0.7" top="0.75" bottom="0.75" header="0.3" footer="0.3"/>
      <autoFilter ref="FJ2:FJ12" xr:uid="{D83298D8-F961-4494-B451-899B0F24B1CF}"/>
    </customSheetView>
    <customSheetView guid="{9846DBD8-F43A-410A-B5C3-0B8A7337ED51}" filter="1" showAutoFilter="1">
      <pageMargins left="0.7" right="0.7" top="0.75" bottom="0.75" header="0.3" footer="0.3"/>
      <autoFilter ref="FZ2:FZ6" xr:uid="{472422E2-E3F6-45FE-AAA0-582D9999CCFD}"/>
    </customSheetView>
    <customSheetView guid="{758AD95B-028B-4683-87BB-054D34DF4A62}" filter="1" showAutoFilter="1">
      <pageMargins left="0.7" right="0.7" top="0.75" bottom="0.75" header="0.3" footer="0.3"/>
      <autoFilter ref="A2:B7" xr:uid="{26A74BCB-C477-42DF-ADD0-89507A938E87}"/>
    </customSheetView>
    <customSheetView guid="{3B7C19EC-3444-4467-B26B-166F18091A3E}" filter="1" showAutoFilter="1">
      <pageMargins left="0.7" right="0.7" top="0.75" bottom="0.75" header="0.3" footer="0.3"/>
      <autoFilter ref="ET2:ET3" xr:uid="{D6C9E312-7B89-4785-BB47-AE61DA7B1147}"/>
    </customSheetView>
    <customSheetView guid="{E2612ECA-2D8E-45B7-A18C-F7F78A0872E0}" filter="1" showAutoFilter="1">
      <pageMargins left="0.7" right="0.7" top="0.75" bottom="0.75" header="0.3" footer="0.3"/>
      <autoFilter ref="F2:I16" xr:uid="{5BBD2382-6EB2-4535-9B5D-B70F59DEA10A}"/>
    </customSheetView>
    <customSheetView guid="{F0DDF9E7-2D82-4668-A33E-9EB9C2EAFC80}" filter="1" showAutoFilter="1">
      <pageMargins left="0.7" right="0.7" top="0.75" bottom="0.75" header="0.3" footer="0.3"/>
      <autoFilter ref="CZ2:CZ7" xr:uid="{AE2326DD-FAD5-43B6-BE7E-34A3182E64C7}"/>
    </customSheetView>
    <customSheetView guid="{AB0AF8F2-D180-4294-84EF-8222A1E3F90C}" filter="1" showAutoFilter="1">
      <pageMargins left="0.7" right="0.7" top="0.75" bottom="0.75" header="0.3" footer="0.3"/>
      <autoFilter ref="EZ2:EZ14" xr:uid="{E81ADB85-D826-4A96-8549-F790ABD4CAE6}"/>
    </customSheetView>
    <customSheetView guid="{F6706533-5157-4B66-A64F-6A95C4B35CF5}" filter="1" showAutoFilter="1">
      <pageMargins left="0.7" right="0.7" top="0.75" bottom="0.75" header="0.3" footer="0.3"/>
      <autoFilter ref="BT151:BT155" xr:uid="{9E99AFAC-B040-4A80-9576-526E4EA2529B}"/>
    </customSheetView>
    <customSheetView guid="{8B5975A1-ED13-471D-998B-46EAC1889E2E}" filter="1" showAutoFilter="1">
      <pageMargins left="0.7" right="0.7" top="0.75" bottom="0.75" header="0.3" footer="0.3"/>
      <autoFilter ref="DX2:DX3" xr:uid="{E5FE10D3-9A49-495C-A923-A8FDDB9BA8D2}"/>
    </customSheetView>
    <customSheetView guid="{12DD01B4-018F-4D05-82B6-0CD1B211DDD9}" filter="1" showAutoFilter="1">
      <pageMargins left="0.7" right="0.7" top="0.75" bottom="0.75" header="0.3" footer="0.3"/>
      <autoFilter ref="CF2:CF7" xr:uid="{C3A47902-7E65-46EB-A2B7-7F956366A3B5}"/>
    </customSheetView>
    <customSheetView guid="{6731AA42-FE79-41DB-97B2-77AFDB1EFA8A}" filter="1" showAutoFilter="1">
      <pageMargins left="0.7" right="0.7" top="0.75" bottom="0.75" header="0.3" footer="0.3"/>
      <autoFilter ref="X2:Z155" xr:uid="{FA2E4A63-A46E-4362-88CD-4B5BC8A538D6}"/>
    </customSheetView>
    <customSheetView guid="{9FB89AF3-3486-41C1-AC83-3C3B9AD098BF}" filter="1" showAutoFilter="1">
      <pageMargins left="0.7" right="0.7" top="0.75" bottom="0.75" header="0.3" footer="0.3"/>
      <autoFilter ref="EH2:EH3" xr:uid="{7A13BF15-FD2A-4E86-B80A-649BB7EEC4AD}"/>
    </customSheetView>
    <customSheetView guid="{5871463B-A986-4226-9D97-66F1329BA3D2}" filter="1" showAutoFilter="1">
      <pageMargins left="0.7" right="0.7" top="0.75" bottom="0.75" header="0.3" footer="0.3"/>
      <autoFilter ref="EX2:EX4" xr:uid="{D534A8CA-6331-4F2B-8B6E-ED50E79398A8}"/>
    </customSheetView>
    <customSheetView guid="{D8150995-D32E-4D47-AFEB-09EBEAE9C970}" filter="1" showAutoFilter="1">
      <pageMargins left="0.7" right="0.7" top="0.75" bottom="0.75" header="0.3" footer="0.3"/>
      <autoFilter ref="EL2:EL6" xr:uid="{B5814A29-F922-42F4-A1C3-37E427EDF5CD}"/>
    </customSheetView>
    <customSheetView guid="{8E6FBEDD-9329-4782-8494-2779B3D627F0}" filter="1" showAutoFilter="1">
      <pageMargins left="0.7" right="0.7" top="0.75" bottom="0.75" header="0.3" footer="0.3"/>
      <autoFilter ref="BX2:BX4" xr:uid="{52840EDF-327A-4E28-B119-EF6CE02ED492}"/>
    </customSheetView>
    <customSheetView guid="{CCAAAE4D-0E99-4B15-942A-C5A30D8025FD}" filter="1" showAutoFilter="1">
      <pageMargins left="0.7" right="0.7" top="0.75" bottom="0.75" header="0.3" footer="0.3"/>
      <autoFilter ref="CR2:CR3" xr:uid="{C200562D-7D51-438F-BD99-4B0F7734D4EF}"/>
    </customSheetView>
    <customSheetView guid="{19DB6B39-1D69-48DC-9FF6-C3EC1A324B47}" filter="1" showAutoFilter="1">
      <pageMargins left="0.7" right="0.7" top="0.75" bottom="0.75" header="0.3" footer="0.3"/>
      <autoFilter ref="EF2:EF5" xr:uid="{6268B9DE-2D43-4D97-86DD-D603A456C979}"/>
    </customSheetView>
    <customSheetView guid="{B852F5E6-CDBD-4B97-BE9C-F7C58AD972F2}" filter="1" showAutoFilter="1">
      <pageMargins left="0.7" right="0.7" top="0.75" bottom="0.75" header="0.3" footer="0.3"/>
      <autoFilter ref="DN2:DN4" xr:uid="{51AA60C4-7D17-49C2-83A2-5286A8A8D32D}"/>
    </customSheetView>
    <customSheetView guid="{C0D71DCA-89EA-4F67-A4DC-40AFC4FAD6E1}" filter="1" showAutoFilter="1">
      <pageMargins left="0.7" right="0.7" top="0.75" bottom="0.75" header="0.3" footer="0.3"/>
      <autoFilter ref="DZ2:DZ8" xr:uid="{00A4EE8B-7D16-47C1-8A8D-4F92B454EA93}"/>
    </customSheetView>
    <customSheetView guid="{00E43C4F-1D56-4BA5-B346-E3CAFBB8A01D}" filter="1" showAutoFilter="1">
      <pageMargins left="0.7" right="0.7" top="0.75" bottom="0.75" header="0.3" footer="0.3"/>
      <autoFilter ref="EB2:EB4" xr:uid="{22D9786F-C2F7-4103-BFB9-7E1E92F44BA6}"/>
    </customSheetView>
    <customSheetView guid="{55862971-955F-4B71-A932-AB5FC2AD45AC}" filter="1" showAutoFilter="1">
      <pageMargins left="0.7" right="0.7" top="0.75" bottom="0.75" header="0.3" footer="0.3"/>
      <autoFilter ref="GH2:GH4" xr:uid="{476B2EDF-941E-41A0-AA8A-6A916D77B69C}"/>
    </customSheetView>
    <customSheetView guid="{504730C0-5EF4-4029-933C-66395909A449}" filter="1" showAutoFilter="1">
      <pageMargins left="0.7" right="0.7" top="0.75" bottom="0.75" header="0.3" footer="0.3"/>
      <autoFilter ref="CJ2:CJ3" xr:uid="{484BE3BE-A78C-4ECD-B8DC-4A9858F531F6}"/>
    </customSheetView>
    <customSheetView guid="{D878FF6A-5A02-4062-8C3D-279E853C65C5}" filter="1" showAutoFilter="1">
      <pageMargins left="0.7" right="0.7" top="0.75" bottom="0.75" header="0.3" footer="0.3"/>
      <autoFilter ref="EP2:EP4" xr:uid="{752B3029-81B2-4B8E-B1B1-1A42EF90FA7C}"/>
    </customSheetView>
    <customSheetView guid="{7BC9FA8B-7A3F-4E93-9372-FF2153A4F4B4}" filter="1" showAutoFilter="1">
      <pageMargins left="0.7" right="0.7" top="0.75" bottom="0.75" header="0.3" footer="0.3"/>
      <autoFilter ref="AS2:AT32" xr:uid="{392E7768-05FC-4166-B01B-1FF80259B1B6}"/>
    </customSheetView>
    <customSheetView guid="{60C8C5CA-F625-4915-AC10-74D56DD88863}" filter="1" showAutoFilter="1">
      <pageMargins left="0.7" right="0.7" top="0.75" bottom="0.75" header="0.3" footer="0.3"/>
      <autoFilter ref="FH2:FH8" xr:uid="{8A03603E-1B03-44D4-8EE1-FE3CA8B9D665}"/>
    </customSheetView>
    <customSheetView guid="{58394A05-7959-4B20-B7CB-704A68018CD4}" filter="1" showAutoFilter="1">
      <pageMargins left="0.7" right="0.7" top="0.75" bottom="0.75" header="0.3" footer="0.3"/>
      <autoFilter ref="CV2:CV6" xr:uid="{868A7870-CDCE-4146-B4D7-647D4F31A098}"/>
    </customSheetView>
    <customSheetView guid="{A3DB024B-378B-403E-BC40-B63EF106E369}" filter="1" showAutoFilter="1">
      <pageMargins left="0.7" right="0.7" top="0.75" bottom="0.75" header="0.3" footer="0.3"/>
      <autoFilter ref="FF2:FF7" xr:uid="{A8A27790-8F88-429F-9644-1337F67D94DF}"/>
    </customSheetView>
    <customSheetView guid="{9FCA1BAD-602D-4CB6-BDC3-135FDE8E4A0E}" filter="1" showAutoFilter="1">
      <pageMargins left="0.7" right="0.7" top="0.75" bottom="0.75" header="0.3" footer="0.3"/>
      <autoFilter ref="CB2:CB3" xr:uid="{4091F7BC-7341-4A20-9344-00B42C47036F}"/>
    </customSheetView>
    <customSheetView guid="{36EF9C21-35D2-4A78-9931-94F7C93853B2}" filter="1" showAutoFilter="1">
      <pageMargins left="0.7" right="0.7" top="0.75" bottom="0.75" header="0.3" footer="0.3"/>
      <autoFilter ref="DT2:DT3" xr:uid="{8285345B-A3A6-4DC3-B6AD-7ABFE1CB6252}"/>
    </customSheetView>
    <customSheetView guid="{C3C5C3C9-7A10-44E4-A8DD-DD111132452C}" filter="1" showAutoFilter="1">
      <pageMargins left="0.7" right="0.7" top="0.75" bottom="0.75" header="0.3" footer="0.3"/>
      <autoFilter ref="FN2:FN8" xr:uid="{8FB1548D-0238-427C-B73C-CAE865F34C97}"/>
    </customSheetView>
    <customSheetView guid="{32032092-F956-4A99-AD92-CB2747857ED4}" filter="1" showAutoFilter="1">
      <pageMargins left="0.7" right="0.7" top="0.75" bottom="0.75" header="0.3" footer="0.3"/>
      <autoFilter ref="FL2:FL7" xr:uid="{3FAEFFD4-42D5-41B1-A598-401955234DD6}"/>
    </customSheetView>
    <customSheetView guid="{D0FEBF80-9133-4423-828D-862AD2CCFAE1}" filter="1" showAutoFilter="1">
      <pageMargins left="0.7" right="0.7" top="0.75" bottom="0.75" header="0.3" footer="0.3"/>
      <autoFilter ref="DR2:DR9" xr:uid="{77914269-C086-49E8-A00B-050908F9B8A3}"/>
    </customSheetView>
    <customSheetView guid="{D11D51F0-B9B3-4604-A242-F9093A6073C5}" filter="1" showAutoFilter="1">
      <pageMargins left="0.7" right="0.7" top="0.75" bottom="0.75" header="0.3" footer="0.3"/>
      <autoFilter ref="GB2:GB6" xr:uid="{88D19E70-F3A2-468B-B621-533AA5161EA0}"/>
    </customSheetView>
    <customSheetView guid="{1BEBB13E-9864-4196-954B-5B39C272EC7C}" filter="1" showAutoFilter="1">
      <pageMargins left="0.7" right="0.7" top="0.75" bottom="0.75" header="0.3" footer="0.3"/>
      <autoFilter ref="GD2:GD10" xr:uid="{4EB94A66-E8B4-41C4-AA68-976E3C05A765}"/>
    </customSheetView>
    <customSheetView guid="{9038924B-06D3-4A22-A1F6-9C55AEF6223B}" filter="1" showAutoFilter="1">
      <pageMargins left="0.7" right="0.7" top="0.75" bottom="0.75" header="0.3" footer="0.3"/>
      <autoFilter ref="FB2:FB14" xr:uid="{7AEE51B9-81EA-48D9-A04C-400899DF5AA6}"/>
    </customSheetView>
    <customSheetView guid="{23F8F4B8-3BCD-40DD-B1BB-BB548503F48F}" filter="1" showAutoFilter="1">
      <pageMargins left="0.7" right="0.7" top="0.75" bottom="0.75" header="0.3" footer="0.3"/>
      <autoFilter ref="CL2:CL3" xr:uid="{DEC829B9-D0D8-40BE-B768-6C14E78D7627}"/>
    </customSheetView>
    <customSheetView guid="{0879CC13-5F61-42AB-B6F0-F54E95601EDA}" filter="1" showAutoFilter="1">
      <pageMargins left="0.7" right="0.7" top="0.75" bottom="0.75" header="0.3" footer="0.3"/>
      <autoFilter ref="DV2:DV4" xr:uid="{5D528202-D124-4FEF-8D68-B3CA533EAF4A}"/>
    </customSheetView>
    <customSheetView guid="{B4138793-DDFD-442D-83B5-56B278D2D3C9}" filter="1" showAutoFilter="1">
      <pageMargins left="0.7" right="0.7" top="0.75" bottom="0.75" header="0.3" footer="0.3"/>
      <autoFilter ref="BV2:BV6" xr:uid="{595BC8C5-831C-4B68-A7A8-EED68B45A455}"/>
    </customSheetView>
    <customSheetView guid="{23BCAA78-C6F6-4BE1-8096-9A37D3396017}" filter="1" showAutoFilter="1">
      <pageMargins left="0.7" right="0.7" top="0.75" bottom="0.75" header="0.3" footer="0.3"/>
      <autoFilter ref="EN2:EN3" xr:uid="{CF1D76B8-82B6-41CC-9351-F77C1D2617AC}"/>
    </customSheetView>
    <customSheetView guid="{F41D55D9-920B-4B8A-BFAA-E26245CE160A}" filter="1" showAutoFilter="1">
      <pageMargins left="0.7" right="0.7" top="0.75" bottom="0.75" header="0.3" footer="0.3"/>
      <autoFilter ref="CT2:CT3" xr:uid="{E7D928A5-A437-4D18-9CEA-77172AA81630}"/>
    </customSheetView>
    <customSheetView guid="{76C7779C-1E6A-4ECD-B83C-9A8CA52B3693}" filter="1" showAutoFilter="1">
      <pageMargins left="0.7" right="0.7" top="0.75" bottom="0.75" header="0.3" footer="0.3"/>
      <autoFilter ref="BR2:BR3" xr:uid="{68F0EA01-F9D2-4BC1-80DA-94F9CBF61705}"/>
    </customSheetView>
    <customSheetView guid="{35355830-B06E-40B4-A43B-3B4847F4202B}" filter="1" showAutoFilter="1">
      <pageMargins left="0.7" right="0.7" top="0.75" bottom="0.75" header="0.3" footer="0.3"/>
      <autoFilter ref="FD2:FD7" xr:uid="{EC3F040C-A98D-4660-9B5B-7FC259B44184}"/>
    </customSheetView>
    <customSheetView guid="{A52829F1-EF05-492A-897A-5B034A9E00A9}" filter="1" showAutoFilter="1">
      <pageMargins left="0.7" right="0.7" top="0.75" bottom="0.75" header="0.3" footer="0.3"/>
      <autoFilter ref="AX2:AY8" xr:uid="{6C2B4DEC-F85B-466A-A2F7-05E5AC7AFCCA}"/>
    </customSheetView>
    <customSheetView guid="{4F5EABD5-9768-4B31-A669-78F2B1190F8E}" filter="1" showAutoFilter="1">
      <pageMargins left="0.7" right="0.7" top="0.75" bottom="0.75" header="0.3" footer="0.3"/>
      <autoFilter ref="EJ2:EJ3" xr:uid="{96D55773-B2F0-4F6E-B8C7-87245C009BC5}"/>
    </customSheetView>
    <customSheetView guid="{FA5753BF-A108-4D4B-BEAC-3B1B523F93C0}" filter="1" showAutoFilter="1">
      <pageMargins left="0.7" right="0.7" top="0.75" bottom="0.75" header="0.3" footer="0.3"/>
      <autoFilter ref="AM2:AN148" xr:uid="{9FB0C313-19FE-4978-B1E9-43C07F4D72F4}"/>
    </customSheetView>
    <customSheetView guid="{19EE979D-ADE4-4219-8E3F-3433717D1EEF}" filter="1" showAutoFilter="1">
      <pageMargins left="0.7" right="0.7" top="0.75" bottom="0.75" header="0.3" footer="0.3"/>
      <autoFilter ref="CH2:CH7" xr:uid="{8ACDBAAB-E906-4E20-A3FF-463BA7656BCB}"/>
    </customSheetView>
    <customSheetView guid="{7351CE4F-8EFA-4EE9-92F3-4A6DE8867A6E}" filter="1" showAutoFilter="1">
      <pageMargins left="0.7" right="0.7" top="0.75" bottom="0.75" header="0.3" footer="0.3"/>
      <autoFilter ref="BT2:BT9" xr:uid="{71FB10E4-C22F-4B47-BC19-1601F29FA788}"/>
    </customSheetView>
    <customSheetView guid="{E289748E-E930-4125-8207-0B0164DB122A}" filter="1" showAutoFilter="1">
      <pageMargins left="0.7" right="0.7" top="0.75" bottom="0.75" header="0.3" footer="0.3"/>
      <autoFilter ref="BO2:BO7" xr:uid="{77F22C43-863F-41B6-A633-BBF9FF260BC5}"/>
    </customSheetView>
    <customSheetView guid="{4BC33E2F-DAE7-46FC-9195-3F09D55CB0FD}" filter="1" showAutoFilter="1">
      <pageMargins left="0.7" right="0.7" top="0.75" bottom="0.75" header="0.3" footer="0.3"/>
      <autoFilter ref="DJ2:DJ3" xr:uid="{09EB999E-333A-4FD1-9E53-4F62D7A75EBC}"/>
    </customSheetView>
    <customSheetView guid="{3EA79D85-5E6B-4A55-A257-E0346E2D105C}" filter="1" showAutoFilter="1">
      <pageMargins left="0.7" right="0.7" top="0.75" bottom="0.75" header="0.3" footer="0.3"/>
      <autoFilter ref="DL2:DL6" xr:uid="{1638C370-D17F-4EF3-A723-8318CB1128E7}"/>
    </customSheetView>
    <customSheetView guid="{D3508D49-A1B5-4BFF-931A-D7E86C77D7F6}" filter="1" showAutoFilter="1">
      <pageMargins left="0.7" right="0.7" top="0.75" bottom="0.75" header="0.3" footer="0.3"/>
      <autoFilter ref="FX2:FX3" xr:uid="{DD227038-B5A5-4DD8-9ADA-E06D11409326}"/>
    </customSheetView>
    <customSheetView guid="{5F9ABC1C-04CD-4AF3-B51A-B3652154F6FC}" filter="1" showAutoFilter="1">
      <pageMargins left="0.7" right="0.7" top="0.75" bottom="0.75" header="0.3" footer="0.3"/>
      <autoFilter ref="DB2:DB5" xr:uid="{DA55E06E-0214-46FC-8FDD-34714D54620A}"/>
    </customSheetView>
    <customSheetView guid="{06995EBC-9C31-411E-9EBF-7315C9D7463A}" filter="1" showAutoFilter="1">
      <pageMargins left="0.7" right="0.7" top="0.75" bottom="0.75" header="0.3" footer="0.3"/>
      <autoFilter ref="CX2:CX8" xr:uid="{E6F5CD69-F36C-4CFA-9A23-7E2E791BCF9A}"/>
    </customSheetView>
    <customSheetView guid="{C8BEB3DC-1432-44F3-B08B-11F5CFB759D2}" filter="1" showAutoFilter="1">
      <pageMargins left="0.7" right="0.7" top="0.75" bottom="0.75" header="0.3" footer="0.3"/>
      <autoFilter ref="ED2:ED5" xr:uid="{773AC823-29A6-47C8-A26B-0952CB08696E}"/>
    </customSheetView>
    <customSheetView guid="{88D865EC-C0AA-4489-A947-1DDE8B414CAF}" filter="1" showAutoFilter="1">
      <pageMargins left="0.7" right="0.7" top="0.75" bottom="0.75" header="0.3" footer="0.3"/>
      <autoFilter ref="FP2:FP6" xr:uid="{5BBB3915-7890-4CCB-B5BA-574F0A27B181}"/>
    </customSheetView>
    <customSheetView guid="{E07F3317-82B2-4CEF-BD2F-9D364F780F72}" filter="1" showAutoFilter="1">
      <pageMargins left="0.7" right="0.7" top="0.75" bottom="0.75" header="0.3" footer="0.3"/>
      <autoFilter ref="DP2:DP4" xr:uid="{C3FD4A48-0B39-4D35-8595-99F9612A7484}"/>
    </customSheetView>
  </customSheetViews>
  <dataValidations count="2">
    <dataValidation type="list" allowBlank="1" showErrorMessage="1" sqref="BM86" xr:uid="{00000000-0002-0000-0300-000000000000}">
      <formula1>INDIRECT(BR160)</formula1>
    </dataValidation>
    <dataValidation type="list" allowBlank="1" showErrorMessage="1" sqref="BR160" xr:uid="{00000000-0002-0000-0300-000001000000}">
      <formula1>$BR$152:$BR$153</formula1>
    </dataValidation>
  </dataValidations>
  <pageMargins left="0.7" right="0.7" top="0.75" bottom="0.75" header="0" footer="0"/>
  <pageSetup orientation="landscape"/>
  <tableParts count="7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MSC Lista Verific. Inspeccion</vt:lpstr>
      <vt:lpstr>ISOP</vt:lpstr>
      <vt:lpstr>ISOP2</vt:lpstr>
      <vt:lpstr>Sheet1</vt:lpstr>
      <vt:lpstr>Sheet1!data_supervision_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Elio Flores Herbas</cp:lastModifiedBy>
  <dcterms:modified xsi:type="dcterms:W3CDTF">2026-10-03T15:08:15Z</dcterms:modified>
</cp:coreProperties>
</file>