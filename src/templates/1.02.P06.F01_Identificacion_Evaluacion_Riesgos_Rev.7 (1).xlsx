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DE RIESGOS" sheetId="1" r:id="rId5"/>
    <sheet state="visible" name="PARÁMETROS" sheetId="2" r:id="rId6"/>
  </sheets>
  <definedNames>
    <definedName name="JC_MA">'PARÁMETROS'!$K$21:$K$26</definedName>
    <definedName name="FV_OP">'PARÁMETROS'!$BV$3:$BV$11</definedName>
    <definedName name="FR_G">'PARÁMETROS'!$BJ$3:$BJ$30</definedName>
    <definedName name="CC_G">'PARÁMETROS'!$L$47:$N$47</definedName>
    <definedName name="FR_L">'PARÁMETROS'!$AT$3:$AT$30</definedName>
    <definedName name="FA_MA">'PARÁMETROS'!$Z$3:$Z$46</definedName>
    <definedName name="FC_DS">'PARÁMETROS'!$BD$3:$BD$26</definedName>
    <definedName name="FR_FI">'PARÁMETROS'!$BZ$3:$BZ$30</definedName>
    <definedName name="FP_op">'PARÁMETROS'!$BP$3:$BP$10</definedName>
    <definedName name="Op_Sev">'PARÁMETROS'!$C$12:$C$16</definedName>
    <definedName name="CC_MA">'PARÁMETROS'!$L$20:$N$20</definedName>
    <definedName name="CC_OP">'PARÁMETROS'!$L$56:$N$56</definedName>
    <definedName name="FV_FI">'PARÁMETROS'!$CD$3:$CD$30</definedName>
    <definedName name="FC_SA">'PARÁMETROS'!$AN$3:$AN$30</definedName>
    <definedName name="FI_MA">'PARÁMETROS'!$AB$3:$AB$29</definedName>
    <definedName name="p_o">'PARÁMETROS'!$C$18:$C$22</definedName>
    <definedName name="FR_DS">'PARÁMETROS'!$BB$3:$BB$16</definedName>
    <definedName name="FP_SE">'PARÁMETROS'!$P$3:$P$45</definedName>
    <definedName name="FC_MA">'PARÁMETROS'!$AD$3:$AD$35</definedName>
    <definedName name="Oportunidad">'PARÁMETROS'!$D$12:$H$16</definedName>
    <definedName name="FC_SE">'PARÁMETROS'!$T$3:$T$19</definedName>
    <definedName name="FC_OP">'PARÁMETROS'!$BT$3:$BT$11</definedName>
    <definedName name="JC_DS">'PARÁMETROS'!$K$12:$K$17</definedName>
    <definedName name="FP_SA">'PARÁMETROS'!$AJ$3:$AJ$30</definedName>
    <definedName name="JC_G">'PARÁMETROS'!$K$48:$K$53</definedName>
    <definedName name="OP_prob">'PARÁMETROS'!$D$11:$H$11</definedName>
    <definedName name="FV_SE">'PARÁMETROS'!$V$3:$V$8</definedName>
    <definedName name="FC_G">'PARÁMETROS'!$BL$3:$BL$30</definedName>
    <definedName name="FP_DS">'PARÁMETROS'!$AZ$3:$AZ$24</definedName>
    <definedName name="FV_G">'PARÁMETROS'!$BN$3:$BN$30</definedName>
    <definedName name="FC_FI">'PARÁMETROS'!$CB$3:$CB$30</definedName>
    <definedName name="CC_FI">'PARÁMETROS'!$L$65:$N$65</definedName>
    <definedName name="FC_L">'PARÁMETROS'!$AV$3:$AV$30</definedName>
    <definedName name="FP_L">'PARÁMETROS'!$AR$3:$AR$30</definedName>
    <definedName name="FP_FI">'PARÁMETROS'!$BX$3:$BX$30</definedName>
    <definedName name="VS">'PARÁMETROS'!$X$3:$X$22</definedName>
    <definedName name="FV_MA">'PARÁMETROS'!$AF$3:$AF$12</definedName>
    <definedName name="FR_SA">'PARÁMETROS'!$AL$3:$AL$30</definedName>
    <definedName name="JC_L">'PARÁMETROS'!$K$39:$K$44</definedName>
    <definedName name="CC_L">'PARÁMETROS'!$L$38:$N$38</definedName>
    <definedName name="JC_SE">'PARÁMETROS'!$K$3:$K$8</definedName>
    <definedName name="FR_OP">'PARÁMETROS'!$BR$3:$BR$11</definedName>
    <definedName name="JC_SA">'PARÁMETROS'!$K$30:$K$35</definedName>
    <definedName name="FV_DS">'PARÁMETROS'!$BF$3:$BF$7</definedName>
    <definedName name="CC_DS">'PARÁMETROS'!$L$11:$N$11</definedName>
    <definedName name="FR_SE">'PARÁMETROS'!$R$3:$R$46</definedName>
    <definedName name="FV_SA">'PARÁMETROS'!$AP$3:$AP$30</definedName>
    <definedName name="JC_OP">'PARÁMETROS'!$K$57:$K$62</definedName>
    <definedName name="FP_G">'PARÁMETROS'!$BH$3:$BH$30</definedName>
    <definedName name="JC_FI">'PARÁMETROS'!$K$66:$K$71</definedName>
    <definedName name="CC_SA">'PARÁMETROS'!$L$29:$N$29</definedName>
    <definedName name="FV_L">'PARÁMETROS'!$AX$3:$AX$30</definedName>
    <definedName name="CC_SE">'PARÁMETROS'!$L$2:$N$2</definedName>
    <definedName name="VM">'PARÁMETROS'!$AH$3:$AH$12</definedName>
    <definedName hidden="1" localSheetId="0" name="_xlnm._FilterDatabase">'MATRIZ DE RIESGOS'!$A$9:$Y$778</definedName>
  </definedNames>
  <calcPr/>
</workbook>
</file>

<file path=xl/sharedStrings.xml><?xml version="1.0" encoding="utf-8"?>
<sst xmlns="http://schemas.openxmlformats.org/spreadsheetml/2006/main" count="1022" uniqueCount="415">
  <si>
    <t>C.  Probabilidad (A x B)</t>
  </si>
  <si>
    <t>Jerarquía del Control</t>
  </si>
  <si>
    <t>Calidad del Control</t>
  </si>
  <si>
    <t>A. Exposición</t>
  </si>
  <si>
    <t>Efectividad del Control</t>
  </si>
  <si>
    <t>C. Menor a 50%</t>
  </si>
  <si>
    <t>B. 50% y 80%</t>
  </si>
  <si>
    <t>A. Mayor 80%</t>
  </si>
  <si>
    <t>FAMILIA DE PELIGROS - SEGURIDAD</t>
  </si>
  <si>
    <t>FAMILIA DE RIESGOS - SEGURIDAD</t>
  </si>
  <si>
    <t>FAMILIA DE CONTROLES/ACCIONES - SEGURIDAD</t>
  </si>
  <si>
    <t>FAMILIA DE VERIFICADORES - SEGURIDAD</t>
  </si>
  <si>
    <t>Verificadores</t>
  </si>
  <si>
    <t>FAMILIA DE ASPECTOS - MEDIO AMBIENTE</t>
  </si>
  <si>
    <t>FAMILIA DE IMPACTOS - MEDIO AMBIENTE</t>
  </si>
  <si>
    <t>FAMILIA DE CONTROLES - MEDIO AMBIENTE</t>
  </si>
  <si>
    <t>FAMILIA DE VERIFICADORES - MEDIO AMBIENTE</t>
  </si>
  <si>
    <t>verificador  MA</t>
  </si>
  <si>
    <t>FAMILIA PELIGROS - SALUD</t>
  </si>
  <si>
    <t>FAMILIA RIESGOS - SALUD</t>
  </si>
  <si>
    <t>FAMILIA CONTROLES - SALUD</t>
  </si>
  <si>
    <t>FAMILIA DE VERIFICADORES - SALUD</t>
  </si>
  <si>
    <t>FAMILIA PELIGROS - LEGAL</t>
  </si>
  <si>
    <t>FAMILIA RIESGOS - LEGAL</t>
  </si>
  <si>
    <t>FAMILIA CONTROLES - LEGAL</t>
  </si>
  <si>
    <t>FAMILIA VERIFICADORES - LEGAL</t>
  </si>
  <si>
    <t>FAMILIA DE PELIGROS DSRC</t>
  </si>
  <si>
    <t>FAMILIA RIESGOS - DSRC</t>
  </si>
  <si>
    <t>FAMILIA CONTROLES - DSRC</t>
  </si>
  <si>
    <t>FAMILIA VERIFICADORES - DSRC</t>
  </si>
  <si>
    <t>FAMILIA DE PELIGROS RG</t>
  </si>
  <si>
    <t>FAMILIA RIESGOS - RG</t>
  </si>
  <si>
    <t>FAMILIA CONTROLES - RG</t>
  </si>
  <si>
    <t>FAMILIA VERIFICADORES - RG</t>
  </si>
  <si>
    <t>FAMILIA DE PELIGROS OPERACIONAL</t>
  </si>
  <si>
    <t>FAMILIA RIESGOS OPERACIONAL</t>
  </si>
  <si>
    <t>FAMILIA CONTROLES OPERACIONALES</t>
  </si>
  <si>
    <t>FAMILIA VERIFICADORES OPERACIONALES</t>
  </si>
  <si>
    <t>FAMILIA DE PELIGROS - FINANCIEROS</t>
  </si>
  <si>
    <t>FAMILIA RIESGOS FINANCIEROS</t>
  </si>
  <si>
    <t>FAMILIA CONTROLES FINANCIEROS</t>
  </si>
  <si>
    <t>FAMILIA VERIFICADORES FINANCIEROS</t>
  </si>
  <si>
    <t>B. Posibilidad</t>
  </si>
  <si>
    <t>IDENTIFICACIÓN, EVALUACIÓN DE RIESGOS</t>
  </si>
  <si>
    <t>6. Eliminación</t>
  </si>
  <si>
    <t>Control/Acción Satisfactorio</t>
  </si>
  <si>
    <t>Control/Acción Eficaz</t>
  </si>
  <si>
    <t>Agentes Biológicos (animales, insectos, bacterias, virus, etc.)</t>
  </si>
  <si>
    <t xml:space="preserve">Aplastamiento </t>
  </si>
  <si>
    <t>1.02.P06.F01</t>
  </si>
  <si>
    <t>Eliminación</t>
  </si>
  <si>
    <t>Planilla de vigencia de Autorizaciones, Permisos y Licencias (Gubernamentales, legales, normativos)</t>
  </si>
  <si>
    <t>Seguimiento a la Planilla de vigencia de cursos, autorizaciones, competencias y/o certificaciones de personas y equipos</t>
  </si>
  <si>
    <t>Cambio de uso de suelo natural por actividad industrial, cultivos u otros</t>
  </si>
  <si>
    <t>Agotamiento del recurso mineral/ reservas y recursos geológicos</t>
  </si>
  <si>
    <t>Revisión. 7</t>
  </si>
  <si>
    <t>Eliminación del proceso</t>
  </si>
  <si>
    <t>Acreditaciones</t>
  </si>
  <si>
    <t>A</t>
  </si>
  <si>
    <t>AA</t>
  </si>
  <si>
    <t>LEGAL</t>
  </si>
  <si>
    <t>INTERNA</t>
  </si>
  <si>
    <t>Agotamiento de agua de pozos</t>
  </si>
  <si>
    <t>Bloqueos/Marchas/Amenazas/Demandas Sociales</t>
  </si>
  <si>
    <t>RC.3.1.1. Fortalecer la cadena productiva de Quinua en  comunidades del área de intervención en coordinación con el Consejo  Consultivo mediante  alianzas estratégicas</t>
  </si>
  <si>
    <t xml:space="preserve"> </t>
  </si>
  <si>
    <t>Publicación de indicadores</t>
  </si>
  <si>
    <t>RELACIONALES GUBERNAMENTALES</t>
  </si>
  <si>
    <t>Conflictos sociales</t>
  </si>
  <si>
    <t>Daño a la propiedad pública o privada</t>
  </si>
  <si>
    <t>Alarmas / señales / advertencias</t>
  </si>
  <si>
    <t>Verificadores Operacionales</t>
  </si>
  <si>
    <t>financiero</t>
  </si>
  <si>
    <t>Gerencia:</t>
  </si>
  <si>
    <t>5. Sustitución/ Minimización</t>
  </si>
  <si>
    <t>Elaborado por:</t>
  </si>
  <si>
    <t>Agentes Físicos (iluminación excesiva/baja/inadecuada o sin iluminación)</t>
  </si>
  <si>
    <t>Arco eléctrico</t>
  </si>
  <si>
    <t>Sustitución</t>
  </si>
  <si>
    <t>Planillas de vigencia de Certificaciones / Competencias/ Capacitaciones</t>
  </si>
  <si>
    <t>Revisado y Aprobado por:</t>
  </si>
  <si>
    <t>Seguimiento al programa de reuniones y evaluaciones de compromiso con la seguridad</t>
  </si>
  <si>
    <t>Consumo de agua de vertientes para fines humanos y pecuarios/ agua potable, abrevaderos y riego</t>
  </si>
  <si>
    <t>Alteración del clima por cambios climáticos/ efecto invernadero</t>
  </si>
  <si>
    <t>Eliminación sustancia peligrosa del proceso</t>
  </si>
  <si>
    <t>Certificaciones</t>
  </si>
  <si>
    <t>salud</t>
  </si>
  <si>
    <t>Superintendencia:</t>
  </si>
  <si>
    <t>SALUD</t>
  </si>
  <si>
    <t>Agua para ganado</t>
  </si>
  <si>
    <t>Cierre de Proyectos de Desarrollo</t>
  </si>
  <si>
    <t>Área/Departamento:</t>
  </si>
  <si>
    <t>RC.3.1.2. Fortalecer la cadena productiva de Camélidos en  comunidades del área de intervención en coordinación con el Consejo  Consultivo y las alianzas estratégicas</t>
  </si>
  <si>
    <t>Planes y/o Programas</t>
  </si>
  <si>
    <t>Fecha:</t>
  </si>
  <si>
    <t>Condiciones climatológicas</t>
  </si>
  <si>
    <t>Fallas en sistema mecanizado de embarque / Infraestructura de atraque</t>
  </si>
  <si>
    <t>Inspecciones</t>
  </si>
  <si>
    <t>Publicación de Indicadores</t>
  </si>
  <si>
    <t>4. Ingeniería</t>
  </si>
  <si>
    <t>Control/Acción No Eficaz</t>
  </si>
  <si>
    <t>Agentes Físicos (radiación)</t>
  </si>
  <si>
    <t>Asfixia / Ahogamiento</t>
  </si>
  <si>
    <t xml:space="preserve">N° </t>
  </si>
  <si>
    <t>Controles de Ingeniería</t>
  </si>
  <si>
    <t>Matriz de Requisitos Legales</t>
  </si>
  <si>
    <t>Seguimiento al programa de difusión de instructivos y capacitaciones internas</t>
  </si>
  <si>
    <t>Consumo de agua subterránea para procesos industriales/ campo de pozos</t>
  </si>
  <si>
    <t>Área / Proceso / Alcance</t>
  </si>
  <si>
    <t>Contaminación de aguas por derrame de sustancias peligrosas</t>
  </si>
  <si>
    <t>Cambio de disposición de residuos peligrosos</t>
  </si>
  <si>
    <t>Confiabilidad de mediciones de factores ambientales/equipos certificados</t>
  </si>
  <si>
    <t>Seguimiento al programa de Inspecciones Interno</t>
  </si>
  <si>
    <t>Actividad / Tarea / Grupo de Interés</t>
  </si>
  <si>
    <t>Condición Normal, Anormal, Emergencia o Factor</t>
  </si>
  <si>
    <t xml:space="preserve">Seguridad, Salud, Medio Ambiente, Legal, Responsabilidad Social, Otro </t>
  </si>
  <si>
    <t>Familia
Peligro/ Aspecto / Evento</t>
  </si>
  <si>
    <t>Descripción 
Peligro / Aspecto / Evento</t>
  </si>
  <si>
    <t xml:space="preserve">Agua por gravedad </t>
  </si>
  <si>
    <t>Familia
Riesgo / Impacto / Consecuencia</t>
  </si>
  <si>
    <t>Confrontaciones Sociales</t>
  </si>
  <si>
    <t>RC.3.1.3. Fortalecer la cadena productiva de Turismo en  comunidades del área de intervención en coordinación con el Consejo Consultivo mediante alianzas estratégicas.</t>
  </si>
  <si>
    <t>Descripción
Riesgo / Impacto / Coonsecuencia</t>
  </si>
  <si>
    <t>RIESGO / IMPACTO</t>
  </si>
  <si>
    <t>Transferencia de concentrados en PdM</t>
  </si>
  <si>
    <t>Familia de Controles</t>
  </si>
  <si>
    <t>Efecto negativo sobre la estabilidad física de taludes</t>
  </si>
  <si>
    <t>Control de emergencias</t>
  </si>
  <si>
    <t>Medidas de Prevención, Control y Mitigación</t>
  </si>
  <si>
    <t>Familia de Verificadores</t>
  </si>
  <si>
    <t>Jerarquía de Control</t>
  </si>
  <si>
    <t>Eficacia del Control / Acción</t>
  </si>
  <si>
    <t>Nivel de Riesgo / Impacto
Actual</t>
  </si>
  <si>
    <t>3. Señalización/ Advertencias/ Alarma</t>
  </si>
  <si>
    <t>Incidentes Ocurridos</t>
  </si>
  <si>
    <t>Agentes Físicos (ruido)</t>
  </si>
  <si>
    <t>Trazabilidad / Historial / Observaciones
Actual</t>
  </si>
  <si>
    <t>Atrapamiento (entre objetos, por deslizamientos)</t>
  </si>
  <si>
    <t>Controles Ergonómicos</t>
  </si>
  <si>
    <t>Planes / Programas</t>
  </si>
  <si>
    <t xml:space="preserve">Consumo de aguas superficiales para fines agropecuarios/ abrevaderos y riego </t>
  </si>
  <si>
    <t>Contaminación de suelo por derrame de sustancias peligrosas</t>
  </si>
  <si>
    <t>Reemplazo de reactivos químicos de menor impacto</t>
  </si>
  <si>
    <t>Informes con indicadores y verificadores ambientales</t>
  </si>
  <si>
    <t>Exposición</t>
  </si>
  <si>
    <t>Posibilidad</t>
  </si>
  <si>
    <t>Probabilidad (R/I)</t>
  </si>
  <si>
    <t>Severidad</t>
  </si>
  <si>
    <t>Resultado de Evaluación Riesgo / Iimpacto</t>
  </si>
  <si>
    <t>Nivel de Riesgo / Iimpacto Inicial  
Puro</t>
  </si>
  <si>
    <t xml:space="preserve">Cantidad y calidad de agua </t>
  </si>
  <si>
    <t>Denuncias</t>
  </si>
  <si>
    <t>RC.3.1.4. Fortalecer la Educación regular,  alternativa  y superior en el área de intervención en coordinación con el Consejo Consultivo y las alianzas estratégicas</t>
  </si>
  <si>
    <t>Extracción de recursos naturales renovables/ agregados para construcciones</t>
  </si>
  <si>
    <t>Pérdida del patrimonio cultural/ arqueología</t>
  </si>
  <si>
    <t>Instrucción operacional</t>
  </si>
  <si>
    <t>Acreditaciones, Certificaciones, Permisos normativos</t>
  </si>
  <si>
    <t>2. Administrativo/ Procedimientos/ Capacitación</t>
  </si>
  <si>
    <t>Agentes Físicos (ventilación)</t>
  </si>
  <si>
    <t>Atropello</t>
  </si>
  <si>
    <t>Normal</t>
  </si>
  <si>
    <t>Controles de Salud Ocupacional</t>
  </si>
  <si>
    <t>Seguimiento al programa de inspecciones ISOP</t>
  </si>
  <si>
    <t>Consumo de energía eléctrica</t>
  </si>
  <si>
    <t>Contaminación del aire por gases orgánicos persistentes</t>
  </si>
  <si>
    <t>Tecnología para disminuir consumo de agua natural/ recirculación</t>
  </si>
  <si>
    <t>Matriz de Requisitos Legales ambientales en áreas operativas/soporte</t>
  </si>
  <si>
    <t>Seguridad</t>
  </si>
  <si>
    <t>Cierre de la mina</t>
  </si>
  <si>
    <t>Perdida de Licencia Social para Operar de MSC</t>
  </si>
  <si>
    <t>RC.3.1.5. Fortalecer el funcionamiento  de centro Integral de salud de San Cristóbal  y la red de salud Municipal, en coordinación con el Consejo consultivo y  alianzas estratégicas.</t>
  </si>
  <si>
    <t>Remoción de lugares de patrimonio social de la comunidad</t>
  </si>
  <si>
    <t>Baja en el movimiento de mineral en los frentes de carguío</t>
  </si>
  <si>
    <t>Control de ingeniería</t>
  </si>
  <si>
    <t>1. EPP</t>
  </si>
  <si>
    <t>Agentes Físicos (vibración)</t>
  </si>
  <si>
    <t>Caída a distinto nivel (Menor a 1,80)</t>
  </si>
  <si>
    <t>Controles Sanitarios</t>
  </si>
  <si>
    <t>Seguimiento al programa de inspecciones IRO´S: Aislamiento</t>
  </si>
  <si>
    <t>Consumo de recursos naturales no renovables/ hidrocarburos fósiles: petróleo y gas natural</t>
  </si>
  <si>
    <t>Mejora en la eficiencia del proceso/ optimización en uso de recursos naturales no renovables</t>
  </si>
  <si>
    <t>Permisos normativos</t>
  </si>
  <si>
    <t>Seguimiento al programa de inspecciones IRO´S: Sustancias Peligrosas</t>
  </si>
  <si>
    <t>Conflicto políticas sociales externas a MSC</t>
  </si>
  <si>
    <t>Perdidas económicas para Comunidades</t>
  </si>
  <si>
    <t>RC.4.1.2. Realizar el  manejo de quejas / preocupaciones  y riesgos sociales de los grupos de interés del área de influencia de MSC</t>
  </si>
  <si>
    <t>Disponibilidad, utilización</t>
  </si>
  <si>
    <t xml:space="preserve">Falta de continuidad en el movimiento de camiones </t>
  </si>
  <si>
    <t>Procedimientos / Instructivos / Reglamentos y otros.</t>
  </si>
  <si>
    <t>Agentes Químicos (gases, vapores, aerosoles, etc.)</t>
  </si>
  <si>
    <t>Caída al mismo nivel</t>
  </si>
  <si>
    <t>Autorizaciones, Permisos y Licencias (Gubernamentales, legales, normativos)</t>
  </si>
  <si>
    <t>Seguimiento al programa de inspecciones IRO´S: Izaje</t>
  </si>
  <si>
    <t>Derrame  de residuos peligrosos/ empetrolados, relaves de colas, lodos sépticos, otros</t>
  </si>
  <si>
    <t>Degradación de la calidad de agua subterránea por aguas de proceso</t>
  </si>
  <si>
    <t>Revegetación y rehabilitación de áreas perturbadas</t>
  </si>
  <si>
    <t xml:space="preserve">Planes y programas </t>
  </si>
  <si>
    <t>Seguimiento al programa de mantenimientos de equipos/ vehículos</t>
  </si>
  <si>
    <t>Hospital 2do Nivel</t>
  </si>
  <si>
    <t>Perdidas económicas para MSC</t>
  </si>
  <si>
    <t xml:space="preserve">RC.4.1.3. Desarrollar estudios socio económicos en las comunidades de influencia directa para la gestión social </t>
  </si>
  <si>
    <t>Operación Planta</t>
  </si>
  <si>
    <t>Falta de movimiento de mineral en frentes de carguío planificados</t>
  </si>
  <si>
    <t>oportunidad</t>
  </si>
  <si>
    <t>Jerarquía del Control - DSRC</t>
  </si>
  <si>
    <t>Calidad del Control-DSRC</t>
  </si>
  <si>
    <t>Almacenamiento inadecuado de materiales, herramientas, etc. (en depósitos, estantes, etc.)</t>
  </si>
  <si>
    <t>Caída de altura (Igual o Mayor a 1,80)</t>
  </si>
  <si>
    <t xml:space="preserve">Seguimiento al programa de inspecciones IRO´S: Sustancias Peligrosas </t>
  </si>
  <si>
    <t>Derrame de aguas de proceso/ aguas de colas, aguas de piscina de emergencia</t>
  </si>
  <si>
    <t>Degradación de la calidad de cuerpos de agua superficial por descargas</t>
  </si>
  <si>
    <t>Uso de geomembrana como aislante para prevención</t>
  </si>
  <si>
    <t>Planillas de vigencia</t>
  </si>
  <si>
    <t>Seguimiento y publicación de reportes de velocidades</t>
  </si>
  <si>
    <t>Inapropiación del Desarrollo Económico Local por parte de las comunidades</t>
  </si>
  <si>
    <t>Preocupaciones/Quejas/Determinación de las Comunidades/Inspecciones/Fiscalizaciones</t>
  </si>
  <si>
    <t>RC.4.2.1. Monitorear el cumplimiento de los acuerdos y convenios entre empresa, comunidades y otras organizaciones.</t>
  </si>
  <si>
    <t>Disponibilidad</t>
  </si>
  <si>
    <t xml:space="preserve">Baja en la alimentación de mineral </t>
  </si>
  <si>
    <t>prob</t>
  </si>
  <si>
    <t>Área de trabajo reducida, congestionada, acceso difícil o inadecuado</t>
  </si>
  <si>
    <t>Caída de objetos / materiales/roca</t>
  </si>
  <si>
    <t>Competencias</t>
  </si>
  <si>
    <t>Seguimiento al programa de inspecciones IRO´S: Taludes Frentes de Carguío Banquinas</t>
  </si>
  <si>
    <t>Derrame de concentrados de minerales</t>
  </si>
  <si>
    <t>Degradación de la flora natural</t>
  </si>
  <si>
    <t>Riego de caminos para reducir emisión de polvo</t>
  </si>
  <si>
    <t>Seguimiento y publicación de reportes/informes e indicadores internos</t>
  </si>
  <si>
    <t>Operación Wila Khara Deposito de Colas</t>
  </si>
  <si>
    <t>RC.4.2.2. Mitigar los impactos  socio económicos ocasionados por las operaciones de MSC  en las comunidades de San Cristóbal, Culpina K</t>
  </si>
  <si>
    <t>Baja en el tratamiento de mineral</t>
  </si>
  <si>
    <t>Altamente Implementable</t>
  </si>
  <si>
    <t>Implementable</t>
  </si>
  <si>
    <t>Implementable con Revisión</t>
  </si>
  <si>
    <t>No Recomendable su Implementación</t>
  </si>
  <si>
    <t>6. Acuerdos estratégicos/Convenios estratégicos</t>
  </si>
  <si>
    <t>Áreas de trabajo con desniveles o gradas</t>
  </si>
  <si>
    <t>Choque eléctrico</t>
  </si>
  <si>
    <t>Controles/Acciones de Emergencias</t>
  </si>
  <si>
    <t xml:space="preserve">Seguimiento al programa de inspecciones IRO´S: Trabajo Eléctrico - Actos </t>
  </si>
  <si>
    <t>Derrame de hidrocarburos/ lubricantes y combustibles</t>
  </si>
  <si>
    <t>Degradación del paisaje natural</t>
  </si>
  <si>
    <t>Uso de cobertor para reducir emisión de polvo</t>
  </si>
  <si>
    <t>Verificadores operacionales</t>
  </si>
  <si>
    <t xml:space="preserve">Seguimiento al programa de monitoreo y análisis de factores ambientales </t>
  </si>
  <si>
    <t>Pasivos ambientales generados por MSC</t>
  </si>
  <si>
    <t>RC.4.2.3. Fortalecer la administración y operaciones de los servicios básicos en las comunidades San Cristóbal y Culpina K</t>
  </si>
  <si>
    <t>5. Acuerdos específicos/Convenios específicos</t>
  </si>
  <si>
    <t>Condiciones climatológicas adversas (tormenta eléctrica, viento, nieve, lluvia, rayos UV, etc.)</t>
  </si>
  <si>
    <t>Colisión / Choque</t>
  </si>
  <si>
    <t>Capacitación/Entrenamiento</t>
  </si>
  <si>
    <t>Seguimiento al programa de inspecciones IRO´S: Trabajo Eléctrico - Condiciones</t>
  </si>
  <si>
    <t>Derrame de sustancias peligrosas/ reactivos químicos y otros insumos industriales</t>
  </si>
  <si>
    <t>Degradación o alteración de la fauna silvestre</t>
  </si>
  <si>
    <t>Uso de barreras - diques para aguas de contacto</t>
  </si>
  <si>
    <t xml:space="preserve">Reducción de nivel freático en Campo de Pozos </t>
  </si>
  <si>
    <t>RC.4.2.4.Apoyar en la atención a los diferente grupos sociales de las comunidades del área de influencia directa de MSC.</t>
  </si>
  <si>
    <t>4. Planes estratégicos</t>
  </si>
  <si>
    <t>Desorden y falta de limpieza</t>
  </si>
  <si>
    <t>Contacto con herramientas, objetos cortantes y/o punzantes (corte o incrustación)</t>
  </si>
  <si>
    <t>Instrucción Operacional</t>
  </si>
  <si>
    <t xml:space="preserve">Seguimiento al programa de inspecciones IRO´S: Trabajo en Altura </t>
  </si>
  <si>
    <t>Descarga de aguas pluviales de área de mina, planta, campamento y otros</t>
  </si>
  <si>
    <t>Disminución de agua subterránea/descenso del nivel freático</t>
  </si>
  <si>
    <t>Mejora tecnológica - diseños de ingeniería</t>
  </si>
  <si>
    <t>RC.4.3.2.Apoyar  la gestión del Uso Racional del agua en comunidades del área de influencia de MSC</t>
  </si>
  <si>
    <t>No Implementable</t>
  </si>
  <si>
    <t>3. Intervenciones directas</t>
  </si>
  <si>
    <t>Energía almacenada que puede liberarse repentinamente</t>
  </si>
  <si>
    <t>Contacto con superficies/partículas/objetos calientes</t>
  </si>
  <si>
    <t>Seguimiento al programa de inspecciones IRO´S: Trabajo en Espacios Confinados</t>
  </si>
  <si>
    <t>Descarga de aguas residuales de lavado de vehículos (Truck shop, Toldos)</t>
  </si>
  <si>
    <t>Disminución de nutrientes del suelo/ pérdida de calidad del suelo</t>
  </si>
  <si>
    <t>Tratamiento de aguas residuales/ físico, químico, biológico</t>
  </si>
  <si>
    <t>RC.4.4.1. Mantener contactos permanentes con los grupos de interés  del área de influencia directa</t>
  </si>
  <si>
    <t>2. Reuniones formales</t>
  </si>
  <si>
    <t>Equipo con partes / elementos en movimiento</t>
  </si>
  <si>
    <t>Contacto por proyección de materiales, partículas, objetos, etc.</t>
  </si>
  <si>
    <t xml:space="preserve">Seguimiento al programa de inspecciones IRO´S: Trabajo en Excavaciones </t>
  </si>
  <si>
    <t>Descarga de aguas residuales de tratamiento de aguas servidas/ campamento, cocina</t>
  </si>
  <si>
    <t>Disminución de recursos naturales no renovables / hidrocarburos fósiles</t>
  </si>
  <si>
    <t>Mantenimiento preventivo de equipos- vehículos</t>
  </si>
  <si>
    <t xml:space="preserve">RC.4.4.3. Mantener contactos permanentes con los grupos de interés  de Desarrollo Socio Económico. </t>
  </si>
  <si>
    <t>1. Relacionamientos</t>
  </si>
  <si>
    <t xml:space="preserve">Equipo o línea energizada </t>
  </si>
  <si>
    <t>Contacto por proyección de rocas o fragmentos de rocas volantes</t>
  </si>
  <si>
    <t>Señales/ Advertencias/ Alarmas</t>
  </si>
  <si>
    <t>Seguimiento al programa de inspecciones IRO´S: Trabajos en Caliente</t>
  </si>
  <si>
    <t>Descarga de colas de la planta</t>
  </si>
  <si>
    <t>Efecto de degradación de la calidad del aire</t>
  </si>
  <si>
    <t>Inspecciones planificadas y no planificadas</t>
  </si>
  <si>
    <t>RC.4.4.5. Atender oportunamente las solicitudes provenientes de las comunidades, la región y Potosí.</t>
  </si>
  <si>
    <t>Estructuras a baja altura o con partes salientes</t>
  </si>
  <si>
    <t>Deslizamiento / Desprendimiento</t>
  </si>
  <si>
    <t>E.P.P.</t>
  </si>
  <si>
    <t>Descarga de efluentes de área de mina</t>
  </si>
  <si>
    <t>Verificación de velocidad de vehículos</t>
  </si>
  <si>
    <t>Jerarquía del Control - M.A.</t>
  </si>
  <si>
    <t>Calidad del Control-Medio Ambiente</t>
  </si>
  <si>
    <t>Gases comprimidos (transporte, uso, manipulación botellones)</t>
  </si>
  <si>
    <t>Desmoronamiento</t>
  </si>
  <si>
    <t>Emanación de olores</t>
  </si>
  <si>
    <t>Efecto negativo sobre la salud humana</t>
  </si>
  <si>
    <t>Simulacros de emergencia (Derrame)</t>
  </si>
  <si>
    <t>Inestabilidad de taludes / terrenos</t>
  </si>
  <si>
    <t>Encandilamiento</t>
  </si>
  <si>
    <t>Seguimiento y publicación de reporte STOP o Seguimiento y publicación de reporte de observaciones conductuales</t>
  </si>
  <si>
    <t xml:space="preserve">Emisión de gases de fuentes fijas/ incinerador, laboratorios, talleres y otros </t>
  </si>
  <si>
    <t>Efectos fisiológicos sobre la salud humana</t>
  </si>
  <si>
    <t>Hojas de seguridad de sustancias peligrosas</t>
  </si>
  <si>
    <t>Izaje mecanizado de materiales / cargas suspendidas</t>
  </si>
  <si>
    <t>Estrés térmico, Exposición a ambientes fríos o calurosos</t>
  </si>
  <si>
    <t>Seguimiento a los programas preventivos y de control en salud</t>
  </si>
  <si>
    <t>Emisión de gases de fuentes móviles/ vehículos</t>
  </si>
  <si>
    <t>Pérdida de biodiversidad en áreas protegidas o restringidas</t>
  </si>
  <si>
    <t>Autorización por instancia competente - sustancias peligrosas</t>
  </si>
  <si>
    <t>Manejo Manual de Carga / materiales</t>
  </si>
  <si>
    <t>Explosión</t>
  </si>
  <si>
    <t>Emisión de sustancias agotadores de la capa de ozono/ sistemas de refrigeración</t>
  </si>
  <si>
    <t>Pérdida de la cobertura vegetal</t>
  </si>
  <si>
    <t>Señalización de  sustancias  y residuos peligrosos</t>
  </si>
  <si>
    <t>Manejo Mecanizado de Materiales</t>
  </si>
  <si>
    <t>Exposición a Agentes biológicos</t>
  </si>
  <si>
    <t>Extracción de recursos naturales no renovables/ minerales</t>
  </si>
  <si>
    <t>Higienización</t>
  </si>
  <si>
    <t>Manipulación/uso de herramientas, instrumentos, objetos (cortantes, punzantes, calientes, pesados, sin Verificación / Calibración, etc.)</t>
  </si>
  <si>
    <t>Exposición a Ambiente con Deficiencia de Oxígeno (Sofocación)</t>
  </si>
  <si>
    <t>Efecto invernadero cambio climático</t>
  </si>
  <si>
    <t>Involucramiento del supervisor a través de inspecciones internas y otros</t>
  </si>
  <si>
    <t>Piscinas, tazones, tanques o estanques sin protección</t>
  </si>
  <si>
    <t>Exposición a Ambiente/Atmósfera Peligrosa/Contaminada</t>
  </si>
  <si>
    <t>Generación de polvo</t>
  </si>
  <si>
    <t>Efectos a la biota</t>
  </si>
  <si>
    <t>Presencia de polvo, material particulado, humo o gas</t>
  </si>
  <si>
    <t>Exposición a Atmósfera Explosiva</t>
  </si>
  <si>
    <t>Generación de residuos sólidos convencionales, orgánicos e industriales</t>
  </si>
  <si>
    <t>Efectos a la biota de suelo y fauna</t>
  </si>
  <si>
    <t>Control de emergencias ambientales</t>
  </si>
  <si>
    <t>Proyección de fragmentos de roca, materiales, partículas</t>
  </si>
  <si>
    <t>Exposición a Atmósfera Inflamable</t>
  </si>
  <si>
    <t>Generación de ruido</t>
  </si>
  <si>
    <t>Erosión al suelo, efecto a la calidad del suelo natural</t>
  </si>
  <si>
    <t>Instructivos, procedimientos operacionales</t>
  </si>
  <si>
    <t>Jerarquía del Control - Salud</t>
  </si>
  <si>
    <t>Calidad del Control-Salud</t>
  </si>
  <si>
    <t>Psicosociales (Acoso, mobbing)</t>
  </si>
  <si>
    <t>Exposición a Condiciones Ergonómicas Ambientales / de Diseño del Puesto de Trabajo</t>
  </si>
  <si>
    <t>Generación y disposición de residuos hospitalarios</t>
  </si>
  <si>
    <t>Pérdida de recursos culturales</t>
  </si>
  <si>
    <t>Instructivos generales y específicos</t>
  </si>
  <si>
    <t>Remoción y limpieza de materiales acumulados</t>
  </si>
  <si>
    <t>Exposición a Humos Metálicos</t>
  </si>
  <si>
    <t>Generación y disposición de residuos minero-metalúrgicos</t>
  </si>
  <si>
    <t xml:space="preserve">Riesgos de derrames y efecto al suelo y aguas </t>
  </si>
  <si>
    <t>Capacitación en manejo del proceso, sustancias, residuos y otros</t>
  </si>
  <si>
    <t>Superficie Irregular, con obstrucciones, desnivelada, resbaladiza, congelada y/o blanda</t>
  </si>
  <si>
    <t>Exposición a Material Particulado</t>
  </si>
  <si>
    <t>Generación y disposición de residuos peligrosos</t>
  </si>
  <si>
    <t>Competencia para ejercer cargo</t>
  </si>
  <si>
    <t>Superficies / partículas calientes</t>
  </si>
  <si>
    <t>Exposición a Ondas Expansivas</t>
  </si>
  <si>
    <t>Incineración de residuos hospitalarios</t>
  </si>
  <si>
    <t>Sustancias peligrosas (transporte, uso, manipulación)</t>
  </si>
  <si>
    <t>Exposición a Radiaciones Ionizantes / No ionizantes / UV</t>
  </si>
  <si>
    <t>Manejo y consumo de sustancias peligrosas</t>
  </si>
  <si>
    <t>Capacitación manejo del proceso, sustancias, residuos y otros</t>
  </si>
  <si>
    <t>Trabajo / circulación de equipo/vehículo (pesado / liviano)</t>
  </si>
  <si>
    <t>Exposición a Ruido</t>
  </si>
  <si>
    <t>Remoción y manejo de top soil</t>
  </si>
  <si>
    <t>Trabajo en altura, sobre plataformas elevadas, escaleras, andamios, rampas o pisos sin barreras de protección (barandas o barreras rígidas).</t>
  </si>
  <si>
    <t>Exposición a Sustancias Peligrosas</t>
  </si>
  <si>
    <t xml:space="preserve">Revegetación con especies introducidas </t>
  </si>
  <si>
    <t>Planes de manejo de recursos naturales, riego, polvo, revegetación</t>
  </si>
  <si>
    <t>Trabajo en caliente (soldadura, corte, desbaste) torchado, arco eléctrico, amolado, esmerilado, oxicorte, oxiflama, etc.</t>
  </si>
  <si>
    <t>Exposición a Vibración</t>
  </si>
  <si>
    <t>Topografía y paisaje natural</t>
  </si>
  <si>
    <t>Trabajo en Espacios Confinados (Clase I o II)</t>
  </si>
  <si>
    <t>Exposición a factores Psicosociales / Tensiones Mentales, Físicas o Fisiológicas</t>
  </si>
  <si>
    <t xml:space="preserve">Uso de áreas protegidas o de recursos arqueológicos </t>
  </si>
  <si>
    <t>Jerarquía del Control - Legal</t>
  </si>
  <si>
    <t>Calidad del Control-Legal</t>
  </si>
  <si>
    <t>Trabajo en excavación (zanjas, aperturas, perforaciones, todo trabajo dentro una excavación)</t>
  </si>
  <si>
    <t>Golpeado contra</t>
  </si>
  <si>
    <t>Gestión de lubricantes</t>
  </si>
  <si>
    <t>Trabajos en cercanía de líneas eléctricas energizadas, tableros eléctricos, etc.</t>
  </si>
  <si>
    <t>Golpeado por</t>
  </si>
  <si>
    <t>Gestión de sustancias peligrosas</t>
  </si>
  <si>
    <t>Trabajos en cercanías de taludes o botaderos</t>
  </si>
  <si>
    <t>Incendio</t>
  </si>
  <si>
    <t>Tránsito de peatones en áreas de circulación vehicular o de equipos</t>
  </si>
  <si>
    <t>Inmersión</t>
  </si>
  <si>
    <t>Incineración de residuos sólidos</t>
  </si>
  <si>
    <t>Transporte de carga en movilidad o equipo móvil</t>
  </si>
  <si>
    <t>Liberación de energía peligrosa (hidráulica, neumática, eléctrica, radioactiva, etc.)</t>
  </si>
  <si>
    <t xml:space="preserve">Intervención a lugares arqueológicos </t>
  </si>
  <si>
    <t>Transporte, manipulación o uso de explosivos</t>
  </si>
  <si>
    <t>Sobre esfuerzo</t>
  </si>
  <si>
    <t>Lixiviación de residuos sólidos</t>
  </si>
  <si>
    <t>Variables ergonómicas (movimientos repetitivos, posiciones incómodas, fatiga, estrés, sobre carga de trabajo, etc.)</t>
  </si>
  <si>
    <t>Tropezón</t>
  </si>
  <si>
    <t>Otros</t>
  </si>
  <si>
    <t>Vuelco</t>
  </si>
  <si>
    <t>Remoción de la capa vegetal del suelo-top soil</t>
  </si>
  <si>
    <t>N/A</t>
  </si>
  <si>
    <t>Jerarquía del Control - Rel. G</t>
  </si>
  <si>
    <t>Calidad del Control-Relaciones Gubernamentales</t>
  </si>
  <si>
    <t>Remoción de lugares propios de la fauna silvestre</t>
  </si>
  <si>
    <t>Jerarquía del Control - OPERACIONALES</t>
  </si>
  <si>
    <t>Calidad del Control-OPERACIONALES</t>
  </si>
  <si>
    <t>Jerarquía del Control - FINANCIEROS</t>
  </si>
  <si>
    <t>Calidad del Control-FINANCIEROS</t>
  </si>
  <si>
    <t>PLANIFICACIÓN E INFORME DE INDICADORES GESTIÓN 2020 RRCC</t>
  </si>
  <si>
    <t>PLANIFICACIÓN E INFORME DE INDICADORES GESTIÓN 2020 CS</t>
  </si>
  <si>
    <t>PLANIFICACIÓN E INFORME DE INDICADORES GESTIÓN 2020 DS</t>
  </si>
  <si>
    <t xml:space="preserve">Recibir información constante de medios de comunicación y del grupo de enlaces comunitarios </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</si>
</sst>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1.0"/>
      <color theme="1"/>
      <name val="Calibri"/>
    </font>
    <font>
      <sz val="11.0"/>
      <color theme="0"/>
      <name val="Calibri"/>
    </font>
    <font/>
    <font>
      <b/>
      <sz val="11.0"/>
      <color theme="1"/>
      <name val="Calibri"/>
    </font>
    <font>
      <sz val="10.0"/>
      <color theme="1"/>
      <name val="Calibri"/>
    </font>
    <font>
      <sz val="9.0"/>
      <color rgb="FF000000"/>
      <name val="Calibri"/>
    </font>
    <font>
      <sz val="9.0"/>
      <color theme="1"/>
      <name val="Calibri"/>
    </font>
    <font>
      <sz val="11.0"/>
      <color rgb="FFFF0000"/>
      <name val="Calibri"/>
    </font>
    <font>
      <b/>
      <sz val="9.0"/>
      <color theme="0"/>
      <name val="Calibri"/>
    </font>
    <font>
      <b/>
      <sz val="8.0"/>
      <color theme="1"/>
      <name val="Calibri"/>
    </font>
    <font>
      <sz val="8.0"/>
      <color theme="1"/>
      <name val="Calibri"/>
    </font>
    <font>
      <u/>
      <sz val="11.0"/>
      <color theme="1"/>
      <name val="Calibri"/>
    </font>
    <font>
      <b/>
      <sz val="10.0"/>
      <color theme="1"/>
      <name val="Calibri"/>
    </font>
  </fonts>
  <fills count="23">
    <fill>
      <patternFill patternType="none"/>
    </fill>
    <fill>
      <patternFill patternType="lightGray"/>
    </fill>
    <fill>
      <patternFill patternType="solid">
        <fgColor rgb="FFFF0000"/>
        <bgColor rgb="FFFF0000"/>
      </patternFill>
    </fill>
    <fill>
      <patternFill patternType="solid">
        <fgColor theme="1"/>
        <bgColor theme="1"/>
      </patternFill>
    </fill>
    <fill>
      <patternFill patternType="solid">
        <fgColor rgb="FF00B050"/>
        <bgColor rgb="FF00B050"/>
      </patternFill>
    </fill>
    <fill>
      <patternFill patternType="solid">
        <fgColor rgb="FF00B0F0"/>
        <bgColor rgb="FF00B0F0"/>
      </patternFill>
    </fill>
    <fill>
      <patternFill patternType="solid">
        <fgColor rgb="FFFFD965"/>
        <bgColor rgb="FFFFD965"/>
      </patternFill>
    </fill>
    <fill>
      <patternFill patternType="solid">
        <fgColor rgb="FF8EAADB"/>
        <bgColor rgb="FF8EAADB"/>
      </patternFill>
    </fill>
    <fill>
      <patternFill patternType="solid">
        <fgColor rgb="FF7B7B7B"/>
        <bgColor rgb="FF7B7B7B"/>
      </patternFill>
    </fill>
    <fill>
      <patternFill patternType="solid">
        <fgColor rgb="FF548135"/>
        <bgColor rgb="FF548135"/>
      </patternFill>
    </fill>
    <fill>
      <patternFill patternType="solid">
        <fgColor rgb="FFC55A11"/>
        <bgColor rgb="FFC55A11"/>
      </patternFill>
    </fill>
    <fill>
      <patternFill patternType="solid">
        <fgColor rgb="FFFFFF00"/>
        <bgColor rgb="FFFFFF00"/>
      </patternFill>
    </fill>
    <fill>
      <patternFill patternType="solid">
        <fgColor theme="0"/>
        <bgColor theme="0"/>
      </patternFill>
    </fill>
    <fill>
      <patternFill patternType="solid">
        <fgColor rgb="FFBFBFBF"/>
        <bgColor rgb="FFBFBFBF"/>
      </patternFill>
    </fill>
    <fill>
      <patternFill patternType="solid">
        <fgColor rgb="FFFFC000"/>
        <bgColor rgb="FFFFC000"/>
      </patternFill>
    </fill>
    <fill>
      <patternFill patternType="solid">
        <fgColor rgb="FFFFE598"/>
        <bgColor rgb="FFFFE598"/>
      </patternFill>
    </fill>
    <fill>
      <patternFill patternType="solid">
        <fgColor rgb="FFC5E0B3"/>
        <bgColor rgb="FFC5E0B3"/>
      </patternFill>
    </fill>
    <fill>
      <patternFill patternType="solid">
        <fgColor rgb="FFBDD6EE"/>
        <bgColor rgb="FFBDD6EE"/>
      </patternFill>
    </fill>
    <fill>
      <patternFill patternType="solid">
        <fgColor rgb="FF2E75B5"/>
        <bgColor rgb="FF2E75B5"/>
      </patternFill>
    </fill>
    <fill>
      <patternFill patternType="solid">
        <fgColor rgb="FFA5A5A5"/>
        <bgColor rgb="FFA5A5A5"/>
      </patternFill>
    </fill>
    <fill>
      <patternFill patternType="solid">
        <fgColor rgb="FF92D050"/>
        <bgColor rgb="FF92D050"/>
      </patternFill>
    </fill>
    <fill>
      <patternFill patternType="solid">
        <fgColor theme="6"/>
        <bgColor theme="6"/>
      </patternFill>
    </fill>
    <fill>
      <patternFill patternType="solid">
        <fgColor rgb="FF7F7F7F"/>
        <bgColor rgb="FF7F7F7F"/>
      </patternFill>
    </fill>
  </fills>
  <borders count="60">
    <border/>
    <border>
      <left/>
      <right/>
      <top/>
    </border>
    <border>
      <left/>
      <top/>
      <bottom/>
    </border>
    <border>
      <top/>
      <bottom/>
    </border>
    <border>
      <right/>
      <top/>
      <bottom/>
    </border>
    <border>
      <left/>
      <right/>
      <top/>
      <bottom/>
    </border>
    <border>
      <left/>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top style="medium">
        <color rgb="FF000000"/>
      </top>
    </border>
    <border>
      <left style="medium">
        <color rgb="FF000000"/>
      </left>
      <right style="medium">
        <color rgb="FF000000"/>
      </right>
      <top style="medium">
        <color rgb="FF000000"/>
      </top>
    </border>
    <border>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ttom/>
    </border>
    <border>
      <left style="medium">
        <color rgb="FF000000"/>
      </left>
      <right style="hair">
        <color rgb="FF000000"/>
      </right>
    </border>
    <border>
      <left style="hair">
        <color rgb="FF000000"/>
      </left>
      <right style="hair">
        <color rgb="FF000000"/>
      </right>
    </border>
    <border>
      <left style="thin">
        <color rgb="FF000000"/>
      </left>
      <right style="medium">
        <color rgb="FF000000"/>
      </right>
      <top/>
      <bottom/>
    </border>
    <border>
      <left style="medium">
        <color rgb="FF000000"/>
      </left>
      <right style="thin">
        <color rgb="FF000000"/>
      </right>
      <bottom/>
    </border>
    <border>
      <left style="thin">
        <color rgb="FF000000"/>
      </left>
      <right/>
      <bottom/>
    </border>
    <border>
      <left style="medium">
        <color rgb="FF000000"/>
      </left>
      <right style="medium">
        <color rgb="FF000000"/>
      </right>
      <bottom style="medium">
        <color rgb="FF000000"/>
      </bottom>
    </border>
    <border>
      <left/>
      <right style="thin">
        <color rgb="FF000000"/>
      </right>
      <bottom/>
    </border>
    <border>
      <left style="thin">
        <color rgb="FF000000"/>
      </left>
      <right style="medium">
        <color rgb="FF000000"/>
      </right>
      <bottom/>
    </border>
    <border>
      <left/>
      <right/>
      <bottom/>
    </border>
    <border>
      <left style="thin">
        <color rgb="FF000000"/>
      </left>
      <right style="thin">
        <color rgb="FF000000"/>
      </right>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style="medium">
        <color rgb="FF000000"/>
      </top>
      <bottom style="thin">
        <color rgb="FF000000"/>
      </bottom>
    </border>
    <border>
      <left style="medium">
        <color rgb="FF000000"/>
      </left>
      <top style="medium">
        <color rgb="FF000000"/>
      </top>
    </border>
    <border>
      <right style="medium">
        <color rgb="FF000000"/>
      </right>
      <top style="medium">
        <color rgb="FF000000"/>
      </top>
    </border>
    <border>
      <left style="thin">
        <color rgb="FF000000"/>
      </left>
      <right style="medium">
        <color rgb="FF000000"/>
      </right>
      <top style="medium">
        <color rgb="FF000000"/>
      </top>
      <bottom style="thin">
        <color rgb="FF000000"/>
      </bottom>
    </border>
    <border>
      <left style="medium">
        <color rgb="FF000000"/>
      </left>
      <right style="thin">
        <color rgb="FF000000"/>
      </right>
    </border>
    <border>
      <left style="medium">
        <color rgb="FF000000"/>
      </left>
    </border>
    <border>
      <right style="medium">
        <color rgb="FF000000"/>
      </right>
    </border>
    <border>
      <left style="thin">
        <color rgb="FF000000"/>
      </left>
      <right style="medium">
        <color rgb="FF000000"/>
      </right>
      <top style="thin">
        <color rgb="FF000000"/>
      </top>
      <bottom style="thin">
        <color rgb="FF000000"/>
      </bottom>
    </border>
    <border>
      <left style="medium">
        <color rgb="FF000000"/>
      </left>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s>
  <cellStyleXfs count="1">
    <xf borderId="0" fillId="0" fontId="0" numFmtId="0" applyAlignment="1" applyFont="1"/>
  </cellStyleXfs>
  <cellXfs count="158">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1" fillId="2" fontId="2" numFmtId="0" xfId="0" applyAlignment="1" applyBorder="1" applyFill="1" applyFont="1">
      <alignment horizontal="center" textRotation="90"/>
    </xf>
    <xf borderId="2" fillId="2" fontId="2" numFmtId="0" xfId="0" applyAlignment="1" applyBorder="1" applyFont="1">
      <alignment horizontal="center"/>
    </xf>
    <xf borderId="3" fillId="0" fontId="3" numFmtId="0" xfId="0" applyBorder="1" applyFont="1"/>
    <xf borderId="4" fillId="0" fontId="3" numFmtId="0" xfId="0" applyBorder="1" applyFont="1"/>
    <xf borderId="5" fillId="3" fontId="2" numFmtId="0" xfId="0" applyBorder="1" applyFill="1" applyFont="1"/>
    <xf borderId="6" fillId="0" fontId="3" numFmtId="0" xfId="0" applyBorder="1" applyFont="1"/>
    <xf borderId="5" fillId="2" fontId="2" numFmtId="0" xfId="0" applyAlignment="1" applyBorder="1" applyFont="1">
      <alignment horizontal="center" vertical="center"/>
    </xf>
    <xf borderId="5" fillId="4" fontId="1" numFmtId="0" xfId="0" applyAlignment="1" applyBorder="1" applyFill="1" applyFont="1">
      <alignment horizontal="center" vertical="center"/>
    </xf>
    <xf borderId="5" fillId="5" fontId="1" numFmtId="0" xfId="0" applyBorder="1" applyFill="1" applyFont="1"/>
    <xf borderId="5" fillId="6" fontId="1" numFmtId="0" xfId="0" applyBorder="1" applyFill="1" applyFont="1"/>
    <xf borderId="7" fillId="7" fontId="1" numFmtId="0" xfId="0" applyBorder="1" applyFill="1" applyFont="1"/>
    <xf borderId="8" fillId="7" fontId="1" numFmtId="0" xfId="0" applyBorder="1" applyFont="1"/>
    <xf borderId="7" fillId="8" fontId="1" numFmtId="0" xfId="0" applyBorder="1" applyFill="1" applyFont="1"/>
    <xf borderId="7" fillId="9" fontId="1" numFmtId="0" xfId="0" applyBorder="1" applyFill="1" applyFont="1"/>
    <xf borderId="7" fillId="10" fontId="1" numFmtId="0" xfId="0" applyBorder="1" applyFill="1" applyFont="1"/>
    <xf borderId="9" fillId="0" fontId="1" numFmtId="0" xfId="0" applyAlignment="1" applyBorder="1" applyFont="1">
      <alignment horizontal="center"/>
    </xf>
    <xf borderId="0" fillId="0" fontId="1" numFmtId="0" xfId="0" applyAlignment="1" applyFont="1">
      <alignment horizontal="center" textRotation="90"/>
    </xf>
    <xf borderId="10" fillId="0" fontId="3" numFmtId="0" xfId="0" applyBorder="1" applyFont="1"/>
    <xf borderId="11" fillId="0" fontId="3" numFmtId="0" xfId="0" applyBorder="1" applyFont="1"/>
    <xf borderId="0" fillId="0" fontId="1" numFmtId="0" xfId="0" applyAlignment="1" applyFont="1">
      <alignment horizontal="center" vertical="center"/>
    </xf>
    <xf borderId="9" fillId="0" fontId="4" numFmtId="0" xfId="0" applyAlignment="1" applyBorder="1" applyFont="1">
      <alignment horizontal="center" vertical="center"/>
    </xf>
    <xf borderId="5" fillId="11" fontId="5" numFmtId="0" xfId="0" applyBorder="1" applyFill="1" applyFont="1"/>
    <xf borderId="5" fillId="4" fontId="5" numFmtId="0" xfId="0" applyBorder="1" applyFont="1"/>
    <xf borderId="12" fillId="0" fontId="1" numFmtId="0" xfId="0" applyBorder="1" applyFont="1"/>
    <xf borderId="8" fillId="12" fontId="6" numFmtId="0" xfId="0" applyAlignment="1" applyBorder="1" applyFill="1" applyFont="1">
      <alignment shrinkToFit="0" vertical="center" wrapText="1"/>
    </xf>
    <xf borderId="9" fillId="0" fontId="7" numFmtId="0" xfId="0" applyAlignment="1" applyBorder="1" applyFont="1">
      <alignment horizontal="center" vertical="center"/>
    </xf>
    <xf borderId="8" fillId="12" fontId="6" numFmtId="0" xfId="0" applyAlignment="1" applyBorder="1" applyFont="1">
      <alignment vertical="center"/>
    </xf>
    <xf borderId="0" fillId="0" fontId="8" numFmtId="0" xfId="0" applyFont="1"/>
    <xf borderId="0" fillId="0" fontId="2" numFmtId="0" xfId="0" applyAlignment="1" applyFont="1">
      <alignment horizontal="left" vertical="center"/>
    </xf>
    <xf borderId="13" fillId="0" fontId="3" numFmtId="0" xfId="0" applyBorder="1" applyFont="1"/>
    <xf borderId="14" fillId="0" fontId="3" numFmtId="0" xfId="0" applyBorder="1" applyFont="1"/>
    <xf borderId="15" fillId="0" fontId="7" numFmtId="0" xfId="0" applyAlignment="1" applyBorder="1" applyFont="1">
      <alignment horizontal="center" vertical="center"/>
    </xf>
    <xf borderId="16" fillId="0" fontId="3" numFmtId="0" xfId="0" applyBorder="1" applyFont="1"/>
    <xf borderId="17" fillId="0" fontId="3" numFmtId="0" xfId="0" applyBorder="1" applyFont="1"/>
    <xf borderId="5" fillId="11" fontId="1" numFmtId="0" xfId="0" applyAlignment="1" applyBorder="1" applyFont="1">
      <alignment horizontal="left" vertical="center"/>
    </xf>
    <xf borderId="15" fillId="0" fontId="3" numFmtId="0" xfId="0" applyBorder="1" applyFont="1"/>
    <xf borderId="18" fillId="0" fontId="1" numFmtId="0" xfId="0" applyBorder="1" applyFont="1"/>
    <xf borderId="19" fillId="13" fontId="9" numFmtId="0" xfId="0" applyAlignment="1" applyBorder="1" applyFill="1" applyFont="1">
      <alignment horizontal="center" vertical="center"/>
    </xf>
    <xf borderId="20" fillId="0" fontId="3" numFmtId="0" xfId="0" applyBorder="1" applyFont="1"/>
    <xf borderId="8" fillId="14" fontId="1" numFmtId="0" xfId="0" applyBorder="1" applyFill="1" applyFont="1"/>
    <xf borderId="21" fillId="0" fontId="3" numFmtId="0" xfId="0" applyBorder="1" applyFont="1"/>
    <xf borderId="14" fillId="0" fontId="1" numFmtId="0" xfId="0" applyBorder="1" applyFont="1"/>
    <xf borderId="9" fillId="0" fontId="10" numFmtId="0" xfId="0" applyAlignment="1" applyBorder="1" applyFont="1">
      <alignment horizontal="right" vertical="center"/>
    </xf>
    <xf borderId="10" fillId="0" fontId="11" numFmtId="0" xfId="0" applyAlignment="1" applyBorder="1" applyFont="1">
      <alignment horizontal="left"/>
    </xf>
    <xf borderId="10" fillId="0" fontId="11" numFmtId="0" xfId="0" applyBorder="1" applyFont="1"/>
    <xf borderId="10" fillId="0" fontId="10" numFmtId="0" xfId="0" applyAlignment="1" applyBorder="1" applyFont="1">
      <alignment horizontal="right" vertical="center"/>
    </xf>
    <xf borderId="10" fillId="0" fontId="10" numFmtId="0" xfId="0" applyAlignment="1" applyBorder="1" applyFont="1">
      <alignment vertical="center"/>
    </xf>
    <xf borderId="22" fillId="12" fontId="6" numFmtId="0" xfId="0" applyAlignment="1" applyBorder="1" applyFont="1">
      <alignment shrinkToFit="0" vertical="center" wrapText="1"/>
    </xf>
    <xf borderId="10" fillId="0" fontId="10" numFmtId="0" xfId="0" applyAlignment="1" applyBorder="1" applyFont="1">
      <alignment horizontal="left" vertical="center"/>
    </xf>
    <xf borderId="22" fillId="12" fontId="6" numFmtId="0" xfId="0" applyAlignment="1" applyBorder="1" applyFont="1">
      <alignment vertical="center"/>
    </xf>
    <xf borderId="10" fillId="0" fontId="1" numFmtId="0" xfId="0" applyBorder="1" applyFont="1"/>
    <xf borderId="11" fillId="0" fontId="11" numFmtId="0" xfId="0" applyBorder="1" applyFont="1"/>
    <xf borderId="13" fillId="0" fontId="10" numFmtId="0" xfId="0" applyAlignment="1" applyBorder="1" applyFont="1">
      <alignment horizontal="right" vertical="center"/>
    </xf>
    <xf borderId="0" fillId="0" fontId="11" numFmtId="0" xfId="0" applyAlignment="1" applyFont="1">
      <alignment horizontal="left"/>
    </xf>
    <xf borderId="0" fillId="0" fontId="11" numFmtId="0" xfId="0" applyFont="1"/>
    <xf borderId="0" fillId="0" fontId="10" numFmtId="0" xfId="0" applyAlignment="1" applyFont="1">
      <alignment horizontal="right" vertical="center"/>
    </xf>
    <xf borderId="0" fillId="0" fontId="10" numFmtId="0" xfId="0" applyAlignment="1" applyFont="1">
      <alignment vertical="center"/>
    </xf>
    <xf borderId="0" fillId="0" fontId="10" numFmtId="0" xfId="0" applyAlignment="1" applyFont="1">
      <alignment horizontal="left" vertical="center"/>
    </xf>
    <xf borderId="22" fillId="14" fontId="1" numFmtId="0" xfId="0" applyBorder="1" applyFont="1"/>
    <xf borderId="14" fillId="0" fontId="11" numFmtId="0" xfId="0" applyBorder="1" applyFont="1"/>
    <xf borderId="15" fillId="0" fontId="10" numFmtId="0" xfId="0" applyAlignment="1" applyBorder="1" applyFont="1">
      <alignment horizontal="right" vertical="center"/>
    </xf>
    <xf borderId="16" fillId="0" fontId="11" numFmtId="0" xfId="0" applyAlignment="1" applyBorder="1" applyFont="1">
      <alignment horizontal="left"/>
    </xf>
    <xf borderId="16" fillId="0" fontId="11" numFmtId="0" xfId="0" applyBorder="1" applyFont="1"/>
    <xf borderId="16" fillId="0" fontId="10" numFmtId="0" xfId="0" applyAlignment="1" applyBorder="1" applyFont="1">
      <alignment horizontal="right" vertical="center"/>
    </xf>
    <xf borderId="16" fillId="0" fontId="10" numFmtId="0" xfId="0" applyAlignment="1" applyBorder="1" applyFont="1">
      <alignment vertical="center"/>
    </xf>
    <xf borderId="16" fillId="0" fontId="10" numFmtId="14" xfId="0" applyAlignment="1" applyBorder="1" applyFont="1" applyNumberFormat="1">
      <alignment horizontal="left" vertical="center"/>
    </xf>
    <xf borderId="5" fillId="9" fontId="1" numFmtId="0" xfId="0" applyBorder="1" applyFont="1"/>
    <xf borderId="16" fillId="0" fontId="1" numFmtId="0" xfId="0" applyBorder="1" applyFont="1"/>
    <xf borderId="16" fillId="0" fontId="10" numFmtId="0" xfId="0" applyAlignment="1" applyBorder="1" applyFont="1">
      <alignment horizontal="left" vertical="center"/>
    </xf>
    <xf borderId="17" fillId="0" fontId="11" numFmtId="0" xfId="0" applyBorder="1" applyFont="1"/>
    <xf borderId="5" fillId="2" fontId="5" numFmtId="0" xfId="0" applyBorder="1" applyFont="1"/>
    <xf borderId="0" fillId="0" fontId="12" numFmtId="0" xfId="0" applyFont="1"/>
    <xf borderId="23" fillId="0" fontId="13" numFmtId="0" xfId="0" applyAlignment="1" applyBorder="1" applyFont="1">
      <alignment horizontal="center" shrinkToFit="0" vertical="center" wrapText="1"/>
    </xf>
    <xf borderId="24" fillId="0" fontId="13" numFmtId="0" xfId="0" applyAlignment="1" applyBorder="1" applyFont="1">
      <alignment horizontal="center" shrinkToFit="0" vertical="center" wrapText="1"/>
    </xf>
    <xf borderId="24" fillId="14" fontId="13" numFmtId="49" xfId="0" applyAlignment="1" applyBorder="1" applyFont="1" applyNumberFormat="1">
      <alignment horizontal="center" shrinkToFit="0" vertical="center" wrapText="1"/>
    </xf>
    <xf borderId="24" fillId="14" fontId="13" numFmtId="0" xfId="0" applyAlignment="1" applyBorder="1" applyFont="1">
      <alignment horizontal="center" shrinkToFit="0" vertical="center" wrapText="1"/>
    </xf>
    <xf borderId="7" fillId="13" fontId="1" numFmtId="0" xfId="0" applyBorder="1" applyFont="1"/>
    <xf borderId="25" fillId="11" fontId="4" numFmtId="0" xfId="0" applyAlignment="1" applyBorder="1" applyFont="1">
      <alignment horizontal="center" shrinkToFit="0" vertical="center" wrapText="1"/>
    </xf>
    <xf borderId="26" fillId="0" fontId="3" numFmtId="0" xfId="0" applyBorder="1" applyFont="1"/>
    <xf borderId="27" fillId="0" fontId="3" numFmtId="0" xfId="0" applyBorder="1" applyFont="1"/>
    <xf borderId="23" fillId="14" fontId="13" numFmtId="0" xfId="0" applyAlignment="1" applyBorder="1" applyFont="1">
      <alignment horizontal="center" shrinkToFit="0" vertical="center" wrapText="1"/>
    </xf>
    <xf borderId="28" fillId="14" fontId="13" numFmtId="0" xfId="0" applyAlignment="1" applyBorder="1" applyFont="1">
      <alignment horizontal="center" shrinkToFit="0" vertical="center" wrapText="1"/>
    </xf>
    <xf borderId="29" fillId="15" fontId="13" numFmtId="0" xfId="0" applyAlignment="1" applyBorder="1" applyFill="1" applyFont="1">
      <alignment horizontal="center" shrinkToFit="0" vertical="center" wrapText="1"/>
    </xf>
    <xf borderId="30" fillId="11" fontId="13" numFmtId="0" xfId="0" applyAlignment="1" applyBorder="1" applyFont="1">
      <alignment horizontal="center" shrinkToFit="0" vertical="center" wrapText="1"/>
    </xf>
    <xf borderId="24" fillId="2" fontId="13" numFmtId="0" xfId="0" applyAlignment="1" applyBorder="1" applyFont="1">
      <alignment horizontal="center" shrinkToFit="0" vertical="center" wrapText="1"/>
    </xf>
    <xf borderId="31" fillId="16" fontId="13" numFmtId="0" xfId="0" applyAlignment="1" applyBorder="1" applyFill="1" applyFont="1">
      <alignment horizontal="center" shrinkToFit="0" vertical="center" wrapText="1"/>
    </xf>
    <xf borderId="32" fillId="0" fontId="3" numFmtId="0" xfId="0" applyBorder="1" applyFont="1"/>
    <xf borderId="33" fillId="0" fontId="3" numFmtId="0" xfId="0" applyBorder="1" applyFont="1"/>
    <xf borderId="34" fillId="0" fontId="3" numFmtId="0" xfId="0" applyBorder="1" applyFont="1"/>
    <xf borderId="35" fillId="0" fontId="13" numFmtId="0" xfId="0" applyAlignment="1" applyBorder="1" applyFont="1">
      <alignment horizontal="center" shrinkToFit="0" textRotation="90" vertical="center" wrapText="1"/>
    </xf>
    <xf borderId="36" fillId="0" fontId="13" numFmtId="0" xfId="0" applyAlignment="1" applyBorder="1" applyFont="1">
      <alignment horizontal="center" shrinkToFit="0" textRotation="90" vertical="center" wrapText="1"/>
    </xf>
    <xf borderId="22" fillId="17" fontId="13" numFmtId="0" xfId="0" applyAlignment="1" applyBorder="1" applyFill="1" applyFont="1">
      <alignment horizontal="center" shrinkToFit="0" textRotation="90" vertical="center" wrapText="1"/>
    </xf>
    <xf borderId="22" fillId="11" fontId="13" numFmtId="0" xfId="0" applyAlignment="1" applyBorder="1" applyFont="1">
      <alignment horizontal="center" shrinkToFit="0" textRotation="90" vertical="center" wrapText="1"/>
    </xf>
    <xf borderId="37" fillId="11" fontId="13" numFmtId="0" xfId="0" applyAlignment="1" applyBorder="1" applyFont="1">
      <alignment horizontal="center" shrinkToFit="0" vertical="center" wrapText="1"/>
    </xf>
    <xf borderId="38" fillId="0" fontId="3" numFmtId="0" xfId="0" applyBorder="1" applyFont="1"/>
    <xf borderId="39" fillId="0" fontId="3" numFmtId="0" xfId="0" applyBorder="1" applyFont="1"/>
    <xf borderId="40" fillId="0" fontId="3" numFmtId="0" xfId="0" applyBorder="1" applyFont="1"/>
    <xf borderId="41" fillId="0" fontId="3" numFmtId="0" xfId="0" applyBorder="1" applyFont="1"/>
    <xf borderId="42" fillId="0" fontId="3" numFmtId="0" xfId="0" applyBorder="1" applyFont="1"/>
    <xf borderId="23" fillId="0" fontId="11" numFmtId="0" xfId="0" applyAlignment="1" applyBorder="1" applyFont="1">
      <alignment horizontal="center" vertical="center"/>
    </xf>
    <xf borderId="24" fillId="0" fontId="11" numFmtId="0" xfId="0" applyAlignment="1" applyBorder="1" applyFont="1">
      <alignment horizontal="center" shrinkToFit="0" vertical="center" wrapText="1"/>
    </xf>
    <xf borderId="43" fillId="0" fontId="3" numFmtId="0" xfId="0" applyBorder="1" applyFont="1"/>
    <xf borderId="24" fillId="0" fontId="11" numFmtId="0" xfId="0" applyAlignment="1" applyBorder="1" applyFont="1">
      <alignment horizontal="left" shrinkToFit="0" vertical="center" wrapText="1"/>
    </xf>
    <xf borderId="44" fillId="12" fontId="6" numFmtId="0" xfId="0" applyAlignment="1" applyBorder="1" applyFont="1">
      <alignment vertical="center"/>
    </xf>
    <xf borderId="45" fillId="0" fontId="1" numFmtId="0" xfId="0" applyAlignment="1" applyBorder="1" applyFont="1">
      <alignment horizontal="center"/>
    </xf>
    <xf borderId="24" fillId="0" fontId="13" numFmtId="0" xfId="0" applyAlignment="1" applyBorder="1" applyFont="1">
      <alignment horizontal="center" shrinkToFit="0" textRotation="90" vertical="center" wrapText="1"/>
    </xf>
    <xf borderId="46" fillId="0" fontId="3" numFmtId="0" xfId="0" applyBorder="1" applyFont="1"/>
    <xf borderId="47" fillId="0" fontId="3" numFmtId="0" xfId="0" applyBorder="1" applyFont="1"/>
    <xf borderId="1" fillId="18" fontId="10" numFmtId="0" xfId="0" applyAlignment="1" applyBorder="1" applyFill="1" applyFont="1">
      <alignment horizontal="center" textRotation="90" vertical="center"/>
    </xf>
    <xf borderId="2" fillId="18" fontId="4" numFmtId="0" xfId="0" applyAlignment="1" applyBorder="1" applyFont="1">
      <alignment horizontal="center" vertical="center"/>
    </xf>
    <xf borderId="48" fillId="0" fontId="11" numFmtId="0" xfId="0" applyAlignment="1" applyBorder="1" applyFont="1">
      <alignment shrinkToFit="0" vertical="center" wrapText="1"/>
    </xf>
    <xf borderId="48" fillId="0" fontId="11" numFmtId="0" xfId="0" applyAlignment="1" applyBorder="1" applyFont="1">
      <alignment horizontal="left" shrinkToFit="0" vertical="center" wrapText="1"/>
    </xf>
    <xf borderId="48" fillId="0" fontId="11" numFmtId="0" xfId="0" applyAlignment="1" applyBorder="1" applyFont="1">
      <alignment horizontal="center" shrinkToFit="0" vertical="center" wrapText="1"/>
    </xf>
    <xf borderId="46" fillId="0" fontId="1" numFmtId="0" xfId="0" applyAlignment="1" applyBorder="1" applyFont="1">
      <alignment horizontal="center"/>
    </xf>
    <xf borderId="47" fillId="0" fontId="1" numFmtId="0" xfId="0" applyAlignment="1" applyBorder="1" applyFont="1">
      <alignment horizontal="center"/>
    </xf>
    <xf borderId="33" fillId="0" fontId="11" numFmtId="0" xfId="0" applyAlignment="1" applyBorder="1" applyFont="1">
      <alignment horizontal="center" shrinkToFit="0" vertical="center" wrapText="1"/>
    </xf>
    <xf borderId="7" fillId="19" fontId="1" numFmtId="0" xfId="0" applyBorder="1" applyFill="1" applyFont="1"/>
    <xf borderId="49" fillId="0" fontId="1" numFmtId="0" xfId="0" applyAlignment="1" applyBorder="1" applyFont="1">
      <alignment horizontal="center" textRotation="90" vertical="center"/>
    </xf>
    <xf borderId="50" fillId="0" fontId="1" numFmtId="0" xfId="0" applyAlignment="1" applyBorder="1" applyFont="1">
      <alignment horizontal="center"/>
    </xf>
    <xf borderId="5" fillId="4" fontId="1" numFmtId="0" xfId="0" applyAlignment="1" applyBorder="1" applyFont="1">
      <alignment horizontal="center"/>
    </xf>
    <xf borderId="5" fillId="20" fontId="1" numFmtId="0" xfId="0" applyAlignment="1" applyBorder="1" applyFill="1" applyFont="1">
      <alignment horizontal="center"/>
    </xf>
    <xf borderId="5" fillId="11" fontId="1" numFmtId="0" xfId="0" applyAlignment="1" applyBorder="1" applyFont="1">
      <alignment horizontal="center"/>
    </xf>
    <xf borderId="5" fillId="14" fontId="1" numFmtId="0" xfId="0" applyAlignment="1" applyBorder="1" applyFont="1">
      <alignment horizontal="center"/>
    </xf>
    <xf borderId="5" fillId="11" fontId="1" numFmtId="0" xfId="0" applyAlignment="1" applyBorder="1" applyFont="1">
      <alignment horizontal="left"/>
    </xf>
    <xf borderId="7" fillId="21" fontId="1" numFmtId="0" xfId="0" applyBorder="1" applyFill="1" applyFont="1"/>
    <xf borderId="51" fillId="0" fontId="11" numFmtId="0" xfId="0" applyAlignment="1" applyBorder="1" applyFont="1">
      <alignment horizontal="center" shrinkToFit="0" vertical="center" wrapText="1"/>
    </xf>
    <xf borderId="52" fillId="0" fontId="3" numFmtId="0" xfId="0" applyBorder="1" applyFont="1"/>
    <xf borderId="18" fillId="0" fontId="3" numFmtId="0" xfId="0" applyBorder="1" applyFont="1"/>
    <xf borderId="53" fillId="0" fontId="3" numFmtId="0" xfId="0" applyBorder="1" applyFont="1"/>
    <xf borderId="7" fillId="0" fontId="11" numFmtId="0" xfId="0" applyAlignment="1" applyBorder="1" applyFont="1">
      <alignment shrinkToFit="0" vertical="center" wrapText="1"/>
    </xf>
    <xf borderId="54" fillId="0" fontId="1" numFmtId="0" xfId="0" applyAlignment="1" applyBorder="1" applyFont="1">
      <alignment horizontal="center"/>
    </xf>
    <xf borderId="7" fillId="0" fontId="11" numFmtId="0" xfId="0" applyAlignment="1" applyBorder="1" applyFont="1">
      <alignment horizontal="left" shrinkToFit="0" vertical="center" wrapText="1"/>
    </xf>
    <xf borderId="7" fillId="0" fontId="11" numFmtId="0" xfId="0" applyAlignment="1" applyBorder="1" applyFont="1">
      <alignment horizontal="center" shrinkToFit="0" vertical="center" wrapText="1"/>
    </xf>
    <xf borderId="55" fillId="0" fontId="11" numFmtId="0" xfId="0" applyAlignment="1" applyBorder="1" applyFont="1">
      <alignment horizontal="center" shrinkToFit="0" vertical="center" wrapText="1"/>
    </xf>
    <xf borderId="44" fillId="13" fontId="1" numFmtId="0" xfId="0" applyBorder="1" applyFont="1"/>
    <xf borderId="5" fillId="2" fontId="1" numFmtId="0" xfId="0" applyAlignment="1" applyBorder="1" applyFont="1">
      <alignment horizontal="center"/>
    </xf>
    <xf borderId="56" fillId="0" fontId="3" numFmtId="0" xfId="0" applyBorder="1" applyFont="1"/>
    <xf borderId="57" fillId="0" fontId="1" numFmtId="0" xfId="0" applyAlignment="1" applyBorder="1" applyFont="1">
      <alignment horizontal="center"/>
    </xf>
    <xf borderId="1" fillId="4" fontId="10" numFmtId="0" xfId="0" applyAlignment="1" applyBorder="1" applyFont="1">
      <alignment horizontal="center" textRotation="90" vertical="center"/>
    </xf>
    <xf borderId="2" fillId="4" fontId="4" numFmtId="0" xfId="0" applyAlignment="1" applyBorder="1" applyFont="1">
      <alignment horizontal="center" vertical="center"/>
    </xf>
    <xf borderId="44" fillId="12" fontId="1" numFmtId="0" xfId="0" applyBorder="1" applyFont="1"/>
    <xf borderId="33" fillId="0" fontId="1" numFmtId="0" xfId="0" applyBorder="1" applyFont="1"/>
    <xf borderId="58" fillId="0" fontId="11" numFmtId="0" xfId="0" applyAlignment="1" applyBorder="1" applyFont="1">
      <alignment horizontal="left" shrinkToFit="0" vertical="center" wrapText="1"/>
    </xf>
    <xf borderId="1" fillId="5" fontId="10" numFmtId="0" xfId="0" applyAlignment="1" applyBorder="1" applyFont="1">
      <alignment horizontal="center" textRotation="90" vertical="center"/>
    </xf>
    <xf borderId="2" fillId="5" fontId="4" numFmtId="0" xfId="0" applyAlignment="1" applyBorder="1" applyFont="1">
      <alignment horizontal="center" vertical="center"/>
    </xf>
    <xf borderId="1" fillId="6" fontId="10" numFmtId="0" xfId="0" applyAlignment="1" applyBorder="1" applyFont="1">
      <alignment horizontal="center" textRotation="90" vertical="center"/>
    </xf>
    <xf borderId="2" fillId="6" fontId="4" numFmtId="0" xfId="0" applyAlignment="1" applyBorder="1" applyFont="1">
      <alignment horizontal="center" vertical="center"/>
    </xf>
    <xf borderId="22" fillId="12" fontId="1" numFmtId="0" xfId="0" applyBorder="1" applyFont="1"/>
    <xf borderId="1" fillId="22" fontId="10" numFmtId="0" xfId="0" applyAlignment="1" applyBorder="1" applyFill="1" applyFont="1">
      <alignment horizontal="center" textRotation="90" vertical="center"/>
    </xf>
    <xf borderId="2" fillId="22" fontId="4" numFmtId="0" xfId="0" applyAlignment="1" applyBorder="1" applyFont="1">
      <alignment horizontal="center" vertical="center"/>
    </xf>
    <xf borderId="1" fillId="9" fontId="10" numFmtId="0" xfId="0" applyAlignment="1" applyBorder="1" applyFont="1">
      <alignment horizontal="center" textRotation="90" vertical="center"/>
    </xf>
    <xf borderId="2" fillId="9" fontId="4" numFmtId="0" xfId="0" applyAlignment="1" applyBorder="1" applyFont="1">
      <alignment horizontal="center" vertical="center"/>
    </xf>
    <xf borderId="1" fillId="10" fontId="10" numFmtId="0" xfId="0" applyAlignment="1" applyBorder="1" applyFont="1">
      <alignment horizontal="center" textRotation="90" vertical="center"/>
    </xf>
    <xf borderId="2" fillId="10" fontId="4" numFmtId="0" xfId="0" applyAlignment="1" applyBorder="1" applyFont="1">
      <alignment horizontal="center" vertical="center"/>
    </xf>
    <xf borderId="59" fillId="0" fontId="3" numFmtId="0" xfId="0" applyBorder="1" applyFont="1"/>
  </cellXfs>
  <cellStyles count="1">
    <cellStyle xfId="0" name="Normal" builtinId="0"/>
  </cellStyles>
  <dxfs count="9">
    <dxf>
      <font/>
      <fill>
        <patternFill patternType="solid">
          <fgColor rgb="FFBFBFBF"/>
          <bgColor rgb="FFBFBFBF"/>
        </patternFill>
      </fill>
      <border/>
    </dxf>
    <dxf>
      <font>
        <b/>
      </font>
      <fill>
        <patternFill patternType="solid">
          <fgColor rgb="FFFFFF00"/>
          <bgColor rgb="FFFFFF00"/>
        </patternFill>
      </fill>
      <border/>
    </dxf>
    <dxf>
      <font>
        <b/>
      </font>
      <fill>
        <patternFill patternType="solid">
          <fgColor rgb="FFFFFF9B"/>
          <bgColor rgb="FFFFFF9B"/>
        </patternFill>
      </fill>
      <border/>
    </dxf>
    <dxf>
      <font>
        <b/>
        <color theme="0"/>
      </font>
      <fill>
        <patternFill patternType="solid">
          <fgColor rgb="FFF79646"/>
          <bgColor rgb="FFF79646"/>
        </patternFill>
      </fill>
      <border/>
    </dxf>
    <dxf>
      <font>
        <b/>
        <color theme="0"/>
      </font>
      <fill>
        <patternFill patternType="solid">
          <fgColor rgb="FFFF0000"/>
          <bgColor rgb="FFFF0000"/>
        </patternFill>
      </fill>
      <border/>
    </dxf>
    <dxf>
      <font>
        <b/>
        <color theme="0"/>
      </font>
      <fill>
        <patternFill patternType="solid">
          <fgColor rgb="FF00B050"/>
          <bgColor rgb="FF00B050"/>
        </patternFill>
      </fill>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rgb="FF00B050"/>
          <bgColor rgb="FF00B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47625</xdr:rowOff>
    </xdr:from>
    <xdr:ext cx="1428750" cy="495300"/>
    <xdr:pic>
      <xdr:nvPicPr>
        <xdr:cNvPr descr="C:\Users\verena\Desktop\aplicaciones marca MSC\5 MSC-MARCA-MONOCROMATICA-POSITIVO-NEGRO.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6" width="13.71"/>
    <col customWidth="1" min="7" max="7" width="16.14"/>
    <col customWidth="1" min="8" max="8" width="21.86"/>
    <col customWidth="1" min="9" max="9" width="19.71"/>
    <col customWidth="1" min="10" max="13" width="3.0"/>
    <col customWidth="1" min="14" max="14" width="5.14"/>
    <col customWidth="1" min="15" max="15" width="10.29"/>
    <col customWidth="1" min="16" max="16" width="17.43"/>
    <col customWidth="1" min="17" max="17" width="36.14"/>
    <col customWidth="1" min="18" max="18" width="14.71"/>
    <col customWidth="1" min="19" max="19" width="14.57"/>
    <col customWidth="1" min="20" max="20" width="13.71"/>
    <col customWidth="1" min="21" max="21" width="11.14"/>
    <col customWidth="1" min="22" max="22" width="13.71"/>
    <col customWidth="1" min="23" max="23" width="9.0"/>
    <col customWidth="1" min="24" max="24" width="12.57"/>
    <col customWidth="1" min="25" max="25" width="12.71"/>
    <col customWidth="1" min="26" max="26" width="9.14"/>
    <col customWidth="1" min="27" max="27" width="5.71"/>
  </cols>
  <sheetData>
    <row r="1">
      <c r="A1" s="18"/>
      <c r="B1" s="20"/>
      <c r="C1" s="21"/>
      <c r="D1" s="23" t="s">
        <v>43</v>
      </c>
      <c r="E1" s="20"/>
      <c r="F1" s="20"/>
      <c r="G1" s="20"/>
      <c r="H1" s="20"/>
      <c r="I1" s="20"/>
      <c r="J1" s="20"/>
      <c r="K1" s="20"/>
      <c r="L1" s="20"/>
      <c r="M1" s="20"/>
      <c r="N1" s="20"/>
      <c r="O1" s="20"/>
      <c r="P1" s="20"/>
      <c r="Q1" s="20"/>
      <c r="R1" s="20"/>
      <c r="S1" s="20"/>
      <c r="T1" s="20"/>
      <c r="U1" s="20"/>
      <c r="V1" s="21"/>
      <c r="W1" s="28" t="s">
        <v>49</v>
      </c>
      <c r="X1" s="20"/>
      <c r="Y1" s="21"/>
      <c r="Z1" s="30"/>
      <c r="AA1" s="31"/>
    </row>
    <row r="2">
      <c r="A2" s="32"/>
      <c r="C2" s="33"/>
      <c r="D2" s="32"/>
      <c r="V2" s="33"/>
      <c r="W2" s="34" t="s">
        <v>55</v>
      </c>
      <c r="X2" s="35"/>
      <c r="Y2" s="36"/>
      <c r="Z2" s="30"/>
      <c r="AA2" s="31"/>
    </row>
    <row r="3">
      <c r="A3" s="38"/>
      <c r="B3" s="35"/>
      <c r="C3" s="36"/>
      <c r="D3" s="38"/>
      <c r="E3" s="35"/>
      <c r="F3" s="35"/>
      <c r="G3" s="35"/>
      <c r="H3" s="35"/>
      <c r="I3" s="35"/>
      <c r="J3" s="35"/>
      <c r="K3" s="35"/>
      <c r="L3" s="35"/>
      <c r="M3" s="35"/>
      <c r="N3" s="35"/>
      <c r="O3" s="35"/>
      <c r="P3" s="35"/>
      <c r="Q3" s="35"/>
      <c r="R3" s="35"/>
      <c r="S3" s="35"/>
      <c r="T3" s="35"/>
      <c r="U3" s="35"/>
      <c r="V3" s="36"/>
      <c r="W3" s="40" t="s">
        <v>61</v>
      </c>
      <c r="X3" s="41"/>
      <c r="Y3" s="43"/>
      <c r="Z3" s="30"/>
      <c r="AA3" s="31"/>
    </row>
    <row r="4">
      <c r="A4" s="2"/>
      <c r="B4" s="2"/>
      <c r="C4" s="2"/>
      <c r="D4" s="2"/>
      <c r="E4" s="2"/>
      <c r="F4" s="2"/>
      <c r="G4" s="2"/>
      <c r="H4" s="2"/>
      <c r="I4" s="2"/>
      <c r="J4" s="2"/>
      <c r="K4" s="2"/>
      <c r="L4" s="2"/>
      <c r="M4" s="2"/>
      <c r="N4" s="2"/>
      <c r="O4" s="2"/>
      <c r="P4" s="2"/>
      <c r="Q4" s="2"/>
      <c r="R4" s="2"/>
      <c r="S4" s="2"/>
      <c r="T4" s="2"/>
      <c r="U4" s="2"/>
      <c r="V4" s="2"/>
      <c r="W4" s="2"/>
      <c r="X4" s="2"/>
      <c r="Y4" s="2"/>
      <c r="Z4" s="30"/>
      <c r="AA4" s="31"/>
    </row>
    <row r="5">
      <c r="A5" s="45" t="s">
        <v>73</v>
      </c>
      <c r="B5" s="20"/>
      <c r="C5" s="20"/>
      <c r="D5" s="46"/>
      <c r="E5" s="47"/>
      <c r="F5" s="47"/>
      <c r="G5" s="48"/>
      <c r="H5" s="48" t="s">
        <v>75</v>
      </c>
      <c r="I5" s="46"/>
      <c r="J5" s="49"/>
      <c r="K5" s="49"/>
      <c r="L5" s="49"/>
      <c r="M5" s="49"/>
      <c r="N5" s="49"/>
      <c r="O5" s="48"/>
      <c r="P5" s="48"/>
      <c r="Q5" s="51"/>
      <c r="R5" s="47"/>
      <c r="S5" s="53"/>
      <c r="T5" s="48" t="s">
        <v>80</v>
      </c>
      <c r="U5" s="51"/>
      <c r="V5" s="49"/>
      <c r="W5" s="49"/>
      <c r="X5" s="49"/>
      <c r="Y5" s="54"/>
      <c r="Z5" s="30"/>
      <c r="AA5" s="31"/>
    </row>
    <row r="6">
      <c r="A6" s="55" t="s">
        <v>87</v>
      </c>
      <c r="D6" s="56"/>
      <c r="E6" s="57"/>
      <c r="F6" s="57"/>
      <c r="G6" s="58"/>
      <c r="H6" s="58"/>
      <c r="I6" s="56"/>
      <c r="J6" s="59"/>
      <c r="K6" s="59"/>
      <c r="L6" s="59"/>
      <c r="M6" s="59"/>
      <c r="N6" s="59"/>
      <c r="O6" s="58"/>
      <c r="P6" s="58"/>
      <c r="Q6" s="60"/>
      <c r="R6" s="57"/>
      <c r="S6" s="2"/>
      <c r="T6" s="58"/>
      <c r="U6" s="60"/>
      <c r="V6" s="59"/>
      <c r="W6" s="59"/>
      <c r="X6" s="59"/>
      <c r="Y6" s="62"/>
      <c r="Z6" s="30"/>
      <c r="AA6" s="31"/>
    </row>
    <row r="7">
      <c r="A7" s="63" t="s">
        <v>91</v>
      </c>
      <c r="B7" s="35"/>
      <c r="C7" s="35"/>
      <c r="D7" s="64"/>
      <c r="E7" s="65"/>
      <c r="F7" s="65"/>
      <c r="G7" s="66"/>
      <c r="H7" s="66" t="s">
        <v>94</v>
      </c>
      <c r="I7" s="66"/>
      <c r="J7" s="67"/>
      <c r="K7" s="67"/>
      <c r="L7" s="67"/>
      <c r="M7" s="67"/>
      <c r="N7" s="67"/>
      <c r="O7" s="66"/>
      <c r="P7" s="66"/>
      <c r="Q7" s="68"/>
      <c r="R7" s="65"/>
      <c r="S7" s="70"/>
      <c r="T7" s="66" t="s">
        <v>94</v>
      </c>
      <c r="U7" s="68"/>
      <c r="V7" s="71"/>
      <c r="W7" s="71"/>
      <c r="X7" s="71"/>
      <c r="Y7" s="72"/>
      <c r="Z7" s="30"/>
      <c r="AA7" s="31"/>
    </row>
    <row r="8">
      <c r="A8" s="2"/>
      <c r="B8" s="2"/>
      <c r="C8" s="2"/>
      <c r="D8" s="2"/>
      <c r="E8" s="2"/>
      <c r="F8" s="2"/>
      <c r="G8" s="2"/>
      <c r="H8" s="2"/>
      <c r="I8" s="2"/>
      <c r="J8" s="2"/>
      <c r="K8" s="2"/>
      <c r="L8" s="2"/>
      <c r="M8" s="2"/>
      <c r="N8" s="2"/>
      <c r="O8" s="2"/>
      <c r="P8" s="2"/>
      <c r="Q8" s="2"/>
      <c r="R8" s="2"/>
      <c r="S8" s="2"/>
      <c r="T8" s="74"/>
      <c r="U8" s="2"/>
      <c r="V8" s="2"/>
      <c r="W8" s="2"/>
      <c r="X8" s="2"/>
      <c r="Y8" s="2"/>
      <c r="Z8" s="30"/>
      <c r="AA8" s="31"/>
    </row>
    <row r="9" ht="15.75" customHeight="1">
      <c r="A9" s="75" t="s">
        <v>103</v>
      </c>
      <c r="B9" s="76" t="s">
        <v>108</v>
      </c>
      <c r="C9" s="76" t="s">
        <v>113</v>
      </c>
      <c r="D9" s="77" t="s">
        <v>114</v>
      </c>
      <c r="E9" s="77" t="s">
        <v>115</v>
      </c>
      <c r="F9" s="77" t="s">
        <v>116</v>
      </c>
      <c r="G9" s="76" t="s">
        <v>117</v>
      </c>
      <c r="H9" s="78" t="s">
        <v>119</v>
      </c>
      <c r="I9" s="76" t="s">
        <v>122</v>
      </c>
      <c r="J9" s="80" t="s">
        <v>123</v>
      </c>
      <c r="K9" s="81"/>
      <c r="L9" s="81"/>
      <c r="M9" s="81"/>
      <c r="N9" s="81"/>
      <c r="O9" s="82"/>
      <c r="P9" s="83" t="s">
        <v>125</v>
      </c>
      <c r="Q9" s="76" t="s">
        <v>128</v>
      </c>
      <c r="R9" s="78" t="s">
        <v>129</v>
      </c>
      <c r="S9" s="78" t="s">
        <v>12</v>
      </c>
      <c r="T9" s="78" t="s">
        <v>2</v>
      </c>
      <c r="U9" s="84" t="s">
        <v>130</v>
      </c>
      <c r="V9" s="85" t="s">
        <v>131</v>
      </c>
      <c r="W9" s="86" t="s">
        <v>132</v>
      </c>
      <c r="X9" s="87" t="s">
        <v>134</v>
      </c>
      <c r="Y9" s="88" t="s">
        <v>136</v>
      </c>
      <c r="Z9" s="30"/>
      <c r="AA9" s="31"/>
    </row>
    <row r="10" ht="118.5" customHeight="1">
      <c r="A10" s="89"/>
      <c r="B10" s="90"/>
      <c r="C10" s="90"/>
      <c r="D10" s="91"/>
      <c r="E10" s="91"/>
      <c r="F10" s="91"/>
      <c r="G10" s="90"/>
      <c r="H10" s="91"/>
      <c r="I10" s="90"/>
      <c r="J10" s="92" t="s">
        <v>144</v>
      </c>
      <c r="K10" s="93" t="s">
        <v>145</v>
      </c>
      <c r="L10" s="94" t="s">
        <v>146</v>
      </c>
      <c r="M10" s="94" t="s">
        <v>147</v>
      </c>
      <c r="N10" s="95" t="s">
        <v>148</v>
      </c>
      <c r="O10" s="96" t="s">
        <v>149</v>
      </c>
      <c r="P10" s="97"/>
      <c r="Q10" s="90"/>
      <c r="R10" s="91"/>
      <c r="S10" s="91"/>
      <c r="T10" s="91"/>
      <c r="U10" s="98"/>
      <c r="V10" s="99"/>
      <c r="W10" s="100"/>
      <c r="X10" s="91"/>
      <c r="Y10" s="101"/>
      <c r="Z10" s="30"/>
      <c r="AA10" s="31"/>
    </row>
    <row r="11" ht="112.5" customHeight="1">
      <c r="A11" s="102"/>
      <c r="B11" s="103"/>
      <c r="C11" s="103"/>
      <c r="D11" s="103" t="s">
        <v>160</v>
      </c>
      <c r="E11" s="103" t="s">
        <v>167</v>
      </c>
      <c r="F11" s="103"/>
      <c r="G11" s="105"/>
      <c r="H11" s="103"/>
      <c r="I11" s="105"/>
      <c r="J11" s="103"/>
      <c r="K11" s="103"/>
      <c r="L11" s="103" t="str">
        <f>IF(OR(J11&lt;&gt;"",K11&lt;&gt;""),OFFSET('PARÁMETROS'!$B$2,K11,J11),"")</f>
        <v/>
      </c>
      <c r="M11" s="103"/>
      <c r="N11" s="103">
        <f>IFERROR(L11*M11,"")</f>
        <v>0</v>
      </c>
      <c r="O11" s="108" t="str">
        <f>IF(N11="","",IFERROR(IF(N11&lt;=2,"ACEPTABLE",IF(N11&lt;=6,"BAJA",IF(N11&lt;=10,"ACEPTABLE CON REVISIÓN",IF(N11&lt;=15,"SUSTANCIAL","INACEPTABLE")))),""))</f>
        <v>ACEPTABLE</v>
      </c>
      <c r="P11" s="113"/>
      <c r="Q11" s="114"/>
      <c r="R11" s="114"/>
      <c r="S11" s="114"/>
      <c r="T11" s="115"/>
      <c r="U11" s="115"/>
      <c r="V11" s="118" t="str">
        <f>IFERROR(IF(AA11="SEGURIDAD",OFFSET('PARÁMETROS'!$K$2,MATCH(U11,JC_SE,0),MATCH(T11,CC_SE,0)),
IF(OR(AA11="DSRC/Estratégico",AA11="DSRC/Operativo"),OFFSET('PARÁMETROS'!$K$11,MATCH(U11,JC_DS,0),MATCH(T11,CC_DS,0)),
IF(AA11="SALUD",OFFSET('PARÁMETROS'!$K$29,MATCH(U11,JC_SA,0),MATCH(T11,CC_SA,0)),
IF(AA11="MEDIO AMBIENTE",OFFSET('PARÁMETROS'!$K$20,MATCH(U11,JC_MA,0),MATCH(T11,CC_MA,0)),
IF(AA11="Rel. Gubernamentales",OFFSET('PARÁMETROS'!$K$48,MATCH(U11,JC_G,0),MATCH(T11,CC_G,0)),
IF(AA11="OPERACIONAL",OFFSET('PARÁMETROS'!$K$56,MATCH(U11,JC_OP,0),MATCH(T11,CC_OP,0)),
IF(AA11="FINANCIERO",OFFSET('PARÁMETROS'!$K$56,MATCH(U11,JC_FI,0),MATCH(T11,CC_FI,0)),
OFFSET('PARÁMETROS'!$K$38,MATCH(U11,JC_L,0),MATCH(T11,CC_L,0))))))))),"")</f>
        <v/>
      </c>
      <c r="W11" s="108" t="str">
        <f>IF(E11="","",
IF(COUNTA(V11:V26)-COUNTBLANK(V11:V26)=1,
IF(O11="INACEPTABLE",IF(COUNTIF(V11:V26,"Control/Acción Eficaz")&gt;=1,"SUSTANCIAL","INACEPTABLE"),
IF(O11="SUSTANCIAL",IF(COUNTIF(V11:V26,"Control/Acción Eficaz")&gt;=1,"ACEPTABLE CON REVISIÓN","SUSTANCIAL"),
IF(O11="ACEPTABLE CON REVISIÓN",IF(COUNTIF(V11:V26,"Control/Acción Eficaz")&gt;=1,"BAJA","ACEPTABLE CON REVISIÓN"),
IF(O11="BAJA",IF(COUNTIF(V11:V26,"Control/Acción Eficaz")&gt;=1,"ACEPTABLE","BAJA"),)))),
IF(COUNTA(V11:V26)-COUNTBLANK(V11:V26)=2,
IF(O11="INACEPTABLE",IF(COUNTIF(V11:V26,"Control/Acción Eficaz")=2,"ACEPTABLE CON REVISIÓN",
IF(OR(AND(COUNTIF(V11:V26,"Control/Acción Eficaz")=1,COUNTIF(V11:V26,"Control/Acción Satisfactorio")=1),
AND(COUNTIF(V11:V26,"Control/Acción Eficaz")=1,COUNTIF(V11:V26,"Control/Acción No Eficaz")=1)),"SUSTANCIAL","INACEPTABLE")),
IF(O11="SUSTANCIAL",IF(COUNTIF(V11:V26,"Control/Acción Eficaz")=2,"BAJA",
IF(OR(AND(COUNTIF(V11:V26,"Control/Acción Eficaz")=1,COUNTIF(V11:V26,"Control/Acción Satisfactorio")=1),
AND(COUNTIF(V11:V26,"Control/Acción Eficaz")=1,COUNTIF(V11:V26,"Control/Acción No Eficaz")=1)),"ACEPTABLE CON REVISIÓN ","SUSTANCIAL")),
IF(O11="ACEPTABLE CON REVISIÓN",IF(COUNTIF(V11:V26,"Control/Acción Eficaz")=2,"ACEPTABLE",
IF(OR(AND(COUNTIF(V11:V26,"Control/Acción Eficaz")=1,COUNTIF(V11:V26,"Control/Acción Satisfactorio")=1),
AND(COUNTIF(V11:V26,"Control/Acción Eficaz")=1,COUNTIF(V11:V26,"Control/Acción No Eficaz")=1)),"BAJA","ACEPTABLE CON REVISIÓN")),
IF(O11="BAJA",IF(COUNTIF(V11:V26,"Control/Acción Eficaz")&gt;=2,"ACEPTABLE","BAJA"),)))),
IF(COUNTA(V11:V26)-COUNTBLANK(V11:V26)&gt;=3,
IF(O11="INACEPTABLE",
IF(COUNTBLANK(V11:V26)=COUNTA(V11:V26),"",
IF(COUNTIF(V11:V26,"Control/Acción No Eficaz")&gt;=2,"INACEPTABLE",
IF(AND(COUNTIF(V11:V26,"Control/Acción No Eficaz")=0,COUNTIF(V11:V26,"Control/Acción Eficaz")&gt;=2),"ACEPTABLE CON REVISIÓN ","SUSTANCIAL"))),
IF(O11="SUSTANCIAL",
IF(COUNTBLANK(V11:V26)=COUNTA(V11:V26),"",
IF(COUNTIF(V11:V26,"Control/Acción No Eficaz")&gt;=2,"SUSTANCIAL",
IF(AND(COUNTIF(V11:V26,"Control/Acción No Eficaz")=0,COUNTIF(V11:V26,"Control/Acción Eficaz")&gt;=2),"BAJA","ACEPTABLE CON REVISIÓN"))),
IF(O11="ACEPTABLE CON REVISIÓN",
IF(COUNTBLANK(V11:V26)=COUNTA(V11:V26),"",
IF(COUNTIF(V11:V26,"Control/Acción No Eficaz")&gt;=2,"ACEPTABLE CON REVISIÓN",
IF(AND(COUNTIF(V11:V26,"Control/Acción No Eficaz")=0,COUNTIF(V11:V26,"Control/Acción Eficaz")&gt;=2),"ACEPTABLE","BAJA"))),
IF(O11="BAJA",
IF(COUNTBLANK(V11:V26)=COUNTA(V11:V26),"",
IF(AND(COUNTBLANK(V11:V26)&lt;1,COUNTA(V11:V26)=1),
IF(COUNTIF(V11:V26,"Control/Acción No Eficaz")&gt;=2,"BAJA",
IF(AND(COUNTIF(V11:V26,"Control/Acción No Eficaz")=0,COUNTIF(V11:V26,"Control/Acción Eficaz")&gt;=2),"ACEPTABLE","BAJA")),
IF(COUNTIF(V11:V26,"Control/Acción No Eficaz")&gt;=2,"BAJA",
IF(AND(COUNTIF(V11:V26,"Control/Acción No Eficaz")=0,COUNTIF(V11:V26,"Control/Acción Eficaz")&gt;=2),"ACEPTABLE","BAJA")))),
IF(COUNTIF(V11:V26,"")&gt;=5,"",O11))))),
""))))</f>
        <v/>
      </c>
      <c r="X11" s="115"/>
      <c r="Y11" s="128"/>
      <c r="Z11" s="30"/>
      <c r="AA11" s="31" t="str">
        <f>E11</f>
        <v>Seguridad</v>
      </c>
    </row>
    <row r="12" ht="115.5" customHeight="1">
      <c r="A12" s="129"/>
      <c r="B12" s="130"/>
      <c r="C12" s="130"/>
      <c r="D12" s="130"/>
      <c r="E12" s="130"/>
      <c r="F12" s="130"/>
      <c r="G12" s="130"/>
      <c r="H12" s="130"/>
      <c r="I12" s="130"/>
      <c r="J12" s="130"/>
      <c r="K12" s="130"/>
      <c r="L12" s="130"/>
      <c r="M12" s="130"/>
      <c r="N12" s="130"/>
      <c r="O12" s="130"/>
      <c r="P12" s="132"/>
      <c r="Q12" s="134"/>
      <c r="R12" s="134"/>
      <c r="S12" s="134"/>
      <c r="T12" s="135"/>
      <c r="U12" s="135"/>
      <c r="V12" s="118" t="str">
        <f>IFERROR(IF(AA12="SEGURIDAD",OFFSET('PARÁMETROS'!$K$2,MATCH(U12,JC_SE,0),MATCH(T12,CC_SE,0)),
IF(OR(AA12="DSRC/Estratégico",AA12="DSRC/Operativo"),OFFSET('PARÁMETROS'!$K$11,MATCH(U12,JC_DS,0),MATCH(T12,CC_DS,0)),
IF(AA12="SALUD",OFFSET('PARÁMETROS'!$K$29,MATCH(U12,JC_SA,0),MATCH(T12,CC_SA,0)),
IF(AA12="MEDIO AMBIENTE",OFFSET('PARÁMETROS'!$K$20,MATCH(U12,JC_MA,0),MATCH(T12,CC_MA,0)),
IF(AA12="Rel. Gubernamentales",OFFSET('PARÁMETROS'!$K$48,MATCH(U12,JC_G,0),MATCH(T12,CC_G,0)),
IF(AA12="OPERACIONAL",OFFSET('PARÁMETROS'!$K$56,MATCH(U12,JC_OP,0),MATCH(T12,CC_OP,0)),
IF(AA12="FINANCIERO",OFFSET('PARÁMETROS'!$K$56,MATCH(U12,JC_FI,0),MATCH(T12,CC_FI,0)),
OFFSET('PARÁMETROS'!$K$38,MATCH(U12,JC_L,0),MATCH(T12,CC_L,0))))))))),"")</f>
        <v/>
      </c>
      <c r="W12" s="130"/>
      <c r="X12" s="135"/>
      <c r="Y12" s="136"/>
      <c r="Z12" s="30"/>
      <c r="AA12" s="31" t="str">
        <f>E11</f>
        <v>Seguridad</v>
      </c>
    </row>
    <row r="13" ht="105.75" customHeight="1">
      <c r="A13" s="129"/>
      <c r="B13" s="130"/>
      <c r="C13" s="130"/>
      <c r="D13" s="130"/>
      <c r="E13" s="130"/>
      <c r="F13" s="130"/>
      <c r="G13" s="130"/>
      <c r="H13" s="130"/>
      <c r="I13" s="130"/>
      <c r="J13" s="130"/>
      <c r="K13" s="130"/>
      <c r="L13" s="130"/>
      <c r="M13" s="130"/>
      <c r="N13" s="130"/>
      <c r="O13" s="130"/>
      <c r="P13" s="132"/>
      <c r="Q13" s="134"/>
      <c r="R13" s="134"/>
      <c r="S13" s="134"/>
      <c r="T13" s="135"/>
      <c r="U13" s="135"/>
      <c r="V13" s="118" t="str">
        <f>IFERROR(IF(AA13="SEGURIDAD",OFFSET('PARÁMETROS'!$K$2,MATCH(U13,JC_SE,0),MATCH(T13,CC_SE,0)),
IF(OR(AA13="DSRC/Estratégico",AA13="DSRC/Operativo"),OFFSET('PARÁMETROS'!$K$11,MATCH(U13,JC_DS,0),MATCH(T13,CC_DS,0)),
IF(AA13="SALUD",OFFSET('PARÁMETROS'!$K$29,MATCH(U13,JC_SA,0),MATCH(T13,CC_SA,0)),
IF(AA13="MEDIO AMBIENTE",OFFSET('PARÁMETROS'!$K$20,MATCH(U13,JC_MA,0),MATCH(T13,CC_MA,0)),
IF(AA13="Rel. Gubernamentales",OFFSET('PARÁMETROS'!$K$48,MATCH(U13,JC_G,0),MATCH(T13,CC_G,0)),
IF(AA13="OPERACIONAL",OFFSET('PARÁMETROS'!$K$56,MATCH(U13,JC_OP,0),MATCH(T13,CC_OP,0)),
IF(AA13="FINANCIERO",OFFSET('PARÁMETROS'!$K$56,MATCH(U13,JC_FI,0),MATCH(T13,CC_FI,0)),
OFFSET('PARÁMETROS'!$K$38,MATCH(U13,JC_L,0),MATCH(T13,CC_L,0))))))))),"")</f>
        <v/>
      </c>
      <c r="W13" s="130"/>
      <c r="X13" s="135"/>
      <c r="Y13" s="136"/>
      <c r="Z13" s="30"/>
      <c r="AA13" s="31" t="str">
        <f>E11</f>
        <v>Seguridad</v>
      </c>
    </row>
    <row r="14" ht="87.0" customHeight="1">
      <c r="A14" s="129"/>
      <c r="B14" s="130"/>
      <c r="C14" s="130"/>
      <c r="D14" s="130"/>
      <c r="E14" s="130"/>
      <c r="F14" s="130"/>
      <c r="G14" s="130"/>
      <c r="H14" s="130"/>
      <c r="I14" s="130"/>
      <c r="J14" s="130"/>
      <c r="K14" s="130"/>
      <c r="L14" s="130"/>
      <c r="M14" s="130"/>
      <c r="N14" s="130"/>
      <c r="O14" s="130"/>
      <c r="P14" s="132"/>
      <c r="Q14" s="134"/>
      <c r="R14" s="134"/>
      <c r="S14" s="134"/>
      <c r="T14" s="135"/>
      <c r="U14" s="135"/>
      <c r="V14" s="118" t="str">
        <f>IFERROR(IF(AA14="SEGURIDAD",OFFSET('PARÁMETROS'!$K$2,MATCH(U14,JC_SE,0),MATCH(T14,CC_SE,0)),
IF(OR(AA14="DSRC/Estratégico",AA14="DSRC/Operativo"),OFFSET('PARÁMETROS'!$K$11,MATCH(U14,JC_DS,0),MATCH(T14,CC_DS,0)),
IF(AA14="SALUD",OFFSET('PARÁMETROS'!$K$29,MATCH(U14,JC_SA,0),MATCH(T14,CC_SA,0)),
IF(AA14="MEDIO AMBIENTE",OFFSET('PARÁMETROS'!$K$20,MATCH(U14,JC_MA,0),MATCH(T14,CC_MA,0)),
IF(AA14="Rel. Gubernamentales",OFFSET('PARÁMETROS'!$K$48,MATCH(U14,JC_G,0),MATCH(T14,CC_G,0)),
IF(AA14="OPERACIONAL",OFFSET('PARÁMETROS'!$K$56,MATCH(U14,JC_OP,0),MATCH(T14,CC_OP,0)),
IF(AA14="FINANCIERO",OFFSET('PARÁMETROS'!$K$56,MATCH(U14,JC_FI,0),MATCH(T14,CC_FI,0)),
OFFSET('PARÁMETROS'!$K$38,MATCH(U14,JC_L,0),MATCH(T14,CC_L,0))))))))),"")</f>
        <v/>
      </c>
      <c r="W14" s="130"/>
      <c r="X14" s="135"/>
      <c r="Y14" s="136"/>
      <c r="Z14" s="30"/>
      <c r="AA14" s="31" t="str">
        <f>E11</f>
        <v>Seguridad</v>
      </c>
    </row>
    <row r="15" ht="87.0" customHeight="1">
      <c r="A15" s="129"/>
      <c r="B15" s="130"/>
      <c r="C15" s="130"/>
      <c r="D15" s="130"/>
      <c r="E15" s="130"/>
      <c r="F15" s="130"/>
      <c r="G15" s="130"/>
      <c r="H15" s="130"/>
      <c r="I15" s="130"/>
      <c r="J15" s="130"/>
      <c r="K15" s="130"/>
      <c r="L15" s="130"/>
      <c r="M15" s="130"/>
      <c r="N15" s="130"/>
      <c r="O15" s="130"/>
      <c r="P15" s="132"/>
      <c r="Q15" s="134"/>
      <c r="R15" s="134"/>
      <c r="S15" s="134"/>
      <c r="T15" s="135"/>
      <c r="U15" s="135"/>
      <c r="V15" s="118" t="str">
        <f>IFERROR(IF(AA15="SEGURIDAD",OFFSET('PARÁMETROS'!$K$2,MATCH(U15,JC_SE,0),MATCH(T15,CC_SE,0)),
IF(OR(AA15="DSRC/Estratégico",AA15="DSRC/Operativo"),OFFSET('PARÁMETROS'!$K$11,MATCH(U15,JC_DS,0),MATCH(T15,CC_DS,0)),
IF(AA15="SALUD",OFFSET('PARÁMETROS'!$K$29,MATCH(U15,JC_SA,0),MATCH(T15,CC_SA,0)),
IF(AA15="MEDIO AMBIENTE",OFFSET('PARÁMETROS'!$K$20,MATCH(U15,JC_MA,0),MATCH(T15,CC_MA,0)),
IF(AA15="Rel. Gubernamentales",OFFSET('PARÁMETROS'!$K$48,MATCH(U15,JC_G,0),MATCH(T15,CC_G,0)),
IF(AA15="OPERACIONAL",OFFSET('PARÁMETROS'!$K$56,MATCH(U15,JC_OP,0),MATCH(T15,CC_OP,0)),
IF(AA15="FINANCIERO",OFFSET('PARÁMETROS'!$K$56,MATCH(U15,JC_FI,0),MATCH(T15,CC_FI,0)),
OFFSET('PARÁMETROS'!$K$38,MATCH(U15,JC_L,0),MATCH(T15,CC_L,0))))))))),"")</f>
        <v/>
      </c>
      <c r="W15" s="130"/>
      <c r="X15" s="135"/>
      <c r="Y15" s="136"/>
      <c r="Z15" s="30"/>
      <c r="AA15" s="31" t="str">
        <f>E11</f>
        <v>Seguridad</v>
      </c>
    </row>
    <row r="16" ht="87.0" customHeight="1">
      <c r="A16" s="129"/>
      <c r="B16" s="130"/>
      <c r="C16" s="130"/>
      <c r="D16" s="130"/>
      <c r="E16" s="130"/>
      <c r="F16" s="130"/>
      <c r="G16" s="130"/>
      <c r="H16" s="130"/>
      <c r="I16" s="130"/>
      <c r="J16" s="130"/>
      <c r="K16" s="130"/>
      <c r="L16" s="130"/>
      <c r="M16" s="130"/>
      <c r="N16" s="130"/>
      <c r="O16" s="130"/>
      <c r="P16" s="132"/>
      <c r="Q16" s="134"/>
      <c r="R16" s="134"/>
      <c r="S16" s="134"/>
      <c r="T16" s="135"/>
      <c r="U16" s="135"/>
      <c r="V16" s="118" t="str">
        <f>IFERROR(IF(AA16="SEGURIDAD",OFFSET('PARÁMETROS'!$K$2,MATCH(U16,JC_SE,0),MATCH(T16,CC_SE,0)),
IF(OR(AA16="DSRC/Estratégico",AA16="DSRC/Operativo"),OFFSET('PARÁMETROS'!$K$11,MATCH(U16,JC_DS,0),MATCH(T16,CC_DS,0)),
IF(AA16="SALUD",OFFSET('PARÁMETROS'!$K$29,MATCH(U16,JC_SA,0),MATCH(T16,CC_SA,0)),
IF(AA16="MEDIO AMBIENTE",OFFSET('PARÁMETROS'!$K$20,MATCH(U16,JC_MA,0),MATCH(T16,CC_MA,0)),
IF(AA16="Rel. Gubernamentales",OFFSET('PARÁMETROS'!$K$48,MATCH(U16,JC_G,0),MATCH(T16,CC_G,0)),
IF(AA16="OPERACIONAL",OFFSET('PARÁMETROS'!$K$56,MATCH(U16,JC_OP,0),MATCH(T16,CC_OP,0)),
IF(AA16="FINANCIERO",OFFSET('PARÁMETROS'!$K$56,MATCH(U16,JC_FI,0),MATCH(T16,CC_FI,0)),
OFFSET('PARÁMETROS'!$K$38,MATCH(U16,JC_L,0),MATCH(T16,CC_L,0))))))))),"")</f>
        <v/>
      </c>
      <c r="W16" s="130"/>
      <c r="X16" s="135"/>
      <c r="Y16" s="136"/>
      <c r="Z16" s="30"/>
      <c r="AA16" s="31" t="str">
        <f>E11</f>
        <v>Seguridad</v>
      </c>
    </row>
    <row r="17" ht="87.0" customHeight="1">
      <c r="A17" s="129"/>
      <c r="B17" s="130"/>
      <c r="C17" s="130"/>
      <c r="D17" s="130"/>
      <c r="E17" s="130"/>
      <c r="F17" s="130"/>
      <c r="G17" s="130"/>
      <c r="H17" s="130"/>
      <c r="I17" s="130"/>
      <c r="J17" s="130"/>
      <c r="K17" s="130"/>
      <c r="L17" s="130"/>
      <c r="M17" s="130"/>
      <c r="N17" s="130"/>
      <c r="O17" s="130"/>
      <c r="P17" s="132"/>
      <c r="Q17" s="134"/>
      <c r="R17" s="134"/>
      <c r="S17" s="134"/>
      <c r="T17" s="135"/>
      <c r="U17" s="135"/>
      <c r="V17" s="118" t="str">
        <f>IFERROR(IF(AA17="SEGURIDAD",OFFSET('PARÁMETROS'!$K$2,MATCH(U17,JC_SE,0),MATCH(T17,CC_SE,0)),
IF(OR(AA17="DSRC/Estratégico",AA17="DSRC/Operativo"),OFFSET('PARÁMETROS'!$K$11,MATCH(U17,JC_DS,0),MATCH(T17,CC_DS,0)),
IF(AA17="SALUD",OFFSET('PARÁMETROS'!$K$29,MATCH(U17,JC_SA,0),MATCH(T17,CC_SA,0)),
IF(AA17="MEDIO AMBIENTE",OFFSET('PARÁMETROS'!$K$20,MATCH(U17,JC_MA,0),MATCH(T17,CC_MA,0)),
IF(AA17="Rel. Gubernamentales",OFFSET('PARÁMETROS'!$K$48,MATCH(U17,JC_G,0),MATCH(T17,CC_G,0)),
IF(AA17="OPERACIONAL",OFFSET('PARÁMETROS'!$K$56,MATCH(U17,JC_OP,0),MATCH(T17,CC_OP,0)),
IF(AA17="FINANCIERO",OFFSET('PARÁMETROS'!$K$56,MATCH(U17,JC_FI,0),MATCH(T17,CC_FI,0)),
OFFSET('PARÁMETROS'!$K$38,MATCH(U17,JC_L,0),MATCH(T17,CC_L,0))))))))),"")</f>
        <v/>
      </c>
      <c r="W17" s="130"/>
      <c r="X17" s="135"/>
      <c r="Y17" s="136"/>
      <c r="Z17" s="30"/>
      <c r="AA17" s="31" t="str">
        <f>E11</f>
        <v>Seguridad</v>
      </c>
    </row>
    <row r="18" ht="87.0" customHeight="1">
      <c r="A18" s="129"/>
      <c r="B18" s="130"/>
      <c r="C18" s="130"/>
      <c r="D18" s="130"/>
      <c r="E18" s="130"/>
      <c r="F18" s="130"/>
      <c r="G18" s="130"/>
      <c r="H18" s="130"/>
      <c r="I18" s="130"/>
      <c r="J18" s="130"/>
      <c r="K18" s="130"/>
      <c r="L18" s="130"/>
      <c r="M18" s="130"/>
      <c r="N18" s="130"/>
      <c r="O18" s="130"/>
      <c r="P18" s="132"/>
      <c r="Q18" s="134"/>
      <c r="R18" s="134"/>
      <c r="S18" s="134"/>
      <c r="T18" s="135"/>
      <c r="U18" s="135"/>
      <c r="V18" s="118" t="str">
        <f>IFERROR(IF(AA18="SEGURIDAD",OFFSET('PARÁMETROS'!$K$2,MATCH(U18,JC_SE,0),MATCH(T18,CC_SE,0)),
IF(OR(AA18="DSRC/Estratégico",AA18="DSRC/Operativo"),OFFSET('PARÁMETROS'!$K$11,MATCH(U18,JC_DS,0),MATCH(T18,CC_DS,0)),
IF(AA18="SALUD",OFFSET('PARÁMETROS'!$K$29,MATCH(U18,JC_SA,0),MATCH(T18,CC_SA,0)),
IF(AA18="MEDIO AMBIENTE",OFFSET('PARÁMETROS'!$K$20,MATCH(U18,JC_MA,0),MATCH(T18,CC_MA,0)),
IF(AA18="Rel. Gubernamentales",OFFSET('PARÁMETROS'!$K$48,MATCH(U18,JC_G,0),MATCH(T18,CC_G,0)),
IF(AA18="OPERACIONAL",OFFSET('PARÁMETROS'!$K$56,MATCH(U18,JC_OP,0),MATCH(T18,CC_OP,0)),
IF(AA18="FINANCIERO",OFFSET('PARÁMETROS'!$K$56,MATCH(U18,JC_FI,0),MATCH(T18,CC_FI,0)),
OFFSET('PARÁMETROS'!$K$38,MATCH(U18,JC_L,0),MATCH(T18,CC_L,0))))))))),"")</f>
        <v/>
      </c>
      <c r="W18" s="130"/>
      <c r="X18" s="135"/>
      <c r="Y18" s="136"/>
      <c r="Z18" s="30"/>
      <c r="AA18" s="31" t="str">
        <f>E11</f>
        <v>Seguridad</v>
      </c>
    </row>
    <row r="19" ht="87.0" customHeight="1">
      <c r="A19" s="129"/>
      <c r="B19" s="130"/>
      <c r="C19" s="130"/>
      <c r="D19" s="130"/>
      <c r="E19" s="130"/>
      <c r="F19" s="130"/>
      <c r="G19" s="130"/>
      <c r="H19" s="130"/>
      <c r="I19" s="130"/>
      <c r="J19" s="130"/>
      <c r="K19" s="130"/>
      <c r="L19" s="130"/>
      <c r="M19" s="130"/>
      <c r="N19" s="130"/>
      <c r="O19" s="130"/>
      <c r="P19" s="132"/>
      <c r="Q19" s="134"/>
      <c r="R19" s="134"/>
      <c r="S19" s="134"/>
      <c r="T19" s="135"/>
      <c r="U19" s="135"/>
      <c r="V19" s="118" t="str">
        <f>IFERROR(IF(AA19="SEGURIDAD",OFFSET('PARÁMETROS'!$K$2,MATCH(U19,JC_SE,0),MATCH(T19,CC_SE,0)),
IF(OR(AA19="DSRC/Estratégico",AA19="DSRC/Operativo"),OFFSET('PARÁMETROS'!$K$11,MATCH(U19,JC_DS,0),MATCH(T19,CC_DS,0)),
IF(AA19="SALUD",OFFSET('PARÁMETROS'!$K$29,MATCH(U19,JC_SA,0),MATCH(T19,CC_SA,0)),
IF(AA19="MEDIO AMBIENTE",OFFSET('PARÁMETROS'!$K$20,MATCH(U19,JC_MA,0),MATCH(T19,CC_MA,0)),
IF(AA19="Rel. Gubernamentales",OFFSET('PARÁMETROS'!$K$48,MATCH(U19,JC_G,0),MATCH(T19,CC_G,0)),
IF(AA19="OPERACIONAL",OFFSET('PARÁMETROS'!$K$56,MATCH(U19,JC_OP,0),MATCH(T19,CC_OP,0)),
IF(AA19="FINANCIERO",OFFSET('PARÁMETROS'!$K$56,MATCH(U19,JC_FI,0),MATCH(T19,CC_FI,0)),
OFFSET('PARÁMETROS'!$K$38,MATCH(U19,JC_L,0),MATCH(T19,CC_L,0))))))))),"")</f>
        <v/>
      </c>
      <c r="W19" s="130"/>
      <c r="X19" s="135"/>
      <c r="Y19" s="136"/>
      <c r="Z19" s="30"/>
      <c r="AA19" s="31" t="str">
        <f>E11</f>
        <v>Seguridad</v>
      </c>
    </row>
    <row r="20" ht="87.0" customHeight="1">
      <c r="A20" s="129"/>
      <c r="B20" s="130"/>
      <c r="C20" s="130"/>
      <c r="D20" s="130"/>
      <c r="E20" s="130"/>
      <c r="F20" s="130"/>
      <c r="G20" s="130"/>
      <c r="H20" s="130"/>
      <c r="I20" s="130"/>
      <c r="J20" s="130"/>
      <c r="K20" s="130"/>
      <c r="L20" s="130"/>
      <c r="M20" s="130"/>
      <c r="N20" s="130"/>
      <c r="O20" s="130"/>
      <c r="P20" s="132"/>
      <c r="Q20" s="134"/>
      <c r="R20" s="134"/>
      <c r="S20" s="134"/>
      <c r="T20" s="135"/>
      <c r="U20" s="135"/>
      <c r="V20" s="118" t="str">
        <f>IFERROR(IF(AA20="SEGURIDAD",OFFSET('PARÁMETROS'!$K$2,MATCH(U20,JC_SE,0),MATCH(T20,CC_SE,0)),
IF(OR(AA20="DSRC/Estratégico",AA20="DSRC/Operativo"),OFFSET('PARÁMETROS'!$K$11,MATCH(U20,JC_DS,0),MATCH(T20,CC_DS,0)),
IF(AA20="SALUD",OFFSET('PARÁMETROS'!$K$29,MATCH(U20,JC_SA,0),MATCH(T20,CC_SA,0)),
IF(AA20="MEDIO AMBIENTE",OFFSET('PARÁMETROS'!$K$20,MATCH(U20,JC_MA,0),MATCH(T20,CC_MA,0)),
IF(AA20="Rel. Gubernamentales",OFFSET('PARÁMETROS'!$K$48,MATCH(U20,JC_G,0),MATCH(T20,CC_G,0)),
IF(AA20="OPERACIONAL",OFFSET('PARÁMETROS'!$K$56,MATCH(U20,JC_OP,0),MATCH(T20,CC_OP,0)),
IF(AA20="FINANCIERO",OFFSET('PARÁMETROS'!$K$56,MATCH(U20,JC_FI,0),MATCH(T20,CC_FI,0)),
OFFSET('PARÁMETROS'!$K$38,MATCH(U20,JC_L,0),MATCH(T20,CC_L,0))))))))),"")</f>
        <v/>
      </c>
      <c r="W20" s="130"/>
      <c r="X20" s="135"/>
      <c r="Y20" s="136"/>
      <c r="Z20" s="30"/>
      <c r="AA20" s="31" t="str">
        <f>E11</f>
        <v>Seguridad</v>
      </c>
    </row>
    <row r="21" ht="87.0" customHeight="1">
      <c r="A21" s="129"/>
      <c r="B21" s="130"/>
      <c r="C21" s="130"/>
      <c r="D21" s="130"/>
      <c r="E21" s="130"/>
      <c r="F21" s="130"/>
      <c r="G21" s="130"/>
      <c r="H21" s="130"/>
      <c r="I21" s="130"/>
      <c r="J21" s="130"/>
      <c r="K21" s="130"/>
      <c r="L21" s="130"/>
      <c r="M21" s="130"/>
      <c r="N21" s="130"/>
      <c r="O21" s="130"/>
      <c r="P21" s="132"/>
      <c r="Q21" s="134"/>
      <c r="R21" s="134"/>
      <c r="S21" s="134"/>
      <c r="T21" s="135"/>
      <c r="U21" s="135"/>
      <c r="V21" s="118" t="str">
        <f>IFERROR(IF(AA21="SEGURIDAD",OFFSET('PARÁMETROS'!$K$2,MATCH(U21,JC_SE,0),MATCH(T21,CC_SE,0)),
IF(OR(AA21="DSRC/Estratégico",AA21="DSRC/Operativo"),OFFSET('PARÁMETROS'!$K$11,MATCH(U21,JC_DS,0),MATCH(T21,CC_DS,0)),
IF(AA21="SALUD",OFFSET('PARÁMETROS'!$K$29,MATCH(U21,JC_SA,0),MATCH(T21,CC_SA,0)),
IF(AA21="MEDIO AMBIENTE",OFFSET('PARÁMETROS'!$K$20,MATCH(U21,JC_MA,0),MATCH(T21,CC_MA,0)),
IF(AA21="Rel. Gubernamentales",OFFSET('PARÁMETROS'!$K$48,MATCH(U21,JC_G,0),MATCH(T21,CC_G,0)),
IF(AA21="OPERACIONAL",OFFSET('PARÁMETROS'!$K$56,MATCH(U21,JC_OP,0),MATCH(T21,CC_OP,0)),
IF(AA21="FINANCIERO",OFFSET('PARÁMETROS'!$K$56,MATCH(U21,JC_FI,0),MATCH(T21,CC_FI,0)),
OFFSET('PARÁMETROS'!$K$38,MATCH(U21,JC_L,0),MATCH(T21,CC_L,0))))))))),"")</f>
        <v/>
      </c>
      <c r="W21" s="130"/>
      <c r="X21" s="135"/>
      <c r="Y21" s="136"/>
      <c r="Z21" s="30"/>
      <c r="AA21" s="31" t="str">
        <f>E11</f>
        <v>Seguridad</v>
      </c>
    </row>
    <row r="22" ht="87.0" customHeight="1">
      <c r="A22" s="129"/>
      <c r="B22" s="130"/>
      <c r="C22" s="130"/>
      <c r="D22" s="130"/>
      <c r="E22" s="130"/>
      <c r="F22" s="130"/>
      <c r="G22" s="130"/>
      <c r="H22" s="130"/>
      <c r="I22" s="130"/>
      <c r="J22" s="130"/>
      <c r="K22" s="130"/>
      <c r="L22" s="130"/>
      <c r="M22" s="130"/>
      <c r="N22" s="130"/>
      <c r="O22" s="130"/>
      <c r="P22" s="132"/>
      <c r="Q22" s="134"/>
      <c r="R22" s="134"/>
      <c r="S22" s="134"/>
      <c r="T22" s="135"/>
      <c r="U22" s="135"/>
      <c r="V22" s="118" t="str">
        <f>IFERROR(IF(AA22="SEGURIDAD",OFFSET('PARÁMETROS'!$K$2,MATCH(U22,JC_SE,0),MATCH(T22,CC_SE,0)),
IF(OR(AA22="DSRC/Estratégico",AA22="DSRC/Operativo"),OFFSET('PARÁMETROS'!$K$11,MATCH(U22,JC_DS,0),MATCH(T22,CC_DS,0)),
IF(AA22="SALUD",OFFSET('PARÁMETROS'!$K$29,MATCH(U22,JC_SA,0),MATCH(T22,CC_SA,0)),
IF(AA22="MEDIO AMBIENTE",OFFSET('PARÁMETROS'!$K$20,MATCH(U22,JC_MA,0),MATCH(T22,CC_MA,0)),
IF(AA22="Rel. Gubernamentales",OFFSET('PARÁMETROS'!$K$48,MATCH(U22,JC_G,0),MATCH(T22,CC_G,0)),
IF(AA22="OPERACIONAL",OFFSET('PARÁMETROS'!$K$56,MATCH(U22,JC_OP,0),MATCH(T22,CC_OP,0)),
IF(AA22="FINANCIERO",OFFSET('PARÁMETROS'!$K$56,MATCH(U22,JC_FI,0),MATCH(T22,CC_FI,0)),
OFFSET('PARÁMETROS'!$K$38,MATCH(U22,JC_L,0),MATCH(T22,CC_L,0))))))))),"")</f>
        <v/>
      </c>
      <c r="W22" s="130"/>
      <c r="X22" s="135"/>
      <c r="Y22" s="136"/>
      <c r="Z22" s="30"/>
      <c r="AA22" s="31" t="str">
        <f>E11</f>
        <v>Seguridad</v>
      </c>
    </row>
    <row r="23" ht="87.0" customHeight="1">
      <c r="A23" s="129"/>
      <c r="B23" s="130"/>
      <c r="C23" s="130"/>
      <c r="D23" s="130"/>
      <c r="E23" s="130"/>
      <c r="F23" s="130"/>
      <c r="G23" s="130"/>
      <c r="H23" s="130"/>
      <c r="I23" s="130"/>
      <c r="J23" s="130"/>
      <c r="K23" s="130"/>
      <c r="L23" s="130"/>
      <c r="M23" s="130"/>
      <c r="N23" s="130"/>
      <c r="O23" s="130"/>
      <c r="P23" s="132"/>
      <c r="Q23" s="134"/>
      <c r="R23" s="134"/>
      <c r="S23" s="134"/>
      <c r="T23" s="135"/>
      <c r="U23" s="135"/>
      <c r="V23" s="118" t="str">
        <f>IFERROR(IF(AA23="SEGURIDAD",OFFSET('PARÁMETROS'!$K$2,MATCH(U23,JC_SE,0),MATCH(T23,CC_SE,0)),
IF(OR(AA23="DSRC/Estratégico",AA23="DSRC/Operativo"),OFFSET('PARÁMETROS'!$K$11,MATCH(U23,JC_DS,0),MATCH(T23,CC_DS,0)),
IF(AA23="SALUD",OFFSET('PARÁMETROS'!$K$29,MATCH(U23,JC_SA,0),MATCH(T23,CC_SA,0)),
IF(AA23="MEDIO AMBIENTE",OFFSET('PARÁMETROS'!$K$20,MATCH(U23,JC_MA,0),MATCH(T23,CC_MA,0)),
IF(AA23="Rel. Gubernamentales",OFFSET('PARÁMETROS'!$K$48,MATCH(U23,JC_G,0),MATCH(T23,CC_G,0)),
IF(AA23="OPERACIONAL",OFFSET('PARÁMETROS'!$K$56,MATCH(U23,JC_OP,0),MATCH(T23,CC_OP,0)),
IF(AA23="FINANCIERO",OFFSET('PARÁMETROS'!$K$56,MATCH(U23,JC_FI,0),MATCH(T23,CC_FI,0)),
OFFSET('PARÁMETROS'!$K$38,MATCH(U23,JC_L,0),MATCH(T23,CC_L,0))))))))),"")</f>
        <v/>
      </c>
      <c r="W23" s="130"/>
      <c r="X23" s="135"/>
      <c r="Y23" s="136"/>
      <c r="Z23" s="30"/>
      <c r="AA23" s="31" t="str">
        <f>E11</f>
        <v>Seguridad</v>
      </c>
    </row>
    <row r="24" ht="87.0" customHeight="1">
      <c r="A24" s="129"/>
      <c r="B24" s="130"/>
      <c r="C24" s="130"/>
      <c r="D24" s="130"/>
      <c r="E24" s="130"/>
      <c r="F24" s="130"/>
      <c r="G24" s="130"/>
      <c r="H24" s="130"/>
      <c r="I24" s="130"/>
      <c r="J24" s="130"/>
      <c r="K24" s="130"/>
      <c r="L24" s="130"/>
      <c r="M24" s="130"/>
      <c r="N24" s="130"/>
      <c r="O24" s="130"/>
      <c r="P24" s="132"/>
      <c r="Q24" s="134"/>
      <c r="R24" s="134"/>
      <c r="S24" s="134"/>
      <c r="T24" s="135"/>
      <c r="U24" s="135"/>
      <c r="V24" s="118" t="str">
        <f>IFERROR(IF(AA24="SEGURIDAD",OFFSET('PARÁMETROS'!$K$2,MATCH(U24,JC_SE,0),MATCH(T24,CC_SE,0)),
IF(OR(AA24="DSRC/Estratégico",AA24="DSRC/Operativo"),OFFSET('PARÁMETROS'!$K$11,MATCH(U24,JC_DS,0),MATCH(T24,CC_DS,0)),
IF(AA24="SALUD",OFFSET('PARÁMETROS'!$K$29,MATCH(U24,JC_SA,0),MATCH(T24,CC_SA,0)),
IF(AA24="MEDIO AMBIENTE",OFFSET('PARÁMETROS'!$K$20,MATCH(U24,JC_MA,0),MATCH(T24,CC_MA,0)),
IF(AA24="Rel. Gubernamentales",OFFSET('PARÁMETROS'!$K$48,MATCH(U24,JC_G,0),MATCH(T24,CC_G,0)),
IF(AA24="OPERACIONAL",OFFSET('PARÁMETROS'!$K$56,MATCH(U24,JC_OP,0),MATCH(T24,CC_OP,0)),
IF(AA24="FINANCIERO",OFFSET('PARÁMETROS'!$K$56,MATCH(U24,JC_FI,0),MATCH(T24,CC_FI,0)),
OFFSET('PARÁMETROS'!$K$38,MATCH(U24,JC_L,0),MATCH(T24,CC_L,0))))))))),"")</f>
        <v/>
      </c>
      <c r="W24" s="130"/>
      <c r="X24" s="135"/>
      <c r="Y24" s="136"/>
      <c r="Z24" s="30"/>
      <c r="AA24" s="31" t="str">
        <f>E11</f>
        <v>Seguridad</v>
      </c>
    </row>
    <row r="25" ht="87.0" customHeight="1">
      <c r="A25" s="129"/>
      <c r="B25" s="130"/>
      <c r="C25" s="130"/>
      <c r="D25" s="130"/>
      <c r="E25" s="130"/>
      <c r="F25" s="130"/>
      <c r="G25" s="130"/>
      <c r="H25" s="130"/>
      <c r="I25" s="130"/>
      <c r="J25" s="130"/>
      <c r="K25" s="130"/>
      <c r="L25" s="130"/>
      <c r="M25" s="130"/>
      <c r="N25" s="130"/>
      <c r="O25" s="130"/>
      <c r="P25" s="132"/>
      <c r="Q25" s="134"/>
      <c r="R25" s="134"/>
      <c r="S25" s="134"/>
      <c r="T25" s="135"/>
      <c r="U25" s="135"/>
      <c r="V25" s="118" t="str">
        <f>IFERROR(IF(AA25="SEGURIDAD",OFFSET('PARÁMETROS'!$K$2,MATCH(U25,JC_SE,0),MATCH(T25,CC_SE,0)),
IF(OR(AA25="DSRC/Estratégico",AA25="DSRC/Operativo"),OFFSET('PARÁMETROS'!$K$11,MATCH(U25,JC_DS,0),MATCH(T25,CC_DS,0)),
IF(AA25="SALUD",OFFSET('PARÁMETROS'!$K$29,MATCH(U25,JC_SA,0),MATCH(T25,CC_SA,0)),
IF(AA25="MEDIO AMBIENTE",OFFSET('PARÁMETROS'!$K$20,MATCH(U25,JC_MA,0),MATCH(T25,CC_MA,0)),
IF(AA25="Rel. Gubernamentales",OFFSET('PARÁMETROS'!$K$48,MATCH(U25,JC_G,0),MATCH(T25,CC_G,0)),
IF(AA25="OPERACIONAL",OFFSET('PARÁMETROS'!$K$56,MATCH(U25,JC_OP,0),MATCH(T25,CC_OP,0)),
IF(AA25="FINANCIERO",OFFSET('PARÁMETROS'!$K$56,MATCH(U25,JC_FI,0),MATCH(T25,CC_FI,0)),
OFFSET('PARÁMETROS'!$K$38,MATCH(U25,JC_L,0),MATCH(T25,CC_L,0))))))))),"")</f>
        <v/>
      </c>
      <c r="W25" s="130"/>
      <c r="X25" s="135"/>
      <c r="Y25" s="136"/>
      <c r="Z25" s="30"/>
      <c r="AA25" s="31" t="str">
        <f>E11</f>
        <v>Seguridad</v>
      </c>
    </row>
    <row r="26" ht="87.0" customHeight="1">
      <c r="A26" s="89"/>
      <c r="B26" s="90"/>
      <c r="C26" s="90"/>
      <c r="D26" s="90"/>
      <c r="E26" s="90"/>
      <c r="F26" s="90"/>
      <c r="G26" s="90"/>
      <c r="H26" s="90"/>
      <c r="I26" s="90"/>
      <c r="J26" s="90"/>
      <c r="K26" s="90"/>
      <c r="L26" s="90"/>
      <c r="M26" s="90"/>
      <c r="N26" s="90"/>
      <c r="O26" s="90"/>
      <c r="P26" s="132"/>
      <c r="Q26" s="134"/>
      <c r="R26" s="145"/>
      <c r="S26" s="145"/>
      <c r="T26" s="135"/>
      <c r="U26" s="135"/>
      <c r="V26" s="118" t="str">
        <f>IFERROR(IF(AA26="SEGURIDAD",OFFSET('PARÁMETROS'!$K$2,MATCH(U26,JC_SE,0),MATCH(T26,CC_SE,0)),
IF(OR(AA26="DSRC/Estratégico",AA26="DSRC/Operativo"),OFFSET('PARÁMETROS'!$K$11,MATCH(U26,JC_DS,0),MATCH(T26,CC_DS,0)),
IF(AA26="SALUD",OFFSET('PARÁMETROS'!$K$29,MATCH(U26,JC_SA,0),MATCH(T26,CC_SA,0)),
IF(AA26="MEDIO AMBIENTE",OFFSET('PARÁMETROS'!$K$20,MATCH(U26,JC_MA,0),MATCH(T26,CC_MA,0)),
IF(AA26="Rel. Gubernamentales",OFFSET('PARÁMETROS'!$K$48,MATCH(U26,JC_G,0),MATCH(T26,CC_G,0)),
IF(AA26="OPERACIONAL",OFFSET('PARÁMETROS'!$K$56,MATCH(U26,JC_OP,0),MATCH(T26,CC_OP,0)),
IF(AA26="FINANCIERO",OFFSET('PARÁMETROS'!$K$56,MATCH(U26,JC_FI,0),MATCH(T26,CC_FI,0)),
OFFSET('PARÁMETROS'!$K$38,MATCH(U26,JC_L,0),MATCH(T26,CC_L,0))))))))),"")</f>
        <v/>
      </c>
      <c r="W26" s="90"/>
      <c r="X26" s="135"/>
      <c r="Y26" s="136"/>
      <c r="Z26" s="30"/>
      <c r="AA26" s="31" t="str">
        <f>E11</f>
        <v>Seguridad</v>
      </c>
    </row>
    <row r="27" ht="87.0" customHeight="1">
      <c r="A27" s="102"/>
      <c r="B27" s="103"/>
      <c r="C27" s="103"/>
      <c r="D27" s="103"/>
      <c r="E27" s="103"/>
      <c r="F27" s="103"/>
      <c r="G27" s="105"/>
      <c r="H27" s="103"/>
      <c r="I27" s="105"/>
      <c r="J27" s="103"/>
      <c r="K27" s="103"/>
      <c r="L27" s="103" t="str">
        <f>IF(OR(J27&lt;&gt;"",K27&lt;&gt;""),OFFSET('PARÁMETROS'!$B$2,K27,J27),"")</f>
        <v/>
      </c>
      <c r="M27" s="103"/>
      <c r="N27" s="103">
        <f>IFERROR(L27*M27,"")</f>
        <v>0</v>
      </c>
      <c r="O27" s="108" t="str">
        <f>IF(N27="","",IFERROR(IF(N27&lt;=2,"ACEPTABLE",IF(N27&lt;=6,"BAJA",IF(N27&lt;=10,"ACEPTABLE CON REVISIÓN",IF(N27&lt;=15,"SUSTANCIAL","INACEPTABLE")))),""))</f>
        <v>ACEPTABLE</v>
      </c>
      <c r="P27" s="113"/>
      <c r="Q27" s="114"/>
      <c r="R27" s="114"/>
      <c r="S27" s="114"/>
      <c r="T27" s="115"/>
      <c r="U27" s="115"/>
      <c r="V27" s="115" t="str">
        <f>IFERROR(IF(AA27="SEGURIDAD",OFFSET('PARÁMETROS'!$K$2,MATCH(U27,JC_SE,0),MATCH(T27,CC_SE,0)),
IF(OR(AA27="DSRC/Estratégico",AA27="DSRC/Operativo"),OFFSET('PARÁMETROS'!$K$11,MATCH(U27,JC_DS,0),MATCH(T27,CC_DS,0)),
IF(AA27="SALUD",OFFSET('PARÁMETROS'!$K$29,MATCH(U27,JC_SA,0),MATCH(T27,CC_SA,0)),
IF(AA27="MEDIO AMBIENTE",OFFSET('PARÁMETROS'!$K$20,MATCH(U27,JC_MA,0),MATCH(T27,CC_MA,0)),
IF(AA27="Rel. Gubernamentales",OFFSET('PARÁMETROS'!$K$48,MATCH(U27,JC_G,0),MATCH(T27,CC_G,0)),
IF(AA27="OPERACIONAL",OFFSET('PARÁMETROS'!$K$56,MATCH(U27,JC_OP,0),MATCH(T27,CC_OP,0)),
IF(AA27="FINANCIERO",OFFSET('PARÁMETROS'!$K$56,MATCH(U27,JC_FI,0),MATCH(T27,CC_FI,0)),
OFFSET('PARÁMETROS'!$K$38,MATCH(U27,JC_L,0),MATCH(T27,CC_L,0))))))))),"")</f>
        <v/>
      </c>
      <c r="W27" s="108" t="str">
        <f>IF(E27="","",
IF(COUNTA(V27:V42)-COUNTBLANK(V27:V42)=1,
IF(O27="INACEPTABLE",IF(COUNTIF(V27:V42,"Control/Acción Eficaz")&gt;=1,"SUSTANCIAL","INACEPTABLE"),
IF(O27="SUSTANCIAL",IF(COUNTIF(V27:V42,"Control/Acción Eficaz")&gt;=1,"ACEPTABLE CON REVISIÓN","SUSTANCIAL"),
IF(O27="ACEPTABLE CON REVISIÓN",IF(COUNTIF(V27:V42,"Control/Acción Eficaz")&gt;=1,"BAJA","ACEPTABLE CON REVISIÓN"),
IF(O27="BAJA",IF(COUNTIF(V27:V42,"Control/Acción Eficaz")&gt;=1,"ACEPTABLE","BAJA"),)))),
IF(COUNTA(V27:V42)-COUNTBLANK(V27:V42)=2,
IF(O27="INACEPTABLE",IF(COUNTIF(V27:V42,"Control/Acción Eficaz")=2,"ACEPTABLE CON REVISIÓN",
IF(OR(AND(COUNTIF(V27:V42,"Control/Acción Eficaz")=1,COUNTIF(V27:V42,"Control/Acción Satisfactorio")=1),
AND(COUNTIF(V27:V42,"Control/Acción Eficaz")=1,COUNTIF(V27:V42,"Control/Acción No Eficaz")=1)),"SUSTANCIAL","INACEPTABLE")),
IF(O27="SUSTANCIAL",IF(COUNTIF(V27:V42,"Control/Acción Eficaz")=2,"BAJA",
IF(OR(AND(COUNTIF(V27:V42,"Control/Acción Eficaz")=1,COUNTIF(V27:V42,"Control/Acción Satisfactorio")=1),
AND(COUNTIF(V27:V42,"Control/Acción Eficaz")=1,COUNTIF(V27:V42,"Control/Acción No Eficaz")=1)),"ACEPTABLE CON REVISIÓN ","SUSTANCIAL")),
IF(O27="ACEPTABLE CON REVISIÓN",IF(COUNTIF(V27:V42,"Control/Acción Eficaz")=2,"ACEPTABLE",
IF(OR(AND(COUNTIF(V27:V42,"Control/Acción Eficaz")=1,COUNTIF(V27:V42,"Control/Acción Satisfactorio")=1),
AND(COUNTIF(V27:V42,"Control/Acción Eficaz")=1,COUNTIF(V27:V42,"Control/Acción No Eficaz")=1)),"BAJA","ACEPTABLE CON REVISIÓN")),
IF(O27="BAJA",IF(COUNTIF(V27:V42,"Control/Acción Eficaz")&gt;=2,"ACEPTABLE","BAJA"),)))),
IF(COUNTA(V27:V42)-COUNTBLANK(V27:V42)&gt;=3,
IF(O27="INACEPTABLE",
IF(COUNTBLANK(V27:V42)=COUNTA(V27:V42),"",
IF(COUNTIF(V27:V42,"Control/Acción No Eficaz")&gt;=2,"INACEPTABLE",
IF(AND(COUNTIF(V27:V42,"Control/Acción No Eficaz")=0,COUNTIF(V27:V42,"Control/Acción Eficaz")&gt;=2),"ACEPTABLE CON REVISIÓN ","SUSTANCIAL"))),
IF(O27="SUSTANCIAL",
IF(COUNTBLANK(V27:V42)=COUNTA(V27:V42),"",
IF(COUNTIF(V27:V42,"Control/Acción No Eficaz")&gt;=2,"SUSTANCIAL",
IF(AND(COUNTIF(V27:V42,"Control/Acción No Eficaz")=0,COUNTIF(V27:V42,"Control/Acción Eficaz")&gt;=2),"BAJA","ACEPTABLE CON REVISIÓN"))),
IF(O27="ACEPTABLE CON REVISIÓN",
IF(COUNTBLANK(V27:V42)=COUNTA(V27:V42),"",
IF(COUNTIF(V27:V42,"Control/Acción No Eficaz")&gt;=2,"ACEPTABLE CON REVISIÓN",
IF(AND(COUNTIF(V27:V42,"Control/Acción No Eficaz")=0,COUNTIF(V27:V42,"Control/Acción Eficaz")&gt;=2),"ACEPTABLE","BAJA"))),
IF(O27="BAJA",
IF(COUNTBLANK(V27:V42)=COUNTA(V27:V42),"",
IF(AND(COUNTBLANK(V27:V42)&lt;1,COUNTA(V27:V42)=1),
IF(COUNTIF(V27:V42,"Control/Acción No Eficaz")&gt;=2,"BAJA",
IF(AND(COUNTIF(V27:V42,"Control/Acción No Eficaz")=0,COUNTIF(V27:V42,"Control/Acción Eficaz")&gt;=2),"ACEPTABLE","BAJA")),
IF(COUNTIF(V27:V42,"Control/Acción No Eficaz")&gt;=2,"BAJA",
IF(AND(COUNTIF(V27:V42,"Control/Acción No Eficaz")=0,COUNTIF(V27:V42,"Control/Acción Eficaz")&gt;=2),"ACEPTABLE","BAJA")))),
IF(COUNTIF(V27:V42,"")&gt;=5,"",O27))))),
""))))</f>
        <v/>
      </c>
      <c r="X27" s="115"/>
      <c r="Y27" s="128"/>
      <c r="Z27" s="30"/>
      <c r="AA27" s="31" t="str">
        <f>E27</f>
        <v/>
      </c>
    </row>
    <row r="28" ht="87.0" customHeight="1">
      <c r="A28" s="129"/>
      <c r="B28" s="130"/>
      <c r="C28" s="130"/>
      <c r="D28" s="130"/>
      <c r="E28" s="130"/>
      <c r="F28" s="130"/>
      <c r="G28" s="130"/>
      <c r="H28" s="130"/>
      <c r="I28" s="130"/>
      <c r="J28" s="130"/>
      <c r="K28" s="130"/>
      <c r="L28" s="130"/>
      <c r="M28" s="130"/>
      <c r="N28" s="130"/>
      <c r="O28" s="130"/>
      <c r="P28" s="132"/>
      <c r="Q28" s="134"/>
      <c r="R28" s="134"/>
      <c r="S28" s="134"/>
      <c r="T28" s="135"/>
      <c r="U28" s="135"/>
      <c r="V28" s="135" t="str">
        <f>IFERROR(IF(AA28="SEGURIDAD",OFFSET('PARÁMETROS'!$K$2,MATCH(U28,JC_SE,0),MATCH(T28,CC_SE,0)),
IF(OR(AA28="DSRC/Estratégico",AA28="DSRC/Operativo"),OFFSET('PARÁMETROS'!$K$11,MATCH(U28,JC_DS,0),MATCH(T28,CC_DS,0)),
IF(AA28="SALUD",OFFSET('PARÁMETROS'!$K$29,MATCH(U28,JC_SA,0),MATCH(T28,CC_SA,0)),
IF(AA28="MEDIO AMBIENTE",OFFSET('PARÁMETROS'!$K$20,MATCH(U28,JC_MA,0),MATCH(T28,CC_MA,0)),
IF(AA28="Rel. Gubernamentales",OFFSET('PARÁMETROS'!$K$48,MATCH(U28,JC_G,0),MATCH(T28,CC_G,0)),
IF(AA28="OPERACIONAL",OFFSET('PARÁMETROS'!$K$56,MATCH(U28,JC_OP,0),MATCH(T28,CC_OP,0)),
IF(AA28="FINANCIERO",OFFSET('PARÁMETROS'!$K$56,MATCH(U28,JC_FI,0),MATCH(T28,CC_FI,0)),
OFFSET('PARÁMETROS'!$K$38,MATCH(U28,JC_L,0),MATCH(T28,CC_L,0))))))))),"")</f>
        <v/>
      </c>
      <c r="W28" s="130"/>
      <c r="X28" s="135"/>
      <c r="Y28" s="136"/>
      <c r="Z28" s="30"/>
      <c r="AA28" s="31" t="str">
        <f>E27</f>
        <v/>
      </c>
    </row>
    <row r="29" ht="87.0" customHeight="1">
      <c r="A29" s="129"/>
      <c r="B29" s="130"/>
      <c r="C29" s="130"/>
      <c r="D29" s="130"/>
      <c r="E29" s="130"/>
      <c r="F29" s="130"/>
      <c r="G29" s="130"/>
      <c r="H29" s="130"/>
      <c r="I29" s="130"/>
      <c r="J29" s="130"/>
      <c r="K29" s="130"/>
      <c r="L29" s="130"/>
      <c r="M29" s="130"/>
      <c r="N29" s="130"/>
      <c r="O29" s="130"/>
      <c r="P29" s="132"/>
      <c r="Q29" s="134"/>
      <c r="R29" s="134"/>
      <c r="S29" s="134"/>
      <c r="T29" s="135"/>
      <c r="U29" s="135"/>
      <c r="V29" s="135" t="str">
        <f>IFERROR(IF(AA29="SEGURIDAD",OFFSET('PARÁMETROS'!$K$2,MATCH(U29,JC_SE,0),MATCH(T29,CC_SE,0)),
IF(OR(AA29="DSRC/Estratégico",AA29="DSRC/Operativo"),OFFSET('PARÁMETROS'!$K$11,MATCH(U29,JC_DS,0),MATCH(T29,CC_DS,0)),
IF(AA29="SALUD",OFFSET('PARÁMETROS'!$K$29,MATCH(U29,JC_SA,0),MATCH(T29,CC_SA,0)),
IF(AA29="MEDIO AMBIENTE",OFFSET('PARÁMETROS'!$K$20,MATCH(U29,JC_MA,0),MATCH(T29,CC_MA,0)),
IF(AA29="Rel. Gubernamentales",OFFSET('PARÁMETROS'!$K$48,MATCH(U29,JC_G,0),MATCH(T29,CC_G,0)),
IF(AA29="OPERACIONAL",OFFSET('PARÁMETROS'!$K$56,MATCH(U29,JC_OP,0),MATCH(T29,CC_OP,0)),
IF(AA29="FINANCIERO",OFFSET('PARÁMETROS'!$K$56,MATCH(U29,JC_FI,0),MATCH(T29,CC_FI,0)),
OFFSET('PARÁMETROS'!$K$38,MATCH(U29,JC_L,0),MATCH(T29,CC_L,0))))))))),"")</f>
        <v/>
      </c>
      <c r="W29" s="130"/>
      <c r="X29" s="135"/>
      <c r="Y29" s="136"/>
      <c r="Z29" s="30"/>
      <c r="AA29" s="31" t="str">
        <f>E27</f>
        <v/>
      </c>
    </row>
    <row r="30" ht="87.0" customHeight="1">
      <c r="A30" s="129"/>
      <c r="B30" s="130"/>
      <c r="C30" s="130"/>
      <c r="D30" s="130"/>
      <c r="E30" s="130"/>
      <c r="F30" s="130"/>
      <c r="G30" s="130"/>
      <c r="H30" s="130"/>
      <c r="I30" s="130"/>
      <c r="J30" s="130"/>
      <c r="K30" s="130"/>
      <c r="L30" s="130"/>
      <c r="M30" s="130"/>
      <c r="N30" s="130"/>
      <c r="O30" s="130"/>
      <c r="P30" s="132"/>
      <c r="Q30" s="134"/>
      <c r="R30" s="134"/>
      <c r="S30" s="134"/>
      <c r="T30" s="135"/>
      <c r="U30" s="135"/>
      <c r="V30" s="135" t="str">
        <f>IFERROR(IF(AA30="SEGURIDAD",OFFSET('PARÁMETROS'!$K$2,MATCH(U30,JC_SE,0),MATCH(T30,CC_SE,0)),
IF(OR(AA30="DSRC/Estratégico",AA30="DSRC/Operativo"),OFFSET('PARÁMETROS'!$K$11,MATCH(U30,JC_DS,0),MATCH(T30,CC_DS,0)),
IF(AA30="SALUD",OFFSET('PARÁMETROS'!$K$29,MATCH(U30,JC_SA,0),MATCH(T30,CC_SA,0)),
IF(AA30="MEDIO AMBIENTE",OFFSET('PARÁMETROS'!$K$20,MATCH(U30,JC_MA,0),MATCH(T30,CC_MA,0)),
IF(AA30="Rel. Gubernamentales",OFFSET('PARÁMETROS'!$K$48,MATCH(U30,JC_G,0),MATCH(T30,CC_G,0)),
IF(AA30="OPERACIONAL",OFFSET('PARÁMETROS'!$K$56,MATCH(U30,JC_OP,0),MATCH(T30,CC_OP,0)),
IF(AA30="FINANCIERO",OFFSET('PARÁMETROS'!$K$56,MATCH(U30,JC_FI,0),MATCH(T30,CC_FI,0)),
OFFSET('PARÁMETROS'!$K$38,MATCH(U30,JC_L,0),MATCH(T30,CC_L,0))))))))),"")</f>
        <v/>
      </c>
      <c r="W30" s="130"/>
      <c r="X30" s="135"/>
      <c r="Y30" s="136"/>
      <c r="Z30" s="30"/>
      <c r="AA30" s="31" t="str">
        <f>E27</f>
        <v/>
      </c>
    </row>
    <row r="31" ht="87.0" customHeight="1">
      <c r="A31" s="129"/>
      <c r="B31" s="130"/>
      <c r="C31" s="130"/>
      <c r="D31" s="130"/>
      <c r="E31" s="130"/>
      <c r="F31" s="130"/>
      <c r="G31" s="130"/>
      <c r="H31" s="130"/>
      <c r="I31" s="130"/>
      <c r="J31" s="130"/>
      <c r="K31" s="130"/>
      <c r="L31" s="130"/>
      <c r="M31" s="130"/>
      <c r="N31" s="130"/>
      <c r="O31" s="130"/>
      <c r="P31" s="132"/>
      <c r="Q31" s="134"/>
      <c r="R31" s="134"/>
      <c r="S31" s="134"/>
      <c r="T31" s="135"/>
      <c r="U31" s="135"/>
      <c r="V31" s="135" t="str">
        <f>IFERROR(IF(AA31="SEGURIDAD",OFFSET('PARÁMETROS'!$K$2,MATCH(U31,JC_SE,0),MATCH(T31,CC_SE,0)),
IF(OR(AA31="DSRC/Estratégico",AA31="DSRC/Operativo"),OFFSET('PARÁMETROS'!$K$11,MATCH(U31,JC_DS,0),MATCH(T31,CC_DS,0)),
IF(AA31="SALUD",OFFSET('PARÁMETROS'!$K$29,MATCH(U31,JC_SA,0),MATCH(T31,CC_SA,0)),
IF(AA31="MEDIO AMBIENTE",OFFSET('PARÁMETROS'!$K$20,MATCH(U31,JC_MA,0),MATCH(T31,CC_MA,0)),
IF(AA31="Rel. Gubernamentales",OFFSET('PARÁMETROS'!$K$48,MATCH(U31,JC_G,0),MATCH(T31,CC_G,0)),
IF(AA31="OPERACIONAL",OFFSET('PARÁMETROS'!$K$56,MATCH(U31,JC_OP,0),MATCH(T31,CC_OP,0)),
IF(AA31="FINANCIERO",OFFSET('PARÁMETROS'!$K$56,MATCH(U31,JC_FI,0),MATCH(T31,CC_FI,0)),
OFFSET('PARÁMETROS'!$K$38,MATCH(U31,JC_L,0),MATCH(T31,CC_L,0))))))))),"")</f>
        <v/>
      </c>
      <c r="W31" s="130"/>
      <c r="X31" s="135"/>
      <c r="Y31" s="136"/>
      <c r="Z31" s="30"/>
      <c r="AA31" s="31" t="str">
        <f>E27</f>
        <v/>
      </c>
    </row>
    <row r="32" ht="87.0" customHeight="1">
      <c r="A32" s="129"/>
      <c r="B32" s="130"/>
      <c r="C32" s="130"/>
      <c r="D32" s="130"/>
      <c r="E32" s="130"/>
      <c r="F32" s="130"/>
      <c r="G32" s="130"/>
      <c r="H32" s="130"/>
      <c r="I32" s="130"/>
      <c r="J32" s="130"/>
      <c r="K32" s="130"/>
      <c r="L32" s="130"/>
      <c r="M32" s="130"/>
      <c r="N32" s="130"/>
      <c r="O32" s="130"/>
      <c r="P32" s="132"/>
      <c r="Q32" s="134"/>
      <c r="R32" s="134"/>
      <c r="S32" s="134"/>
      <c r="T32" s="135"/>
      <c r="U32" s="135"/>
      <c r="V32" s="135" t="str">
        <f>IFERROR(IF(AA32="SEGURIDAD",OFFSET('PARÁMETROS'!$K$2,MATCH(U32,JC_SE,0),MATCH(T32,CC_SE,0)),
IF(OR(AA32="DSRC/Estratégico",AA32="DSRC/Operativo"),OFFSET('PARÁMETROS'!$K$11,MATCH(U32,JC_DS,0),MATCH(T32,CC_DS,0)),
IF(AA32="SALUD",OFFSET('PARÁMETROS'!$K$29,MATCH(U32,JC_SA,0),MATCH(T32,CC_SA,0)),
IF(AA32="MEDIO AMBIENTE",OFFSET('PARÁMETROS'!$K$20,MATCH(U32,JC_MA,0),MATCH(T32,CC_MA,0)),
IF(AA32="Rel. Gubernamentales",OFFSET('PARÁMETROS'!$K$48,MATCH(U32,JC_G,0),MATCH(T32,CC_G,0)),
IF(AA32="OPERACIONAL",OFFSET('PARÁMETROS'!$K$56,MATCH(U32,JC_OP,0),MATCH(T32,CC_OP,0)),
IF(AA32="FINANCIERO",OFFSET('PARÁMETROS'!$K$56,MATCH(U32,JC_FI,0),MATCH(T32,CC_FI,0)),
OFFSET('PARÁMETROS'!$K$38,MATCH(U32,JC_L,0),MATCH(T32,CC_L,0))))))))),"")</f>
        <v/>
      </c>
      <c r="W32" s="130"/>
      <c r="X32" s="135"/>
      <c r="Y32" s="136"/>
      <c r="Z32" s="30"/>
      <c r="AA32" s="31" t="str">
        <f>E27</f>
        <v/>
      </c>
    </row>
    <row r="33" ht="87.0" customHeight="1">
      <c r="A33" s="129"/>
      <c r="B33" s="130"/>
      <c r="C33" s="130"/>
      <c r="D33" s="130"/>
      <c r="E33" s="130"/>
      <c r="F33" s="130"/>
      <c r="G33" s="130"/>
      <c r="H33" s="130"/>
      <c r="I33" s="130"/>
      <c r="J33" s="130"/>
      <c r="K33" s="130"/>
      <c r="L33" s="130"/>
      <c r="M33" s="130"/>
      <c r="N33" s="130"/>
      <c r="O33" s="130"/>
      <c r="P33" s="132"/>
      <c r="Q33" s="134"/>
      <c r="R33" s="134"/>
      <c r="S33" s="134"/>
      <c r="T33" s="135"/>
      <c r="U33" s="135"/>
      <c r="V33" s="135" t="str">
        <f>IFERROR(IF(AA33="SEGURIDAD",OFFSET('PARÁMETROS'!$K$2,MATCH(U33,JC_SE,0),MATCH(T33,CC_SE,0)),
IF(OR(AA33="DSRC/Estratégico",AA33="DSRC/Operativo"),OFFSET('PARÁMETROS'!$K$11,MATCH(U33,JC_DS,0),MATCH(T33,CC_DS,0)),
IF(AA33="SALUD",OFFSET('PARÁMETROS'!$K$29,MATCH(U33,JC_SA,0),MATCH(T33,CC_SA,0)),
IF(AA33="MEDIO AMBIENTE",OFFSET('PARÁMETROS'!$K$20,MATCH(U33,JC_MA,0),MATCH(T33,CC_MA,0)),
IF(AA33="Rel. Gubernamentales",OFFSET('PARÁMETROS'!$K$48,MATCH(U33,JC_G,0),MATCH(T33,CC_G,0)),
IF(AA33="OPERACIONAL",OFFSET('PARÁMETROS'!$K$56,MATCH(U33,JC_OP,0),MATCH(T33,CC_OP,0)),
IF(AA33="FINANCIERO",OFFSET('PARÁMETROS'!$K$56,MATCH(U33,JC_FI,0),MATCH(T33,CC_FI,0)),
OFFSET('PARÁMETROS'!$K$38,MATCH(U33,JC_L,0),MATCH(T33,CC_L,0))))))))),"")</f>
        <v/>
      </c>
      <c r="W33" s="130"/>
      <c r="X33" s="135"/>
      <c r="Y33" s="136"/>
      <c r="Z33" s="30"/>
      <c r="AA33" s="31" t="str">
        <f>E27</f>
        <v/>
      </c>
    </row>
    <row r="34" ht="87.0" customHeight="1">
      <c r="A34" s="129"/>
      <c r="B34" s="130"/>
      <c r="C34" s="130"/>
      <c r="D34" s="130"/>
      <c r="E34" s="130"/>
      <c r="F34" s="130"/>
      <c r="G34" s="130"/>
      <c r="H34" s="130"/>
      <c r="I34" s="130"/>
      <c r="J34" s="130"/>
      <c r="K34" s="130"/>
      <c r="L34" s="130"/>
      <c r="M34" s="130"/>
      <c r="N34" s="130"/>
      <c r="O34" s="130"/>
      <c r="P34" s="132"/>
      <c r="Q34" s="134"/>
      <c r="R34" s="134"/>
      <c r="S34" s="134"/>
      <c r="T34" s="135"/>
      <c r="U34" s="135"/>
      <c r="V34" s="135" t="str">
        <f>IFERROR(IF(AA34="SEGURIDAD",OFFSET('PARÁMETROS'!$K$2,MATCH(U34,JC_SE,0),MATCH(T34,CC_SE,0)),
IF(OR(AA34="DSRC/Estratégico",AA34="DSRC/Operativo"),OFFSET('PARÁMETROS'!$K$11,MATCH(U34,JC_DS,0),MATCH(T34,CC_DS,0)),
IF(AA34="SALUD",OFFSET('PARÁMETROS'!$K$29,MATCH(U34,JC_SA,0),MATCH(T34,CC_SA,0)),
IF(AA34="MEDIO AMBIENTE",OFFSET('PARÁMETROS'!$K$20,MATCH(U34,JC_MA,0),MATCH(T34,CC_MA,0)),
IF(AA34="Rel. Gubernamentales",OFFSET('PARÁMETROS'!$K$48,MATCH(U34,JC_G,0),MATCH(T34,CC_G,0)),
IF(AA34="OPERACIONAL",OFFSET('PARÁMETROS'!$K$56,MATCH(U34,JC_OP,0),MATCH(T34,CC_OP,0)),
IF(AA34="FINANCIERO",OFFSET('PARÁMETROS'!$K$56,MATCH(U34,JC_FI,0),MATCH(T34,CC_FI,0)),
OFFSET('PARÁMETROS'!$K$38,MATCH(U34,JC_L,0),MATCH(T34,CC_L,0))))))))),"")</f>
        <v/>
      </c>
      <c r="W34" s="130"/>
      <c r="X34" s="135"/>
      <c r="Y34" s="136"/>
      <c r="Z34" s="30"/>
      <c r="AA34" s="31" t="str">
        <f>E27</f>
        <v/>
      </c>
    </row>
    <row r="35" ht="87.0" customHeight="1">
      <c r="A35" s="129"/>
      <c r="B35" s="130"/>
      <c r="C35" s="130"/>
      <c r="D35" s="130"/>
      <c r="E35" s="130"/>
      <c r="F35" s="130"/>
      <c r="G35" s="130"/>
      <c r="H35" s="130"/>
      <c r="I35" s="130"/>
      <c r="J35" s="130"/>
      <c r="K35" s="130"/>
      <c r="L35" s="130"/>
      <c r="M35" s="130"/>
      <c r="N35" s="130"/>
      <c r="O35" s="130"/>
      <c r="P35" s="132"/>
      <c r="Q35" s="134"/>
      <c r="R35" s="134"/>
      <c r="S35" s="134"/>
      <c r="T35" s="135"/>
      <c r="U35" s="135"/>
      <c r="V35" s="135" t="str">
        <f>IFERROR(IF(AA35="SEGURIDAD",OFFSET('PARÁMETROS'!$K$2,MATCH(U35,JC_SE,0),MATCH(T35,CC_SE,0)),
IF(OR(AA35="DSRC/Estratégico",AA35="DSRC/Operativo"),OFFSET('PARÁMETROS'!$K$11,MATCH(U35,JC_DS,0),MATCH(T35,CC_DS,0)),
IF(AA35="SALUD",OFFSET('PARÁMETROS'!$K$29,MATCH(U35,JC_SA,0),MATCH(T35,CC_SA,0)),
IF(AA35="MEDIO AMBIENTE",OFFSET('PARÁMETROS'!$K$20,MATCH(U35,JC_MA,0),MATCH(T35,CC_MA,0)),
IF(AA35="Rel. Gubernamentales",OFFSET('PARÁMETROS'!$K$48,MATCH(U35,JC_G,0),MATCH(T35,CC_G,0)),
IF(AA35="OPERACIONAL",OFFSET('PARÁMETROS'!$K$56,MATCH(U35,JC_OP,0),MATCH(T35,CC_OP,0)),
IF(AA35="FINANCIERO",OFFSET('PARÁMETROS'!$K$56,MATCH(U35,JC_FI,0),MATCH(T35,CC_FI,0)),
OFFSET('PARÁMETROS'!$K$38,MATCH(U35,JC_L,0),MATCH(T35,CC_L,0))))))))),"")</f>
        <v/>
      </c>
      <c r="W35" s="130"/>
      <c r="X35" s="135"/>
      <c r="Y35" s="136"/>
      <c r="Z35" s="30"/>
      <c r="AA35" s="31" t="str">
        <f>E27</f>
        <v/>
      </c>
    </row>
    <row r="36" ht="87.0" customHeight="1">
      <c r="A36" s="129"/>
      <c r="B36" s="130"/>
      <c r="C36" s="130"/>
      <c r="D36" s="130"/>
      <c r="E36" s="130"/>
      <c r="F36" s="130"/>
      <c r="G36" s="130"/>
      <c r="H36" s="130"/>
      <c r="I36" s="130"/>
      <c r="J36" s="130"/>
      <c r="K36" s="130"/>
      <c r="L36" s="130"/>
      <c r="M36" s="130"/>
      <c r="N36" s="130"/>
      <c r="O36" s="130"/>
      <c r="P36" s="132"/>
      <c r="Q36" s="134"/>
      <c r="R36" s="134"/>
      <c r="S36" s="134"/>
      <c r="T36" s="135"/>
      <c r="U36" s="135"/>
      <c r="V36" s="135" t="str">
        <f>IFERROR(IF(AA36="SEGURIDAD",OFFSET('PARÁMETROS'!$K$2,MATCH(U36,JC_SE,0),MATCH(T36,CC_SE,0)),
IF(OR(AA36="DSRC/Estratégico",AA36="DSRC/Operativo"),OFFSET('PARÁMETROS'!$K$11,MATCH(U36,JC_DS,0),MATCH(T36,CC_DS,0)),
IF(AA36="SALUD",OFFSET('PARÁMETROS'!$K$29,MATCH(U36,JC_SA,0),MATCH(T36,CC_SA,0)),
IF(AA36="MEDIO AMBIENTE",OFFSET('PARÁMETROS'!$K$20,MATCH(U36,JC_MA,0),MATCH(T36,CC_MA,0)),
IF(AA36="Rel. Gubernamentales",OFFSET('PARÁMETROS'!$K$48,MATCH(U36,JC_G,0),MATCH(T36,CC_G,0)),
IF(AA36="OPERACIONAL",OFFSET('PARÁMETROS'!$K$56,MATCH(U36,JC_OP,0),MATCH(T36,CC_OP,0)),
IF(AA36="FINANCIERO",OFFSET('PARÁMETROS'!$K$56,MATCH(U36,JC_FI,0),MATCH(T36,CC_FI,0)),
OFFSET('PARÁMETROS'!$K$38,MATCH(U36,JC_L,0),MATCH(T36,CC_L,0))))))))),"")</f>
        <v/>
      </c>
      <c r="W36" s="130"/>
      <c r="X36" s="135"/>
      <c r="Y36" s="136"/>
      <c r="Z36" s="30"/>
      <c r="AA36" s="31" t="str">
        <f>E27</f>
        <v/>
      </c>
    </row>
    <row r="37" ht="87.0" customHeight="1">
      <c r="A37" s="129"/>
      <c r="B37" s="130"/>
      <c r="C37" s="130"/>
      <c r="D37" s="130"/>
      <c r="E37" s="130"/>
      <c r="F37" s="130"/>
      <c r="G37" s="130"/>
      <c r="H37" s="130"/>
      <c r="I37" s="130"/>
      <c r="J37" s="130"/>
      <c r="K37" s="130"/>
      <c r="L37" s="130"/>
      <c r="M37" s="130"/>
      <c r="N37" s="130"/>
      <c r="O37" s="130"/>
      <c r="P37" s="132"/>
      <c r="Q37" s="134"/>
      <c r="R37" s="134"/>
      <c r="S37" s="134"/>
      <c r="T37" s="135"/>
      <c r="U37" s="135"/>
      <c r="V37" s="135" t="str">
        <f>IFERROR(IF(AA37="SEGURIDAD",OFFSET('PARÁMETROS'!$K$2,MATCH(U37,JC_SE,0),MATCH(T37,CC_SE,0)),
IF(OR(AA37="DSRC/Estratégico",AA37="DSRC/Operativo"),OFFSET('PARÁMETROS'!$K$11,MATCH(U37,JC_DS,0),MATCH(T37,CC_DS,0)),
IF(AA37="SALUD",OFFSET('PARÁMETROS'!$K$29,MATCH(U37,JC_SA,0),MATCH(T37,CC_SA,0)),
IF(AA37="MEDIO AMBIENTE",OFFSET('PARÁMETROS'!$K$20,MATCH(U37,JC_MA,0),MATCH(T37,CC_MA,0)),
IF(AA37="Rel. Gubernamentales",OFFSET('PARÁMETROS'!$K$48,MATCH(U37,JC_G,0),MATCH(T37,CC_G,0)),
IF(AA37="OPERACIONAL",OFFSET('PARÁMETROS'!$K$56,MATCH(U37,JC_OP,0),MATCH(T37,CC_OP,0)),
IF(AA37="FINANCIERO",OFFSET('PARÁMETROS'!$K$56,MATCH(U37,JC_FI,0),MATCH(T37,CC_FI,0)),
OFFSET('PARÁMETROS'!$K$38,MATCH(U37,JC_L,0),MATCH(T37,CC_L,0))))))))),"")</f>
        <v/>
      </c>
      <c r="W37" s="130"/>
      <c r="X37" s="135"/>
      <c r="Y37" s="136"/>
      <c r="Z37" s="30"/>
      <c r="AA37" s="31" t="str">
        <f>E27</f>
        <v/>
      </c>
    </row>
    <row r="38" ht="87.0" customHeight="1">
      <c r="A38" s="129"/>
      <c r="B38" s="130"/>
      <c r="C38" s="130"/>
      <c r="D38" s="130"/>
      <c r="E38" s="130"/>
      <c r="F38" s="130"/>
      <c r="G38" s="130"/>
      <c r="H38" s="130"/>
      <c r="I38" s="130"/>
      <c r="J38" s="130"/>
      <c r="K38" s="130"/>
      <c r="L38" s="130"/>
      <c r="M38" s="130"/>
      <c r="N38" s="130"/>
      <c r="O38" s="130"/>
      <c r="P38" s="132"/>
      <c r="Q38" s="134"/>
      <c r="R38" s="134"/>
      <c r="S38" s="134"/>
      <c r="T38" s="135"/>
      <c r="U38" s="135"/>
      <c r="V38" s="135" t="str">
        <f>IFERROR(IF(AA38="SEGURIDAD",OFFSET('PARÁMETROS'!$K$2,MATCH(U38,JC_SE,0),MATCH(T38,CC_SE,0)),
IF(OR(AA38="DSRC/Estratégico",AA38="DSRC/Operativo"),OFFSET('PARÁMETROS'!$K$11,MATCH(U38,JC_DS,0),MATCH(T38,CC_DS,0)),
IF(AA38="SALUD",OFFSET('PARÁMETROS'!$K$29,MATCH(U38,JC_SA,0),MATCH(T38,CC_SA,0)),
IF(AA38="MEDIO AMBIENTE",OFFSET('PARÁMETROS'!$K$20,MATCH(U38,JC_MA,0),MATCH(T38,CC_MA,0)),
IF(AA38="Rel. Gubernamentales",OFFSET('PARÁMETROS'!$K$48,MATCH(U38,JC_G,0),MATCH(T38,CC_G,0)),
IF(AA38="OPERACIONAL",OFFSET('PARÁMETROS'!$K$56,MATCH(U38,JC_OP,0),MATCH(T38,CC_OP,0)),
IF(AA38="FINANCIERO",OFFSET('PARÁMETROS'!$K$56,MATCH(U38,JC_FI,0),MATCH(T38,CC_FI,0)),
OFFSET('PARÁMETROS'!$K$38,MATCH(U38,JC_L,0),MATCH(T38,CC_L,0))))))))),"")</f>
        <v/>
      </c>
      <c r="W38" s="130"/>
      <c r="X38" s="135"/>
      <c r="Y38" s="136"/>
      <c r="Z38" s="30"/>
      <c r="AA38" s="31" t="str">
        <f>E27</f>
        <v/>
      </c>
    </row>
    <row r="39" ht="87.0" customHeight="1">
      <c r="A39" s="129"/>
      <c r="B39" s="130"/>
      <c r="C39" s="130"/>
      <c r="D39" s="130"/>
      <c r="E39" s="130"/>
      <c r="F39" s="130"/>
      <c r="G39" s="130"/>
      <c r="H39" s="130"/>
      <c r="I39" s="130"/>
      <c r="J39" s="130"/>
      <c r="K39" s="130"/>
      <c r="L39" s="130"/>
      <c r="M39" s="130"/>
      <c r="N39" s="130"/>
      <c r="O39" s="130"/>
      <c r="P39" s="132"/>
      <c r="Q39" s="134"/>
      <c r="R39" s="134"/>
      <c r="S39" s="134"/>
      <c r="T39" s="135"/>
      <c r="U39" s="135"/>
      <c r="V39" s="135" t="str">
        <f>IFERROR(IF(AA39="SEGURIDAD",OFFSET('PARÁMETROS'!$K$2,MATCH(U39,JC_SE,0),MATCH(T39,CC_SE,0)),
IF(OR(AA39="DSRC/Estratégico",AA39="DSRC/Operativo"),OFFSET('PARÁMETROS'!$K$11,MATCH(U39,JC_DS,0),MATCH(T39,CC_DS,0)),
IF(AA39="SALUD",OFFSET('PARÁMETROS'!$K$29,MATCH(U39,JC_SA,0),MATCH(T39,CC_SA,0)),
IF(AA39="MEDIO AMBIENTE",OFFSET('PARÁMETROS'!$K$20,MATCH(U39,JC_MA,0),MATCH(T39,CC_MA,0)),
IF(AA39="Rel. Gubernamentales",OFFSET('PARÁMETROS'!$K$48,MATCH(U39,JC_G,0),MATCH(T39,CC_G,0)),
IF(AA39="OPERACIONAL",OFFSET('PARÁMETROS'!$K$56,MATCH(U39,JC_OP,0),MATCH(T39,CC_OP,0)),
IF(AA39="FINANCIERO",OFFSET('PARÁMETROS'!$K$56,MATCH(U39,JC_FI,0),MATCH(T39,CC_FI,0)),
OFFSET('PARÁMETROS'!$K$38,MATCH(U39,JC_L,0),MATCH(T39,CC_L,0))))))))),"")</f>
        <v/>
      </c>
      <c r="W39" s="130"/>
      <c r="X39" s="135"/>
      <c r="Y39" s="136"/>
      <c r="Z39" s="30"/>
      <c r="AA39" s="31" t="str">
        <f>E27</f>
        <v/>
      </c>
    </row>
    <row r="40" ht="87.0" customHeight="1">
      <c r="A40" s="129"/>
      <c r="B40" s="130"/>
      <c r="C40" s="130"/>
      <c r="D40" s="130"/>
      <c r="E40" s="130"/>
      <c r="F40" s="130"/>
      <c r="G40" s="130"/>
      <c r="H40" s="130"/>
      <c r="I40" s="130"/>
      <c r="J40" s="130"/>
      <c r="K40" s="130"/>
      <c r="L40" s="130"/>
      <c r="M40" s="130"/>
      <c r="N40" s="130"/>
      <c r="O40" s="130"/>
      <c r="P40" s="132"/>
      <c r="Q40" s="134"/>
      <c r="R40" s="134"/>
      <c r="S40" s="134"/>
      <c r="T40" s="135"/>
      <c r="U40" s="135"/>
      <c r="V40" s="135" t="str">
        <f>IFERROR(IF(AA40="SEGURIDAD",OFFSET('PARÁMETROS'!$K$2,MATCH(U40,JC_SE,0),MATCH(T40,CC_SE,0)),
IF(OR(AA40="DSRC/Estratégico",AA40="DSRC/Operativo"),OFFSET('PARÁMETROS'!$K$11,MATCH(U40,JC_DS,0),MATCH(T40,CC_DS,0)),
IF(AA40="SALUD",OFFSET('PARÁMETROS'!$K$29,MATCH(U40,JC_SA,0),MATCH(T40,CC_SA,0)),
IF(AA40="MEDIO AMBIENTE",OFFSET('PARÁMETROS'!$K$20,MATCH(U40,JC_MA,0),MATCH(T40,CC_MA,0)),
IF(AA40="Rel. Gubernamentales",OFFSET('PARÁMETROS'!$K$48,MATCH(U40,JC_G,0),MATCH(T40,CC_G,0)),
IF(AA40="OPERACIONAL",OFFSET('PARÁMETROS'!$K$56,MATCH(U40,JC_OP,0),MATCH(T40,CC_OP,0)),
IF(AA40="FINANCIERO",OFFSET('PARÁMETROS'!$K$56,MATCH(U40,JC_FI,0),MATCH(T40,CC_FI,0)),
OFFSET('PARÁMETROS'!$K$38,MATCH(U40,JC_L,0),MATCH(T40,CC_L,0))))))))),"")</f>
        <v/>
      </c>
      <c r="W40" s="130"/>
      <c r="X40" s="135"/>
      <c r="Y40" s="136"/>
      <c r="Z40" s="30"/>
      <c r="AA40" s="31" t="str">
        <f>E27</f>
        <v/>
      </c>
    </row>
    <row r="41" ht="87.0" customHeight="1">
      <c r="A41" s="129"/>
      <c r="B41" s="130"/>
      <c r="C41" s="130"/>
      <c r="D41" s="130"/>
      <c r="E41" s="130"/>
      <c r="F41" s="130"/>
      <c r="G41" s="130"/>
      <c r="H41" s="130"/>
      <c r="I41" s="130"/>
      <c r="J41" s="130"/>
      <c r="K41" s="130"/>
      <c r="L41" s="130"/>
      <c r="M41" s="130"/>
      <c r="N41" s="130"/>
      <c r="O41" s="130"/>
      <c r="P41" s="132"/>
      <c r="Q41" s="134"/>
      <c r="R41" s="134"/>
      <c r="S41" s="134"/>
      <c r="T41" s="135"/>
      <c r="U41" s="135"/>
      <c r="V41" s="135" t="str">
        <f>IFERROR(IF(AA41="SEGURIDAD",OFFSET('PARÁMETROS'!$K$2,MATCH(U41,JC_SE,0),MATCH(T41,CC_SE,0)),
IF(OR(AA41="DSRC/Estratégico",AA41="DSRC/Operativo"),OFFSET('PARÁMETROS'!$K$11,MATCH(U41,JC_DS,0),MATCH(T41,CC_DS,0)),
IF(AA41="SALUD",OFFSET('PARÁMETROS'!$K$29,MATCH(U41,JC_SA,0),MATCH(T41,CC_SA,0)),
IF(AA41="MEDIO AMBIENTE",OFFSET('PARÁMETROS'!$K$20,MATCH(U41,JC_MA,0),MATCH(T41,CC_MA,0)),
IF(AA41="Rel. Gubernamentales",OFFSET('PARÁMETROS'!$K$48,MATCH(U41,JC_G,0),MATCH(T41,CC_G,0)),
IF(AA41="OPERACIONAL",OFFSET('PARÁMETROS'!$K$56,MATCH(U41,JC_OP,0),MATCH(T41,CC_OP,0)),
IF(AA41="FINANCIERO",OFFSET('PARÁMETROS'!$K$56,MATCH(U41,JC_FI,0),MATCH(T41,CC_FI,0)),
OFFSET('PARÁMETROS'!$K$38,MATCH(U41,JC_L,0),MATCH(T41,CC_L,0))))))))),"")</f>
        <v/>
      </c>
      <c r="W41" s="130"/>
      <c r="X41" s="135"/>
      <c r="Y41" s="136"/>
      <c r="Z41" s="30"/>
      <c r="AA41" s="31" t="str">
        <f>E27</f>
        <v/>
      </c>
    </row>
    <row r="42" ht="87.0" customHeight="1">
      <c r="A42" s="89"/>
      <c r="B42" s="90"/>
      <c r="C42" s="90"/>
      <c r="D42" s="90"/>
      <c r="E42" s="90"/>
      <c r="F42" s="90"/>
      <c r="G42" s="90"/>
      <c r="H42" s="90"/>
      <c r="I42" s="90"/>
      <c r="J42" s="90"/>
      <c r="K42" s="90"/>
      <c r="L42" s="90"/>
      <c r="M42" s="90"/>
      <c r="N42" s="90"/>
      <c r="O42" s="90"/>
      <c r="P42" s="132"/>
      <c r="Q42" s="134"/>
      <c r="R42" s="145"/>
      <c r="S42" s="145"/>
      <c r="T42" s="135"/>
      <c r="U42" s="135"/>
      <c r="V42" s="135" t="str">
        <f>IFERROR(IF(AA42="SEGURIDAD",OFFSET('PARÁMETROS'!$K$2,MATCH(U42,JC_SE,0),MATCH(T42,CC_SE,0)),
IF(OR(AA42="DSRC/Estratégico",AA42="DSRC/Operativo"),OFFSET('PARÁMETROS'!$K$11,MATCH(U42,JC_DS,0),MATCH(T42,CC_DS,0)),
IF(AA42="SALUD",OFFSET('PARÁMETROS'!$K$29,MATCH(U42,JC_SA,0),MATCH(T42,CC_SA,0)),
IF(AA42="MEDIO AMBIENTE",OFFSET('PARÁMETROS'!$K$20,MATCH(U42,JC_MA,0),MATCH(T42,CC_MA,0)),
IF(AA42="Rel. Gubernamentales",OFFSET('PARÁMETROS'!$K$48,MATCH(U42,JC_G,0),MATCH(T42,CC_G,0)),
IF(AA42="OPERACIONAL",OFFSET('PARÁMETROS'!$K$56,MATCH(U42,JC_OP,0),MATCH(T42,CC_OP,0)),
IF(AA42="FINANCIERO",OFFSET('PARÁMETROS'!$K$56,MATCH(U42,JC_FI,0),MATCH(T42,CC_FI,0)),
OFFSET('PARÁMETROS'!$K$38,MATCH(U42,JC_L,0),MATCH(T42,CC_L,0))))))))),"")</f>
        <v/>
      </c>
      <c r="W42" s="90"/>
      <c r="X42" s="135"/>
      <c r="Y42" s="136"/>
      <c r="Z42" s="30"/>
      <c r="AA42" s="31" t="str">
        <f>E27</f>
        <v/>
      </c>
    </row>
    <row r="43" ht="87.0" customHeight="1">
      <c r="A43" s="102"/>
      <c r="B43" s="103"/>
      <c r="C43" s="103"/>
      <c r="D43" s="103"/>
      <c r="E43" s="103"/>
      <c r="F43" s="103"/>
      <c r="G43" s="105"/>
      <c r="H43" s="103"/>
      <c r="I43" s="105"/>
      <c r="J43" s="103"/>
      <c r="K43" s="103"/>
      <c r="L43" s="103" t="str">
        <f>IF(OR(J43&lt;&gt;"",K43&lt;&gt;""),OFFSET('PARÁMETROS'!$B$2,K43,J43),"")</f>
        <v/>
      </c>
      <c r="M43" s="103"/>
      <c r="N43" s="103">
        <f>IFERROR(L43*M43,"")</f>
        <v>0</v>
      </c>
      <c r="O43" s="108" t="str">
        <f>IF(N43="","",IFERROR(IF(N43&lt;=2,"ACEPTABLE",IF(N43&lt;=6,"BAJA",IF(N43&lt;=10,"ACEPTABLE CON REVISIÓN",IF(N43&lt;=15,"SUSTANCIAL","INACEPTABLE")))),""))</f>
        <v>ACEPTABLE</v>
      </c>
      <c r="P43" s="113"/>
      <c r="Q43" s="114"/>
      <c r="R43" s="114"/>
      <c r="S43" s="114"/>
      <c r="T43" s="115"/>
      <c r="U43" s="115"/>
      <c r="V43" s="115" t="str">
        <f>IFERROR(IF(AA43="SEGURIDAD",OFFSET('PARÁMETROS'!$K$2,MATCH(U43,JC_SE,0),MATCH(T43,CC_SE,0)),
IF(OR(AA43="DSRC/Estratégico",AA43="DSRC/Operativo"),OFFSET('PARÁMETROS'!$K$11,MATCH(U43,JC_DS,0),MATCH(T43,CC_DS,0)),
IF(AA43="SALUD",OFFSET('PARÁMETROS'!$K$29,MATCH(U43,JC_SA,0),MATCH(T43,CC_SA,0)),
IF(AA43="MEDIO AMBIENTE",OFFSET('PARÁMETROS'!$K$20,MATCH(U43,JC_MA,0),MATCH(T43,CC_MA,0)),
IF(AA43="Rel. Gubernamentales",OFFSET('PARÁMETROS'!$K$48,MATCH(U43,JC_G,0),MATCH(T43,CC_G,0)),
IF(AA43="OPERACIONAL",OFFSET('PARÁMETROS'!$K$56,MATCH(U43,JC_OP,0),MATCH(T43,CC_OP,0)),
IF(AA43="FINANCIERO",OFFSET('PARÁMETROS'!$K$56,MATCH(U43,JC_FI,0),MATCH(T43,CC_FI,0)),
OFFSET('PARÁMETROS'!$K$38,MATCH(U43,JC_L,0),MATCH(T43,CC_L,0))))))))),"")</f>
        <v/>
      </c>
      <c r="W43" s="108" t="str">
        <f>IF(E43="","",
IF(COUNTA(V43:V58)-COUNTBLANK(V43:V58)=1,
IF(O43="INACEPTABLE",IF(COUNTIF(V43:V58,"Control/Acción Eficaz")&gt;=1,"SUSTANCIAL","INACEPTABLE"),
IF(O43="SUSTANCIAL",IF(COUNTIF(V43:V58,"Control/Acción Eficaz")&gt;=1,"ACEPTABLE CON REVISIÓN","SUSTANCIAL"),
IF(O43="ACEPTABLE CON REVISIÓN",IF(COUNTIF(V43:V58,"Control/Acción Eficaz")&gt;=1,"BAJA","ACEPTABLE CON REVISIÓN"),
IF(O43="BAJA",IF(COUNTIF(V43:V58,"Control/Acción Eficaz")&gt;=1,"ACEPTABLE","BAJA"),)))),
IF(COUNTA(V43:V58)-COUNTBLANK(V43:V58)=2,
IF(O43="INACEPTABLE",IF(COUNTIF(V43:V58,"Control/Acción Eficaz")=2,"ACEPTABLE CON REVISIÓN",
IF(OR(AND(COUNTIF(V43:V58,"Control/Acción Eficaz")=1,COUNTIF(V43:V58,"Control/Acción Satisfactorio")=1),
AND(COUNTIF(V43:V58,"Control/Acción Eficaz")=1,COUNTIF(V43:V58,"Control/Acción No Eficaz")=1)),"SUSTANCIAL","INACEPTABLE")),
IF(O43="SUSTANCIAL",IF(COUNTIF(V43:V58,"Control/Acción Eficaz")=2,"BAJA",
IF(OR(AND(COUNTIF(V43:V58,"Control/Acción Eficaz")=1,COUNTIF(V43:V58,"Control/Acción Satisfactorio")=1),
AND(COUNTIF(V43:V58,"Control/Acción Eficaz")=1,COUNTIF(V43:V58,"Control/Acción No Eficaz")=1)),"ACEPTABLE CON REVISIÓN ","SUSTANCIAL")),
IF(O43="ACEPTABLE CON REVISIÓN",IF(COUNTIF(V43:V58,"Control/Acción Eficaz")=2,"ACEPTABLE",
IF(OR(AND(COUNTIF(V43:V58,"Control/Acción Eficaz")=1,COUNTIF(V43:V58,"Control/Acción Satisfactorio")=1),
AND(COUNTIF(V43:V58,"Control/Acción Eficaz")=1,COUNTIF(V43:V58,"Control/Acción No Eficaz")=1)),"BAJA","ACEPTABLE CON REVISIÓN")),
IF(O43="BAJA",IF(COUNTIF(V43:V58,"Control/Acción Eficaz")&gt;=2,"ACEPTABLE","BAJA"),)))),
IF(COUNTA(V43:V58)-COUNTBLANK(V43:V58)&gt;=3,
IF(O43="INACEPTABLE",
IF(COUNTBLANK(V43:V58)=COUNTA(V43:V58),"",
IF(COUNTIF(V43:V58,"Control/Acción No Eficaz")&gt;=2,"INACEPTABLE",
IF(AND(COUNTIF(V43:V58,"Control/Acción No Eficaz")=0,COUNTIF(V43:V58,"Control/Acción Eficaz")&gt;=2),"ACEPTABLE CON REVISIÓN ","SUSTANCIAL"))),
IF(O43="SUSTANCIAL",
IF(COUNTBLANK(V43:V58)=COUNTA(V43:V58),"",
IF(COUNTIF(V43:V58,"Control/Acción No Eficaz")&gt;=2,"SUSTANCIAL",
IF(AND(COUNTIF(V43:V58,"Control/Acción No Eficaz")=0,COUNTIF(V43:V58,"Control/Acción Eficaz")&gt;=2),"BAJA","ACEPTABLE CON REVISIÓN"))),
IF(O43="ACEPTABLE CON REVISIÓN",
IF(COUNTBLANK(V43:V58)=COUNTA(V43:V58),"",
IF(COUNTIF(V43:V58,"Control/Acción No Eficaz")&gt;=2,"ACEPTABLE CON REVISIÓN",
IF(AND(COUNTIF(V43:V58,"Control/Acción No Eficaz")=0,COUNTIF(V43:V58,"Control/Acción Eficaz")&gt;=2),"ACEPTABLE","BAJA"))),
IF(O43="BAJA",
IF(COUNTBLANK(V43:V58)=COUNTA(V43:V58),"",
IF(AND(COUNTBLANK(V43:V58)&lt;1,COUNTA(V43:V58)=1),
IF(COUNTIF(V43:V58,"Control/Acción No Eficaz")&gt;=2,"BAJA",
IF(AND(COUNTIF(V43:V58,"Control/Acción No Eficaz")=0,COUNTIF(V43:V58,"Control/Acción Eficaz")&gt;=2),"ACEPTABLE","BAJA")),
IF(COUNTIF(V43:V58,"Control/Acción No Eficaz")&gt;=2,"BAJA",
IF(AND(COUNTIF(V43:V58,"Control/Acción No Eficaz")=0,COUNTIF(V43:V58,"Control/Acción Eficaz")&gt;=2),"ACEPTABLE","BAJA")))),
IF(COUNTIF(V43:V58,"")&gt;=5,"",O43))))),
""))))</f>
        <v/>
      </c>
      <c r="X43" s="115"/>
      <c r="Y43" s="128"/>
      <c r="Z43" s="30"/>
      <c r="AA43" s="31" t="str">
        <f>E43</f>
        <v/>
      </c>
    </row>
    <row r="44" ht="87.0" customHeight="1">
      <c r="A44" s="129"/>
      <c r="B44" s="130"/>
      <c r="C44" s="130"/>
      <c r="D44" s="130"/>
      <c r="E44" s="130"/>
      <c r="F44" s="130"/>
      <c r="G44" s="130"/>
      <c r="H44" s="130"/>
      <c r="I44" s="130"/>
      <c r="J44" s="130"/>
      <c r="K44" s="130"/>
      <c r="L44" s="130"/>
      <c r="M44" s="130"/>
      <c r="N44" s="130"/>
      <c r="O44" s="130"/>
      <c r="P44" s="132"/>
      <c r="Q44" s="134"/>
      <c r="R44" s="134"/>
      <c r="S44" s="134"/>
      <c r="T44" s="135"/>
      <c r="U44" s="135"/>
      <c r="V44" s="135" t="str">
        <f>IFERROR(IF(AA44="SEGURIDAD",OFFSET('PARÁMETROS'!$K$2,MATCH(U44,JC_SE,0),MATCH(T44,CC_SE,0)),
IF(OR(AA44="DSRC/Estratégico",AA44="DSRC/Operativo"),OFFSET('PARÁMETROS'!$K$11,MATCH(U44,JC_DS,0),MATCH(T44,CC_DS,0)),
IF(AA44="SALUD",OFFSET('PARÁMETROS'!$K$29,MATCH(U44,JC_SA,0),MATCH(T44,CC_SA,0)),
IF(AA44="MEDIO AMBIENTE",OFFSET('PARÁMETROS'!$K$20,MATCH(U44,JC_MA,0),MATCH(T44,CC_MA,0)),
IF(AA44="Rel. Gubernamentales",OFFSET('PARÁMETROS'!$K$48,MATCH(U44,JC_G,0),MATCH(T44,CC_G,0)),
IF(AA44="OPERACIONAL",OFFSET('PARÁMETROS'!$K$56,MATCH(U44,JC_OP,0),MATCH(T44,CC_OP,0)),
IF(AA44="FINANCIERO",OFFSET('PARÁMETROS'!$K$56,MATCH(U44,JC_FI,0),MATCH(T44,CC_FI,0)),
OFFSET('PARÁMETROS'!$K$38,MATCH(U44,JC_L,0),MATCH(T44,CC_L,0))))))))),"")</f>
        <v/>
      </c>
      <c r="W44" s="130"/>
      <c r="X44" s="135"/>
      <c r="Y44" s="136"/>
      <c r="Z44" s="30"/>
      <c r="AA44" s="31" t="str">
        <f>E43</f>
        <v/>
      </c>
    </row>
    <row r="45" ht="87.0" customHeight="1">
      <c r="A45" s="129"/>
      <c r="B45" s="130"/>
      <c r="C45" s="130"/>
      <c r="D45" s="130"/>
      <c r="E45" s="130"/>
      <c r="F45" s="130"/>
      <c r="G45" s="130"/>
      <c r="H45" s="130"/>
      <c r="I45" s="130"/>
      <c r="J45" s="130"/>
      <c r="K45" s="130"/>
      <c r="L45" s="130"/>
      <c r="M45" s="130"/>
      <c r="N45" s="130"/>
      <c r="O45" s="130"/>
      <c r="P45" s="132"/>
      <c r="Q45" s="134"/>
      <c r="R45" s="134"/>
      <c r="S45" s="134"/>
      <c r="T45" s="135"/>
      <c r="U45" s="135"/>
      <c r="V45" s="135" t="str">
        <f>IFERROR(IF(AA45="SEGURIDAD",OFFSET('PARÁMETROS'!$K$2,MATCH(U45,JC_SE,0),MATCH(T45,CC_SE,0)),
IF(OR(AA45="DSRC/Estratégico",AA45="DSRC/Operativo"),OFFSET('PARÁMETROS'!$K$11,MATCH(U45,JC_DS,0),MATCH(T45,CC_DS,0)),
IF(AA45="SALUD",OFFSET('PARÁMETROS'!$K$29,MATCH(U45,JC_SA,0),MATCH(T45,CC_SA,0)),
IF(AA45="MEDIO AMBIENTE",OFFSET('PARÁMETROS'!$K$20,MATCH(U45,JC_MA,0),MATCH(T45,CC_MA,0)),
IF(AA45="Rel. Gubernamentales",OFFSET('PARÁMETROS'!$K$48,MATCH(U45,JC_G,0),MATCH(T45,CC_G,0)),
IF(AA45="OPERACIONAL",OFFSET('PARÁMETROS'!$K$56,MATCH(U45,JC_OP,0),MATCH(T45,CC_OP,0)),
IF(AA45="FINANCIERO",OFFSET('PARÁMETROS'!$K$56,MATCH(U45,JC_FI,0),MATCH(T45,CC_FI,0)),
OFFSET('PARÁMETROS'!$K$38,MATCH(U45,JC_L,0),MATCH(T45,CC_L,0))))))))),"")</f>
        <v/>
      </c>
      <c r="W45" s="130"/>
      <c r="X45" s="135"/>
      <c r="Y45" s="136"/>
      <c r="Z45" s="30"/>
      <c r="AA45" s="31" t="str">
        <f>E43</f>
        <v/>
      </c>
    </row>
    <row r="46" ht="87.0" customHeight="1">
      <c r="A46" s="129"/>
      <c r="B46" s="130"/>
      <c r="C46" s="130"/>
      <c r="D46" s="130"/>
      <c r="E46" s="130"/>
      <c r="F46" s="130"/>
      <c r="G46" s="130"/>
      <c r="H46" s="130"/>
      <c r="I46" s="130"/>
      <c r="J46" s="130"/>
      <c r="K46" s="130"/>
      <c r="L46" s="130"/>
      <c r="M46" s="130"/>
      <c r="N46" s="130"/>
      <c r="O46" s="130"/>
      <c r="P46" s="132"/>
      <c r="Q46" s="134"/>
      <c r="R46" s="134"/>
      <c r="S46" s="134"/>
      <c r="T46" s="135"/>
      <c r="U46" s="135"/>
      <c r="V46" s="135" t="str">
        <f>IFERROR(IF(AA46="SEGURIDAD",OFFSET('PARÁMETROS'!$K$2,MATCH(U46,JC_SE,0),MATCH(T46,CC_SE,0)),
IF(OR(AA46="DSRC/Estratégico",AA46="DSRC/Operativo"),OFFSET('PARÁMETROS'!$K$11,MATCH(U46,JC_DS,0),MATCH(T46,CC_DS,0)),
IF(AA46="SALUD",OFFSET('PARÁMETROS'!$K$29,MATCH(U46,JC_SA,0),MATCH(T46,CC_SA,0)),
IF(AA46="MEDIO AMBIENTE",OFFSET('PARÁMETROS'!$K$20,MATCH(U46,JC_MA,0),MATCH(T46,CC_MA,0)),
IF(AA46="Rel. Gubernamentales",OFFSET('PARÁMETROS'!$K$48,MATCH(U46,JC_G,0),MATCH(T46,CC_G,0)),
IF(AA46="OPERACIONAL",OFFSET('PARÁMETROS'!$K$56,MATCH(U46,JC_OP,0),MATCH(T46,CC_OP,0)),
IF(AA46="FINANCIERO",OFFSET('PARÁMETROS'!$K$56,MATCH(U46,JC_FI,0),MATCH(T46,CC_FI,0)),
OFFSET('PARÁMETROS'!$K$38,MATCH(U46,JC_L,0),MATCH(T46,CC_L,0))))))))),"")</f>
        <v/>
      </c>
      <c r="W46" s="130"/>
      <c r="X46" s="135"/>
      <c r="Y46" s="136"/>
      <c r="Z46" s="30"/>
      <c r="AA46" s="31" t="str">
        <f>E43</f>
        <v/>
      </c>
    </row>
    <row r="47" ht="87.0" customHeight="1">
      <c r="A47" s="129"/>
      <c r="B47" s="130"/>
      <c r="C47" s="130"/>
      <c r="D47" s="130"/>
      <c r="E47" s="130"/>
      <c r="F47" s="130"/>
      <c r="G47" s="130"/>
      <c r="H47" s="130"/>
      <c r="I47" s="130"/>
      <c r="J47" s="130"/>
      <c r="K47" s="130"/>
      <c r="L47" s="130"/>
      <c r="M47" s="130"/>
      <c r="N47" s="130"/>
      <c r="O47" s="130"/>
      <c r="P47" s="132"/>
      <c r="Q47" s="134"/>
      <c r="R47" s="134"/>
      <c r="S47" s="134"/>
      <c r="T47" s="135"/>
      <c r="U47" s="135"/>
      <c r="V47" s="135" t="str">
        <f>IFERROR(IF(AA47="SEGURIDAD",OFFSET('PARÁMETROS'!$K$2,MATCH(U47,JC_SE,0),MATCH(T47,CC_SE,0)),
IF(OR(AA47="DSRC/Estratégico",AA47="DSRC/Operativo"),OFFSET('PARÁMETROS'!$K$11,MATCH(U47,JC_DS,0),MATCH(T47,CC_DS,0)),
IF(AA47="SALUD",OFFSET('PARÁMETROS'!$K$29,MATCH(U47,JC_SA,0),MATCH(T47,CC_SA,0)),
IF(AA47="MEDIO AMBIENTE",OFFSET('PARÁMETROS'!$K$20,MATCH(U47,JC_MA,0),MATCH(T47,CC_MA,0)),
IF(AA47="Rel. Gubernamentales",OFFSET('PARÁMETROS'!$K$48,MATCH(U47,JC_G,0),MATCH(T47,CC_G,0)),
IF(AA47="OPERACIONAL",OFFSET('PARÁMETROS'!$K$56,MATCH(U47,JC_OP,0),MATCH(T47,CC_OP,0)),
IF(AA47="FINANCIERO",OFFSET('PARÁMETROS'!$K$56,MATCH(U47,JC_FI,0),MATCH(T47,CC_FI,0)),
OFFSET('PARÁMETROS'!$K$38,MATCH(U47,JC_L,0),MATCH(T47,CC_L,0))))))))),"")</f>
        <v/>
      </c>
      <c r="W47" s="130"/>
      <c r="X47" s="135"/>
      <c r="Y47" s="136"/>
      <c r="Z47" s="30"/>
      <c r="AA47" s="31" t="str">
        <f>E43</f>
        <v/>
      </c>
    </row>
    <row r="48" ht="87.0" customHeight="1">
      <c r="A48" s="129"/>
      <c r="B48" s="130"/>
      <c r="C48" s="130"/>
      <c r="D48" s="130"/>
      <c r="E48" s="130"/>
      <c r="F48" s="130"/>
      <c r="G48" s="130"/>
      <c r="H48" s="130"/>
      <c r="I48" s="130"/>
      <c r="J48" s="130"/>
      <c r="K48" s="130"/>
      <c r="L48" s="130"/>
      <c r="M48" s="130"/>
      <c r="N48" s="130"/>
      <c r="O48" s="130"/>
      <c r="P48" s="132"/>
      <c r="Q48" s="134"/>
      <c r="R48" s="134"/>
      <c r="S48" s="134"/>
      <c r="T48" s="135"/>
      <c r="U48" s="135"/>
      <c r="V48" s="135" t="str">
        <f>IFERROR(IF(AA48="SEGURIDAD",OFFSET('PARÁMETROS'!$K$2,MATCH(U48,JC_SE,0),MATCH(T48,CC_SE,0)),
IF(OR(AA48="DSRC/Estratégico",AA48="DSRC/Operativo"),OFFSET('PARÁMETROS'!$K$11,MATCH(U48,JC_DS,0),MATCH(T48,CC_DS,0)),
IF(AA48="SALUD",OFFSET('PARÁMETROS'!$K$29,MATCH(U48,JC_SA,0),MATCH(T48,CC_SA,0)),
IF(AA48="MEDIO AMBIENTE",OFFSET('PARÁMETROS'!$K$20,MATCH(U48,JC_MA,0),MATCH(T48,CC_MA,0)),
IF(AA48="Rel. Gubernamentales",OFFSET('PARÁMETROS'!$K$48,MATCH(U48,JC_G,0),MATCH(T48,CC_G,0)),
IF(AA48="OPERACIONAL",OFFSET('PARÁMETROS'!$K$56,MATCH(U48,JC_OP,0),MATCH(T48,CC_OP,0)),
IF(AA48="FINANCIERO",OFFSET('PARÁMETROS'!$K$56,MATCH(U48,JC_FI,0),MATCH(T48,CC_FI,0)),
OFFSET('PARÁMETROS'!$K$38,MATCH(U48,JC_L,0),MATCH(T48,CC_L,0))))))))),"")</f>
        <v/>
      </c>
      <c r="W48" s="130"/>
      <c r="X48" s="135"/>
      <c r="Y48" s="136"/>
      <c r="Z48" s="30"/>
      <c r="AA48" s="31" t="str">
        <f>E43</f>
        <v/>
      </c>
    </row>
    <row r="49" ht="87.0" customHeight="1">
      <c r="A49" s="129"/>
      <c r="B49" s="130"/>
      <c r="C49" s="130"/>
      <c r="D49" s="130"/>
      <c r="E49" s="130"/>
      <c r="F49" s="130"/>
      <c r="G49" s="130"/>
      <c r="H49" s="130"/>
      <c r="I49" s="130"/>
      <c r="J49" s="130"/>
      <c r="K49" s="130"/>
      <c r="L49" s="130"/>
      <c r="M49" s="130"/>
      <c r="N49" s="130"/>
      <c r="O49" s="130"/>
      <c r="P49" s="132"/>
      <c r="Q49" s="134"/>
      <c r="R49" s="134"/>
      <c r="S49" s="134"/>
      <c r="T49" s="135"/>
      <c r="U49" s="135"/>
      <c r="V49" s="135" t="str">
        <f>IFERROR(IF(AA49="SEGURIDAD",OFFSET('PARÁMETROS'!$K$2,MATCH(U49,JC_SE,0),MATCH(T49,CC_SE,0)),
IF(OR(AA49="DSRC/Estratégico",AA49="DSRC/Operativo"),OFFSET('PARÁMETROS'!$K$11,MATCH(U49,JC_DS,0),MATCH(T49,CC_DS,0)),
IF(AA49="SALUD",OFFSET('PARÁMETROS'!$K$29,MATCH(U49,JC_SA,0),MATCH(T49,CC_SA,0)),
IF(AA49="MEDIO AMBIENTE",OFFSET('PARÁMETROS'!$K$20,MATCH(U49,JC_MA,0),MATCH(T49,CC_MA,0)),
IF(AA49="Rel. Gubernamentales",OFFSET('PARÁMETROS'!$K$48,MATCH(U49,JC_G,0),MATCH(T49,CC_G,0)),
IF(AA49="OPERACIONAL",OFFSET('PARÁMETROS'!$K$56,MATCH(U49,JC_OP,0),MATCH(T49,CC_OP,0)),
IF(AA49="FINANCIERO",OFFSET('PARÁMETROS'!$K$56,MATCH(U49,JC_FI,0),MATCH(T49,CC_FI,0)),
OFFSET('PARÁMETROS'!$K$38,MATCH(U49,JC_L,0),MATCH(T49,CC_L,0))))))))),"")</f>
        <v/>
      </c>
      <c r="W49" s="130"/>
      <c r="X49" s="135"/>
      <c r="Y49" s="136"/>
      <c r="Z49" s="30"/>
      <c r="AA49" s="31" t="str">
        <f>E43</f>
        <v/>
      </c>
    </row>
    <row r="50" ht="87.0" customHeight="1">
      <c r="A50" s="129"/>
      <c r="B50" s="130"/>
      <c r="C50" s="130"/>
      <c r="D50" s="130"/>
      <c r="E50" s="130"/>
      <c r="F50" s="130"/>
      <c r="G50" s="130"/>
      <c r="H50" s="130"/>
      <c r="I50" s="130"/>
      <c r="J50" s="130"/>
      <c r="K50" s="130"/>
      <c r="L50" s="130"/>
      <c r="M50" s="130"/>
      <c r="N50" s="130"/>
      <c r="O50" s="130"/>
      <c r="P50" s="132"/>
      <c r="Q50" s="134"/>
      <c r="R50" s="134"/>
      <c r="S50" s="134"/>
      <c r="T50" s="135"/>
      <c r="U50" s="135"/>
      <c r="V50" s="135" t="str">
        <f>IFERROR(IF(AA50="SEGURIDAD",OFFSET('PARÁMETROS'!$K$2,MATCH(U50,JC_SE,0),MATCH(T50,CC_SE,0)),
IF(OR(AA50="DSRC/Estratégico",AA50="DSRC/Operativo"),OFFSET('PARÁMETROS'!$K$11,MATCH(U50,JC_DS,0),MATCH(T50,CC_DS,0)),
IF(AA50="SALUD",OFFSET('PARÁMETROS'!$K$29,MATCH(U50,JC_SA,0),MATCH(T50,CC_SA,0)),
IF(AA50="MEDIO AMBIENTE",OFFSET('PARÁMETROS'!$K$20,MATCH(U50,JC_MA,0),MATCH(T50,CC_MA,0)),
IF(AA50="Rel. Gubernamentales",OFFSET('PARÁMETROS'!$K$48,MATCH(U50,JC_G,0),MATCH(T50,CC_G,0)),
IF(AA50="OPERACIONAL",OFFSET('PARÁMETROS'!$K$56,MATCH(U50,JC_OP,0),MATCH(T50,CC_OP,0)),
IF(AA50="FINANCIERO",OFFSET('PARÁMETROS'!$K$56,MATCH(U50,JC_FI,0),MATCH(T50,CC_FI,0)),
OFFSET('PARÁMETROS'!$K$38,MATCH(U50,JC_L,0),MATCH(T50,CC_L,0))))))))),"")</f>
        <v/>
      </c>
      <c r="W50" s="130"/>
      <c r="X50" s="135"/>
      <c r="Y50" s="136"/>
      <c r="Z50" s="30"/>
      <c r="AA50" s="31" t="str">
        <f>E43</f>
        <v/>
      </c>
    </row>
    <row r="51" ht="87.0" customHeight="1">
      <c r="A51" s="129"/>
      <c r="B51" s="130"/>
      <c r="C51" s="130"/>
      <c r="D51" s="130"/>
      <c r="E51" s="130"/>
      <c r="F51" s="130"/>
      <c r="G51" s="130"/>
      <c r="H51" s="130"/>
      <c r="I51" s="130"/>
      <c r="J51" s="130"/>
      <c r="K51" s="130"/>
      <c r="L51" s="130"/>
      <c r="M51" s="130"/>
      <c r="N51" s="130"/>
      <c r="O51" s="130"/>
      <c r="P51" s="132"/>
      <c r="Q51" s="134"/>
      <c r="R51" s="134"/>
      <c r="S51" s="134"/>
      <c r="T51" s="135"/>
      <c r="U51" s="135"/>
      <c r="V51" s="135" t="str">
        <f>IFERROR(IF(AA51="SEGURIDAD",OFFSET('PARÁMETROS'!$K$2,MATCH(U51,JC_SE,0),MATCH(T51,CC_SE,0)),
IF(OR(AA51="DSRC/Estratégico",AA51="DSRC/Operativo"),OFFSET('PARÁMETROS'!$K$11,MATCH(U51,JC_DS,0),MATCH(T51,CC_DS,0)),
IF(AA51="SALUD",OFFSET('PARÁMETROS'!$K$29,MATCH(U51,JC_SA,0),MATCH(T51,CC_SA,0)),
IF(AA51="MEDIO AMBIENTE",OFFSET('PARÁMETROS'!$K$20,MATCH(U51,JC_MA,0),MATCH(T51,CC_MA,0)),
IF(AA51="Rel. Gubernamentales",OFFSET('PARÁMETROS'!$K$48,MATCH(U51,JC_G,0),MATCH(T51,CC_G,0)),
IF(AA51="OPERACIONAL",OFFSET('PARÁMETROS'!$K$56,MATCH(U51,JC_OP,0),MATCH(T51,CC_OP,0)),
IF(AA51="FINANCIERO",OFFSET('PARÁMETROS'!$K$56,MATCH(U51,JC_FI,0),MATCH(T51,CC_FI,0)),
OFFSET('PARÁMETROS'!$K$38,MATCH(U51,JC_L,0),MATCH(T51,CC_L,0))))))))),"")</f>
        <v/>
      </c>
      <c r="W51" s="130"/>
      <c r="X51" s="135"/>
      <c r="Y51" s="136"/>
      <c r="Z51" s="30"/>
      <c r="AA51" s="31" t="str">
        <f>E43</f>
        <v/>
      </c>
    </row>
    <row r="52" ht="87.0" customHeight="1">
      <c r="A52" s="129"/>
      <c r="B52" s="130"/>
      <c r="C52" s="130"/>
      <c r="D52" s="130"/>
      <c r="E52" s="130"/>
      <c r="F52" s="130"/>
      <c r="G52" s="130"/>
      <c r="H52" s="130"/>
      <c r="I52" s="130"/>
      <c r="J52" s="130"/>
      <c r="K52" s="130"/>
      <c r="L52" s="130"/>
      <c r="M52" s="130"/>
      <c r="N52" s="130"/>
      <c r="O52" s="130"/>
      <c r="P52" s="132"/>
      <c r="Q52" s="134"/>
      <c r="R52" s="134"/>
      <c r="S52" s="134"/>
      <c r="T52" s="135"/>
      <c r="U52" s="135"/>
      <c r="V52" s="135" t="str">
        <f>IFERROR(IF(AA52="SEGURIDAD",OFFSET('PARÁMETROS'!$K$2,MATCH(U52,JC_SE,0),MATCH(T52,CC_SE,0)),
IF(OR(AA52="DSRC/Estratégico",AA52="DSRC/Operativo"),OFFSET('PARÁMETROS'!$K$11,MATCH(U52,JC_DS,0),MATCH(T52,CC_DS,0)),
IF(AA52="SALUD",OFFSET('PARÁMETROS'!$K$29,MATCH(U52,JC_SA,0),MATCH(T52,CC_SA,0)),
IF(AA52="MEDIO AMBIENTE",OFFSET('PARÁMETROS'!$K$20,MATCH(U52,JC_MA,0),MATCH(T52,CC_MA,0)),
IF(AA52="Rel. Gubernamentales",OFFSET('PARÁMETROS'!$K$48,MATCH(U52,JC_G,0),MATCH(T52,CC_G,0)),
IF(AA52="OPERACIONAL",OFFSET('PARÁMETROS'!$K$56,MATCH(U52,JC_OP,0),MATCH(T52,CC_OP,0)),
IF(AA52="FINANCIERO",OFFSET('PARÁMETROS'!$K$56,MATCH(U52,JC_FI,0),MATCH(T52,CC_FI,0)),
OFFSET('PARÁMETROS'!$K$38,MATCH(U52,JC_L,0),MATCH(T52,CC_L,0))))))))),"")</f>
        <v/>
      </c>
      <c r="W52" s="130"/>
      <c r="X52" s="135"/>
      <c r="Y52" s="136"/>
      <c r="Z52" s="30"/>
      <c r="AA52" s="31" t="str">
        <f>E43</f>
        <v/>
      </c>
    </row>
    <row r="53" ht="87.0" customHeight="1">
      <c r="A53" s="129"/>
      <c r="B53" s="130"/>
      <c r="C53" s="130"/>
      <c r="D53" s="130"/>
      <c r="E53" s="130"/>
      <c r="F53" s="130"/>
      <c r="G53" s="130"/>
      <c r="H53" s="130"/>
      <c r="I53" s="130"/>
      <c r="J53" s="130"/>
      <c r="K53" s="130"/>
      <c r="L53" s="130"/>
      <c r="M53" s="130"/>
      <c r="N53" s="130"/>
      <c r="O53" s="130"/>
      <c r="P53" s="132"/>
      <c r="Q53" s="134"/>
      <c r="R53" s="134"/>
      <c r="S53" s="134"/>
      <c r="T53" s="135"/>
      <c r="U53" s="135"/>
      <c r="V53" s="135" t="str">
        <f>IFERROR(IF(AA53="SEGURIDAD",OFFSET('PARÁMETROS'!$K$2,MATCH(U53,JC_SE,0),MATCH(T53,CC_SE,0)),
IF(OR(AA53="DSRC/Estratégico",AA53="DSRC/Operativo"),OFFSET('PARÁMETROS'!$K$11,MATCH(U53,JC_DS,0),MATCH(T53,CC_DS,0)),
IF(AA53="SALUD",OFFSET('PARÁMETROS'!$K$29,MATCH(U53,JC_SA,0),MATCH(T53,CC_SA,0)),
IF(AA53="MEDIO AMBIENTE",OFFSET('PARÁMETROS'!$K$20,MATCH(U53,JC_MA,0),MATCH(T53,CC_MA,0)),
IF(AA53="Rel. Gubernamentales",OFFSET('PARÁMETROS'!$K$48,MATCH(U53,JC_G,0),MATCH(T53,CC_G,0)),
IF(AA53="OPERACIONAL",OFFSET('PARÁMETROS'!$K$56,MATCH(U53,JC_OP,0),MATCH(T53,CC_OP,0)),
IF(AA53="FINANCIERO",OFFSET('PARÁMETROS'!$K$56,MATCH(U53,JC_FI,0),MATCH(T53,CC_FI,0)),
OFFSET('PARÁMETROS'!$K$38,MATCH(U53,JC_L,0),MATCH(T53,CC_L,0))))))))),"")</f>
        <v/>
      </c>
      <c r="W53" s="130"/>
      <c r="X53" s="135"/>
      <c r="Y53" s="136"/>
      <c r="Z53" s="30"/>
      <c r="AA53" s="31" t="str">
        <f>E43</f>
        <v/>
      </c>
    </row>
    <row r="54" ht="87.0" customHeight="1">
      <c r="A54" s="129"/>
      <c r="B54" s="130"/>
      <c r="C54" s="130"/>
      <c r="D54" s="130"/>
      <c r="E54" s="130"/>
      <c r="F54" s="130"/>
      <c r="G54" s="130"/>
      <c r="H54" s="130"/>
      <c r="I54" s="130"/>
      <c r="J54" s="130"/>
      <c r="K54" s="130"/>
      <c r="L54" s="130"/>
      <c r="M54" s="130"/>
      <c r="N54" s="130"/>
      <c r="O54" s="130"/>
      <c r="P54" s="132"/>
      <c r="Q54" s="134"/>
      <c r="R54" s="134"/>
      <c r="S54" s="134"/>
      <c r="T54" s="135"/>
      <c r="U54" s="135"/>
      <c r="V54" s="135" t="str">
        <f>IFERROR(IF(AA54="SEGURIDAD",OFFSET('PARÁMETROS'!$K$2,MATCH(U54,JC_SE,0),MATCH(T54,CC_SE,0)),
IF(OR(AA54="DSRC/Estratégico",AA54="DSRC/Operativo"),OFFSET('PARÁMETROS'!$K$11,MATCH(U54,JC_DS,0),MATCH(T54,CC_DS,0)),
IF(AA54="SALUD",OFFSET('PARÁMETROS'!$K$29,MATCH(U54,JC_SA,0),MATCH(T54,CC_SA,0)),
IF(AA54="MEDIO AMBIENTE",OFFSET('PARÁMETROS'!$K$20,MATCH(U54,JC_MA,0),MATCH(T54,CC_MA,0)),
IF(AA54="Rel. Gubernamentales",OFFSET('PARÁMETROS'!$K$48,MATCH(U54,JC_G,0),MATCH(T54,CC_G,0)),
IF(AA54="OPERACIONAL",OFFSET('PARÁMETROS'!$K$56,MATCH(U54,JC_OP,0),MATCH(T54,CC_OP,0)),
IF(AA54="FINANCIERO",OFFSET('PARÁMETROS'!$K$56,MATCH(U54,JC_FI,0),MATCH(T54,CC_FI,0)),
OFFSET('PARÁMETROS'!$K$38,MATCH(U54,JC_L,0),MATCH(T54,CC_L,0))))))))),"")</f>
        <v/>
      </c>
      <c r="W54" s="130"/>
      <c r="X54" s="135"/>
      <c r="Y54" s="136"/>
      <c r="Z54" s="30"/>
      <c r="AA54" s="31" t="str">
        <f>E43</f>
        <v/>
      </c>
    </row>
    <row r="55" ht="87.0" customHeight="1">
      <c r="A55" s="129"/>
      <c r="B55" s="130"/>
      <c r="C55" s="130"/>
      <c r="D55" s="130"/>
      <c r="E55" s="130"/>
      <c r="F55" s="130"/>
      <c r="G55" s="130"/>
      <c r="H55" s="130"/>
      <c r="I55" s="130"/>
      <c r="J55" s="130"/>
      <c r="K55" s="130"/>
      <c r="L55" s="130"/>
      <c r="M55" s="130"/>
      <c r="N55" s="130"/>
      <c r="O55" s="130"/>
      <c r="P55" s="132"/>
      <c r="Q55" s="134"/>
      <c r="R55" s="134"/>
      <c r="S55" s="134"/>
      <c r="T55" s="135"/>
      <c r="U55" s="135"/>
      <c r="V55" s="135" t="str">
        <f>IFERROR(IF(AA55="SEGURIDAD",OFFSET('PARÁMETROS'!$K$2,MATCH(U55,JC_SE,0),MATCH(T55,CC_SE,0)),
IF(OR(AA55="DSRC/Estratégico",AA55="DSRC/Operativo"),OFFSET('PARÁMETROS'!$K$11,MATCH(U55,JC_DS,0),MATCH(T55,CC_DS,0)),
IF(AA55="SALUD",OFFSET('PARÁMETROS'!$K$29,MATCH(U55,JC_SA,0),MATCH(T55,CC_SA,0)),
IF(AA55="MEDIO AMBIENTE",OFFSET('PARÁMETROS'!$K$20,MATCH(U55,JC_MA,0),MATCH(T55,CC_MA,0)),
IF(AA55="Rel. Gubernamentales",OFFSET('PARÁMETROS'!$K$48,MATCH(U55,JC_G,0),MATCH(T55,CC_G,0)),
IF(AA55="OPERACIONAL",OFFSET('PARÁMETROS'!$K$56,MATCH(U55,JC_OP,0),MATCH(T55,CC_OP,0)),
IF(AA55="FINANCIERO",OFFSET('PARÁMETROS'!$K$56,MATCH(U55,JC_FI,0),MATCH(T55,CC_FI,0)),
OFFSET('PARÁMETROS'!$K$38,MATCH(U55,JC_L,0),MATCH(T55,CC_L,0))))))))),"")</f>
        <v/>
      </c>
      <c r="W55" s="130"/>
      <c r="X55" s="135"/>
      <c r="Y55" s="136"/>
      <c r="Z55" s="30"/>
      <c r="AA55" s="31" t="str">
        <f>E43</f>
        <v/>
      </c>
    </row>
    <row r="56" ht="87.0" customHeight="1">
      <c r="A56" s="129"/>
      <c r="B56" s="130"/>
      <c r="C56" s="130"/>
      <c r="D56" s="130"/>
      <c r="E56" s="130"/>
      <c r="F56" s="130"/>
      <c r="G56" s="130"/>
      <c r="H56" s="130"/>
      <c r="I56" s="130"/>
      <c r="J56" s="130"/>
      <c r="K56" s="130"/>
      <c r="L56" s="130"/>
      <c r="M56" s="130"/>
      <c r="N56" s="130"/>
      <c r="O56" s="130"/>
      <c r="P56" s="132"/>
      <c r="Q56" s="134"/>
      <c r="R56" s="134"/>
      <c r="S56" s="134"/>
      <c r="T56" s="135"/>
      <c r="U56" s="135"/>
      <c r="V56" s="135" t="str">
        <f>IFERROR(IF(AA56="SEGURIDAD",OFFSET('PARÁMETROS'!$K$2,MATCH(U56,JC_SE,0),MATCH(T56,CC_SE,0)),
IF(OR(AA56="DSRC/Estratégico",AA56="DSRC/Operativo"),OFFSET('PARÁMETROS'!$K$11,MATCH(U56,JC_DS,0),MATCH(T56,CC_DS,0)),
IF(AA56="SALUD",OFFSET('PARÁMETROS'!$K$29,MATCH(U56,JC_SA,0),MATCH(T56,CC_SA,0)),
IF(AA56="MEDIO AMBIENTE",OFFSET('PARÁMETROS'!$K$20,MATCH(U56,JC_MA,0),MATCH(T56,CC_MA,0)),
IF(AA56="Rel. Gubernamentales",OFFSET('PARÁMETROS'!$K$48,MATCH(U56,JC_G,0),MATCH(T56,CC_G,0)),
IF(AA56="OPERACIONAL",OFFSET('PARÁMETROS'!$K$56,MATCH(U56,JC_OP,0),MATCH(T56,CC_OP,0)),
IF(AA56="FINANCIERO",OFFSET('PARÁMETROS'!$K$56,MATCH(U56,JC_FI,0),MATCH(T56,CC_FI,0)),
OFFSET('PARÁMETROS'!$K$38,MATCH(U56,JC_L,0),MATCH(T56,CC_L,0))))))))),"")</f>
        <v/>
      </c>
      <c r="W56" s="130"/>
      <c r="X56" s="135"/>
      <c r="Y56" s="136"/>
      <c r="Z56" s="30"/>
      <c r="AA56" s="31" t="str">
        <f>E43</f>
        <v/>
      </c>
    </row>
    <row r="57" ht="87.0" customHeight="1">
      <c r="A57" s="129"/>
      <c r="B57" s="130"/>
      <c r="C57" s="130"/>
      <c r="D57" s="130"/>
      <c r="E57" s="130"/>
      <c r="F57" s="130"/>
      <c r="G57" s="130"/>
      <c r="H57" s="130"/>
      <c r="I57" s="130"/>
      <c r="J57" s="130"/>
      <c r="K57" s="130"/>
      <c r="L57" s="130"/>
      <c r="M57" s="130"/>
      <c r="N57" s="130"/>
      <c r="O57" s="130"/>
      <c r="P57" s="132"/>
      <c r="Q57" s="134"/>
      <c r="R57" s="134"/>
      <c r="S57" s="134"/>
      <c r="T57" s="135"/>
      <c r="U57" s="135"/>
      <c r="V57" s="135" t="str">
        <f>IFERROR(IF(AA57="SEGURIDAD",OFFSET('PARÁMETROS'!$K$2,MATCH(U57,JC_SE,0),MATCH(T57,CC_SE,0)),
IF(OR(AA57="DSRC/Estratégico",AA57="DSRC/Operativo"),OFFSET('PARÁMETROS'!$K$11,MATCH(U57,JC_DS,0),MATCH(T57,CC_DS,0)),
IF(AA57="SALUD",OFFSET('PARÁMETROS'!$K$29,MATCH(U57,JC_SA,0),MATCH(T57,CC_SA,0)),
IF(AA57="MEDIO AMBIENTE",OFFSET('PARÁMETROS'!$K$20,MATCH(U57,JC_MA,0),MATCH(T57,CC_MA,0)),
IF(AA57="Rel. Gubernamentales",OFFSET('PARÁMETROS'!$K$48,MATCH(U57,JC_G,0),MATCH(T57,CC_G,0)),
IF(AA57="OPERACIONAL",OFFSET('PARÁMETROS'!$K$56,MATCH(U57,JC_OP,0),MATCH(T57,CC_OP,0)),
IF(AA57="FINANCIERO",OFFSET('PARÁMETROS'!$K$56,MATCH(U57,JC_FI,0),MATCH(T57,CC_FI,0)),
OFFSET('PARÁMETROS'!$K$38,MATCH(U57,JC_L,0),MATCH(T57,CC_L,0))))))))),"")</f>
        <v/>
      </c>
      <c r="W57" s="130"/>
      <c r="X57" s="135"/>
      <c r="Y57" s="136"/>
      <c r="Z57" s="30"/>
      <c r="AA57" s="31" t="str">
        <f>E43</f>
        <v/>
      </c>
    </row>
    <row r="58" ht="87.0" customHeight="1">
      <c r="A58" s="89"/>
      <c r="B58" s="90"/>
      <c r="C58" s="90"/>
      <c r="D58" s="90"/>
      <c r="E58" s="90"/>
      <c r="F58" s="90"/>
      <c r="G58" s="90"/>
      <c r="H58" s="90"/>
      <c r="I58" s="90"/>
      <c r="J58" s="90"/>
      <c r="K58" s="90"/>
      <c r="L58" s="90"/>
      <c r="M58" s="90"/>
      <c r="N58" s="90"/>
      <c r="O58" s="90"/>
      <c r="P58" s="132"/>
      <c r="Q58" s="134"/>
      <c r="R58" s="145"/>
      <c r="S58" s="145"/>
      <c r="T58" s="135"/>
      <c r="U58" s="135"/>
      <c r="V58" s="135" t="str">
        <f>IFERROR(IF(AA58="SEGURIDAD",OFFSET('PARÁMETROS'!$K$2,MATCH(U58,JC_SE,0),MATCH(T58,CC_SE,0)),
IF(OR(AA58="DSRC/Estratégico",AA58="DSRC/Operativo"),OFFSET('PARÁMETROS'!$K$11,MATCH(U58,JC_DS,0),MATCH(T58,CC_DS,0)),
IF(AA58="SALUD",OFFSET('PARÁMETROS'!$K$29,MATCH(U58,JC_SA,0),MATCH(T58,CC_SA,0)),
IF(AA58="MEDIO AMBIENTE",OFFSET('PARÁMETROS'!$K$20,MATCH(U58,JC_MA,0),MATCH(T58,CC_MA,0)),
IF(AA58="Rel. Gubernamentales",OFFSET('PARÁMETROS'!$K$48,MATCH(U58,JC_G,0),MATCH(T58,CC_G,0)),
IF(AA58="OPERACIONAL",OFFSET('PARÁMETROS'!$K$56,MATCH(U58,JC_OP,0),MATCH(T58,CC_OP,0)),
IF(AA58="FINANCIERO",OFFSET('PARÁMETROS'!$K$56,MATCH(U58,JC_FI,0),MATCH(T58,CC_FI,0)),
OFFSET('PARÁMETROS'!$K$38,MATCH(U58,JC_L,0),MATCH(T58,CC_L,0))))))))),"")</f>
        <v/>
      </c>
      <c r="W58" s="90"/>
      <c r="X58" s="135"/>
      <c r="Y58" s="136"/>
      <c r="Z58" s="30"/>
      <c r="AA58" s="31" t="str">
        <f>E43</f>
        <v/>
      </c>
    </row>
    <row r="59" ht="87.0" customHeight="1">
      <c r="A59" s="102"/>
      <c r="B59" s="103"/>
      <c r="C59" s="103"/>
      <c r="D59" s="103"/>
      <c r="E59" s="103"/>
      <c r="F59" s="103"/>
      <c r="G59" s="105"/>
      <c r="H59" s="103"/>
      <c r="I59" s="105"/>
      <c r="J59" s="103"/>
      <c r="K59" s="103"/>
      <c r="L59" s="103" t="str">
        <f>IF(OR(J59&lt;&gt;"",K59&lt;&gt;""),OFFSET('PARÁMETROS'!$B$2,K59,J59),"")</f>
        <v/>
      </c>
      <c r="M59" s="103"/>
      <c r="N59" s="103">
        <f>IFERROR(L59*M59,"")</f>
        <v>0</v>
      </c>
      <c r="O59" s="108" t="str">
        <f>IF(N59="","",IFERROR(IF(N59&lt;=2,"ACEPTABLE",IF(N59&lt;=6,"BAJA",IF(N59&lt;=10,"ACEPTABLE CON REVISIÓN",IF(N59&lt;=15,"SUSTANCIAL","INACEPTABLE")))),""))</f>
        <v>ACEPTABLE</v>
      </c>
      <c r="P59" s="113"/>
      <c r="Q59" s="114"/>
      <c r="R59" s="114"/>
      <c r="S59" s="114"/>
      <c r="T59" s="115"/>
      <c r="U59" s="115"/>
      <c r="V59" s="115" t="str">
        <f>IFERROR(IF(AA59="SEGURIDAD",OFFSET('PARÁMETROS'!$K$2,MATCH(U59,JC_SE,0),MATCH(T59,CC_SE,0)),
IF(OR(AA59="DSRC/Estratégico",AA59="DSRC/Operativo"),OFFSET('PARÁMETROS'!$K$11,MATCH(U59,JC_DS,0),MATCH(T59,CC_DS,0)),
IF(AA59="SALUD",OFFSET('PARÁMETROS'!$K$29,MATCH(U59,JC_SA,0),MATCH(T59,CC_SA,0)),
IF(AA59="MEDIO AMBIENTE",OFFSET('PARÁMETROS'!$K$20,MATCH(U59,JC_MA,0),MATCH(T59,CC_MA,0)),
IF(AA59="Rel. Gubernamentales",OFFSET('PARÁMETROS'!$K$48,MATCH(U59,JC_G,0),MATCH(T59,CC_G,0)),
IF(AA59="OPERACIONAL",OFFSET('PARÁMETROS'!$K$56,MATCH(U59,JC_OP,0),MATCH(T59,CC_OP,0)),
IF(AA59="FINANCIERO",OFFSET('PARÁMETROS'!$K$56,MATCH(U59,JC_FI,0),MATCH(T59,CC_FI,0)),
OFFSET('PARÁMETROS'!$K$38,MATCH(U59,JC_L,0),MATCH(T59,CC_L,0))))))))),"")</f>
        <v/>
      </c>
      <c r="W59" s="108" t="str">
        <f>IF(E59="","",
IF(COUNTA(V59:V74)-COUNTBLANK(V59:V74)=1,
IF(O59="INACEPTABLE",IF(COUNTIF(V59:V74,"Control/Acción Eficaz")&gt;=1,"SUSTANCIAL","INACEPTABLE"),
IF(O59="SUSTANCIAL",IF(COUNTIF(V59:V74,"Control/Acción Eficaz")&gt;=1,"ACEPTABLE CON REVISIÓN","SUSTANCIAL"),
IF(O59="ACEPTABLE CON REVISIÓN",IF(COUNTIF(V59:V74,"Control/Acción Eficaz")&gt;=1,"BAJA","ACEPTABLE CON REVISIÓN"),
IF(O59="BAJA",IF(COUNTIF(V59:V74,"Control/Acción Eficaz")&gt;=1,"ACEPTABLE","BAJA"),)))),
IF(COUNTA(V59:V74)-COUNTBLANK(V59:V74)=2,
IF(O59="INACEPTABLE",IF(COUNTIF(V59:V74,"Control/Acción Eficaz")=2,"ACEPTABLE CON REVISIÓN",
IF(OR(AND(COUNTIF(V59:V74,"Control/Acción Eficaz")=1,COUNTIF(V59:V74,"Control/Acción Satisfactorio")=1),
AND(COUNTIF(V59:V74,"Control/Acción Eficaz")=1,COUNTIF(V59:V74,"Control/Acción No Eficaz")=1)),"SUSTANCIAL","INACEPTABLE")),
IF(O59="SUSTANCIAL",IF(COUNTIF(V59:V74,"Control/Acción Eficaz")=2,"BAJA",
IF(OR(AND(COUNTIF(V59:V74,"Control/Acción Eficaz")=1,COUNTIF(V59:V74,"Control/Acción Satisfactorio")=1),
AND(COUNTIF(V59:V74,"Control/Acción Eficaz")=1,COUNTIF(V59:V74,"Control/Acción No Eficaz")=1)),"ACEPTABLE CON REVISIÓN ","SUSTANCIAL")),
IF(O59="ACEPTABLE CON REVISIÓN",IF(COUNTIF(V59:V74,"Control/Acción Eficaz")=2,"ACEPTABLE",
IF(OR(AND(COUNTIF(V59:V74,"Control/Acción Eficaz")=1,COUNTIF(V59:V74,"Control/Acción Satisfactorio")=1),
AND(COUNTIF(V59:V74,"Control/Acción Eficaz")=1,COUNTIF(V59:V74,"Control/Acción No Eficaz")=1)),"BAJA","ACEPTABLE CON REVISIÓN")),
IF(O59="BAJA",IF(COUNTIF(V59:V74,"Control/Acción Eficaz")&gt;=2,"ACEPTABLE","BAJA"),)))),
IF(COUNTA(V59:V74)-COUNTBLANK(V59:V74)&gt;=3,
IF(O59="INACEPTABLE",
IF(COUNTBLANK(V59:V74)=COUNTA(V59:V74),"",
IF(COUNTIF(V59:V74,"Control/Acción No Eficaz")&gt;=2,"INACEPTABLE",
IF(AND(COUNTIF(V59:V74,"Control/Acción No Eficaz")=0,COUNTIF(V59:V74,"Control/Acción Eficaz")&gt;=2),"ACEPTABLE CON REVISIÓN ","SUSTANCIAL"))),
IF(O59="SUSTANCIAL",
IF(COUNTBLANK(V59:V74)=COUNTA(V59:V74),"",
IF(COUNTIF(V59:V74,"Control/Acción No Eficaz")&gt;=2,"SUSTANCIAL",
IF(AND(COUNTIF(V59:V74,"Control/Acción No Eficaz")=0,COUNTIF(V59:V74,"Control/Acción Eficaz")&gt;=2),"BAJA","ACEPTABLE CON REVISIÓN"))),
IF(O59="ACEPTABLE CON REVISIÓN",
IF(COUNTBLANK(V59:V74)=COUNTA(V59:V74),"",
IF(COUNTIF(V59:V74,"Control/Acción No Eficaz")&gt;=2,"ACEPTABLE CON REVISIÓN",
IF(AND(COUNTIF(V59:V74,"Control/Acción No Eficaz")=0,COUNTIF(V59:V74,"Control/Acción Eficaz")&gt;=2),"ACEPTABLE","BAJA"))),
IF(O59="BAJA",
IF(COUNTBLANK(V59:V74)=COUNTA(V59:V74),"",
IF(AND(COUNTBLANK(V59:V74)&lt;1,COUNTA(V59:V74)=1),
IF(COUNTIF(V59:V74,"Control/Acción No Eficaz")&gt;=2,"BAJA",
IF(AND(COUNTIF(V59:V74,"Control/Acción No Eficaz")=0,COUNTIF(V59:V74,"Control/Acción Eficaz")&gt;=2),"ACEPTABLE","BAJA")),
IF(COUNTIF(V59:V74,"Control/Acción No Eficaz")&gt;=2,"BAJA",
IF(AND(COUNTIF(V59:V74,"Control/Acción No Eficaz")=0,COUNTIF(V59:V74,"Control/Acción Eficaz")&gt;=2),"ACEPTABLE","BAJA")))),
IF(COUNTIF(V59:V74,"")&gt;=5,"",O59))))),
""))))</f>
        <v/>
      </c>
      <c r="X59" s="115"/>
      <c r="Y59" s="128"/>
      <c r="Z59" s="30"/>
      <c r="AA59" s="31" t="str">
        <f>E59</f>
        <v/>
      </c>
    </row>
    <row r="60" ht="87.0" customHeight="1">
      <c r="A60" s="129"/>
      <c r="B60" s="130"/>
      <c r="C60" s="130"/>
      <c r="D60" s="130"/>
      <c r="E60" s="130"/>
      <c r="F60" s="130"/>
      <c r="G60" s="130"/>
      <c r="H60" s="130"/>
      <c r="I60" s="130"/>
      <c r="J60" s="130"/>
      <c r="K60" s="130"/>
      <c r="L60" s="130"/>
      <c r="M60" s="130"/>
      <c r="N60" s="130"/>
      <c r="O60" s="130"/>
      <c r="P60" s="132"/>
      <c r="Q60" s="134"/>
      <c r="R60" s="134"/>
      <c r="S60" s="134"/>
      <c r="T60" s="135"/>
      <c r="U60" s="135"/>
      <c r="V60" s="135" t="str">
        <f>IFERROR(IF(AA60="SEGURIDAD",OFFSET('PARÁMETROS'!$K$2,MATCH(U60,JC_SE,0),MATCH(T60,CC_SE,0)),
IF(OR(AA60="DSRC/Estratégico",AA60="DSRC/Operativo"),OFFSET('PARÁMETROS'!$K$11,MATCH(U60,JC_DS,0),MATCH(T60,CC_DS,0)),
IF(AA60="SALUD",OFFSET('PARÁMETROS'!$K$29,MATCH(U60,JC_SA,0),MATCH(T60,CC_SA,0)),
IF(AA60="MEDIO AMBIENTE",OFFSET('PARÁMETROS'!$K$20,MATCH(U60,JC_MA,0),MATCH(T60,CC_MA,0)),
IF(AA60="Rel. Gubernamentales",OFFSET('PARÁMETROS'!$K$48,MATCH(U60,JC_G,0),MATCH(T60,CC_G,0)),
IF(AA60="OPERACIONAL",OFFSET('PARÁMETROS'!$K$56,MATCH(U60,JC_OP,0),MATCH(T60,CC_OP,0)),
IF(AA60="FINANCIERO",OFFSET('PARÁMETROS'!$K$56,MATCH(U60,JC_FI,0),MATCH(T60,CC_FI,0)),
OFFSET('PARÁMETROS'!$K$38,MATCH(U60,JC_L,0),MATCH(T60,CC_L,0))))))))),"")</f>
        <v/>
      </c>
      <c r="W60" s="130"/>
      <c r="X60" s="135"/>
      <c r="Y60" s="136"/>
      <c r="Z60" s="30"/>
      <c r="AA60" s="31" t="str">
        <f>E59</f>
        <v/>
      </c>
    </row>
    <row r="61" ht="87.0" customHeight="1">
      <c r="A61" s="129"/>
      <c r="B61" s="130"/>
      <c r="C61" s="130"/>
      <c r="D61" s="130"/>
      <c r="E61" s="130"/>
      <c r="F61" s="130"/>
      <c r="G61" s="130"/>
      <c r="H61" s="130"/>
      <c r="I61" s="130"/>
      <c r="J61" s="130"/>
      <c r="K61" s="130"/>
      <c r="L61" s="130"/>
      <c r="M61" s="130"/>
      <c r="N61" s="130"/>
      <c r="O61" s="130"/>
      <c r="P61" s="132"/>
      <c r="Q61" s="134"/>
      <c r="R61" s="134"/>
      <c r="S61" s="134"/>
      <c r="T61" s="135"/>
      <c r="U61" s="135"/>
      <c r="V61" s="135" t="str">
        <f>IFERROR(IF(AA61="SEGURIDAD",OFFSET('PARÁMETROS'!$K$2,MATCH(U61,JC_SE,0),MATCH(T61,CC_SE,0)),
IF(OR(AA61="DSRC/Estratégico",AA61="DSRC/Operativo"),OFFSET('PARÁMETROS'!$K$11,MATCH(U61,JC_DS,0),MATCH(T61,CC_DS,0)),
IF(AA61="SALUD",OFFSET('PARÁMETROS'!$K$29,MATCH(U61,JC_SA,0),MATCH(T61,CC_SA,0)),
IF(AA61="MEDIO AMBIENTE",OFFSET('PARÁMETROS'!$K$20,MATCH(U61,JC_MA,0),MATCH(T61,CC_MA,0)),
IF(AA61="Rel. Gubernamentales",OFFSET('PARÁMETROS'!$K$48,MATCH(U61,JC_G,0),MATCH(T61,CC_G,0)),
IF(AA61="OPERACIONAL",OFFSET('PARÁMETROS'!$K$56,MATCH(U61,JC_OP,0),MATCH(T61,CC_OP,0)),
IF(AA61="FINANCIERO",OFFSET('PARÁMETROS'!$K$56,MATCH(U61,JC_FI,0),MATCH(T61,CC_FI,0)),
OFFSET('PARÁMETROS'!$K$38,MATCH(U61,JC_L,0),MATCH(T61,CC_L,0))))))))),"")</f>
        <v/>
      </c>
      <c r="W61" s="130"/>
      <c r="X61" s="135"/>
      <c r="Y61" s="136"/>
      <c r="Z61" s="30"/>
      <c r="AA61" s="31" t="str">
        <f>E59</f>
        <v/>
      </c>
    </row>
    <row r="62" ht="87.0" customHeight="1">
      <c r="A62" s="129"/>
      <c r="B62" s="130"/>
      <c r="C62" s="130"/>
      <c r="D62" s="130"/>
      <c r="E62" s="130"/>
      <c r="F62" s="130"/>
      <c r="G62" s="130"/>
      <c r="H62" s="130"/>
      <c r="I62" s="130"/>
      <c r="J62" s="130"/>
      <c r="K62" s="130"/>
      <c r="L62" s="130"/>
      <c r="M62" s="130"/>
      <c r="N62" s="130"/>
      <c r="O62" s="130"/>
      <c r="P62" s="132"/>
      <c r="Q62" s="134"/>
      <c r="R62" s="134"/>
      <c r="S62" s="134"/>
      <c r="T62" s="135"/>
      <c r="U62" s="135"/>
      <c r="V62" s="135" t="str">
        <f>IFERROR(IF(AA62="SEGURIDAD",OFFSET('PARÁMETROS'!$K$2,MATCH(U62,JC_SE,0),MATCH(T62,CC_SE,0)),
IF(OR(AA62="DSRC/Estratégico",AA62="DSRC/Operativo"),OFFSET('PARÁMETROS'!$K$11,MATCH(U62,JC_DS,0),MATCH(T62,CC_DS,0)),
IF(AA62="SALUD",OFFSET('PARÁMETROS'!$K$29,MATCH(U62,JC_SA,0),MATCH(T62,CC_SA,0)),
IF(AA62="MEDIO AMBIENTE",OFFSET('PARÁMETROS'!$K$20,MATCH(U62,JC_MA,0),MATCH(T62,CC_MA,0)),
IF(AA62="Rel. Gubernamentales",OFFSET('PARÁMETROS'!$K$48,MATCH(U62,JC_G,0),MATCH(T62,CC_G,0)),
IF(AA62="OPERACIONAL",OFFSET('PARÁMETROS'!$K$56,MATCH(U62,JC_OP,0),MATCH(T62,CC_OP,0)),
IF(AA62="FINANCIERO",OFFSET('PARÁMETROS'!$K$56,MATCH(U62,JC_FI,0),MATCH(T62,CC_FI,0)),
OFFSET('PARÁMETROS'!$K$38,MATCH(U62,JC_L,0),MATCH(T62,CC_L,0))))))))),"")</f>
        <v/>
      </c>
      <c r="W62" s="130"/>
      <c r="X62" s="135"/>
      <c r="Y62" s="136"/>
      <c r="Z62" s="30"/>
      <c r="AA62" s="31" t="str">
        <f>E59</f>
        <v/>
      </c>
    </row>
    <row r="63" ht="87.0" customHeight="1">
      <c r="A63" s="129"/>
      <c r="B63" s="130"/>
      <c r="C63" s="130"/>
      <c r="D63" s="130"/>
      <c r="E63" s="130"/>
      <c r="F63" s="130"/>
      <c r="G63" s="130"/>
      <c r="H63" s="130"/>
      <c r="I63" s="130"/>
      <c r="J63" s="130"/>
      <c r="K63" s="130"/>
      <c r="L63" s="130"/>
      <c r="M63" s="130"/>
      <c r="N63" s="130"/>
      <c r="O63" s="130"/>
      <c r="P63" s="132"/>
      <c r="Q63" s="134"/>
      <c r="R63" s="134"/>
      <c r="S63" s="134"/>
      <c r="T63" s="135"/>
      <c r="U63" s="135"/>
      <c r="V63" s="135" t="str">
        <f>IFERROR(IF(AA63="SEGURIDAD",OFFSET('PARÁMETROS'!$K$2,MATCH(U63,JC_SE,0),MATCH(T63,CC_SE,0)),
IF(OR(AA63="DSRC/Estratégico",AA63="DSRC/Operativo"),OFFSET('PARÁMETROS'!$K$11,MATCH(U63,JC_DS,0),MATCH(T63,CC_DS,0)),
IF(AA63="SALUD",OFFSET('PARÁMETROS'!$K$29,MATCH(U63,JC_SA,0),MATCH(T63,CC_SA,0)),
IF(AA63="MEDIO AMBIENTE",OFFSET('PARÁMETROS'!$K$20,MATCH(U63,JC_MA,0),MATCH(T63,CC_MA,0)),
IF(AA63="Rel. Gubernamentales",OFFSET('PARÁMETROS'!$K$48,MATCH(U63,JC_G,0),MATCH(T63,CC_G,0)),
IF(AA63="OPERACIONAL",OFFSET('PARÁMETROS'!$K$56,MATCH(U63,JC_OP,0),MATCH(T63,CC_OP,0)),
IF(AA63="FINANCIERO",OFFSET('PARÁMETROS'!$K$56,MATCH(U63,JC_FI,0),MATCH(T63,CC_FI,0)),
OFFSET('PARÁMETROS'!$K$38,MATCH(U63,JC_L,0),MATCH(T63,CC_L,0))))))))),"")</f>
        <v/>
      </c>
      <c r="W63" s="130"/>
      <c r="X63" s="135"/>
      <c r="Y63" s="136"/>
      <c r="Z63" s="30"/>
      <c r="AA63" s="31" t="str">
        <f>E59</f>
        <v/>
      </c>
    </row>
    <row r="64" ht="87.0" customHeight="1">
      <c r="A64" s="129"/>
      <c r="B64" s="130"/>
      <c r="C64" s="130"/>
      <c r="D64" s="130"/>
      <c r="E64" s="130"/>
      <c r="F64" s="130"/>
      <c r="G64" s="130"/>
      <c r="H64" s="130"/>
      <c r="I64" s="130"/>
      <c r="J64" s="130"/>
      <c r="K64" s="130"/>
      <c r="L64" s="130"/>
      <c r="M64" s="130"/>
      <c r="N64" s="130"/>
      <c r="O64" s="130"/>
      <c r="P64" s="132"/>
      <c r="Q64" s="134"/>
      <c r="R64" s="134"/>
      <c r="S64" s="134"/>
      <c r="T64" s="135"/>
      <c r="U64" s="135"/>
      <c r="V64" s="135" t="str">
        <f>IFERROR(IF(AA64="SEGURIDAD",OFFSET('PARÁMETROS'!$K$2,MATCH(U64,JC_SE,0),MATCH(T64,CC_SE,0)),
IF(OR(AA64="DSRC/Estratégico",AA64="DSRC/Operativo"),OFFSET('PARÁMETROS'!$K$11,MATCH(U64,JC_DS,0),MATCH(T64,CC_DS,0)),
IF(AA64="SALUD",OFFSET('PARÁMETROS'!$K$29,MATCH(U64,JC_SA,0),MATCH(T64,CC_SA,0)),
IF(AA64="MEDIO AMBIENTE",OFFSET('PARÁMETROS'!$K$20,MATCH(U64,JC_MA,0),MATCH(T64,CC_MA,0)),
IF(AA64="Rel. Gubernamentales",OFFSET('PARÁMETROS'!$K$48,MATCH(U64,JC_G,0),MATCH(T64,CC_G,0)),
IF(AA64="OPERACIONAL",OFFSET('PARÁMETROS'!$K$56,MATCH(U64,JC_OP,0),MATCH(T64,CC_OP,0)),
IF(AA64="FINANCIERO",OFFSET('PARÁMETROS'!$K$56,MATCH(U64,JC_FI,0),MATCH(T64,CC_FI,0)),
OFFSET('PARÁMETROS'!$K$38,MATCH(U64,JC_L,0),MATCH(T64,CC_L,0))))))))),"")</f>
        <v/>
      </c>
      <c r="W64" s="130"/>
      <c r="X64" s="135"/>
      <c r="Y64" s="136"/>
      <c r="Z64" s="30"/>
      <c r="AA64" s="31" t="str">
        <f>E59</f>
        <v/>
      </c>
    </row>
    <row r="65" ht="87.0" customHeight="1">
      <c r="A65" s="129"/>
      <c r="B65" s="130"/>
      <c r="C65" s="130"/>
      <c r="D65" s="130"/>
      <c r="E65" s="130"/>
      <c r="F65" s="130"/>
      <c r="G65" s="130"/>
      <c r="H65" s="130"/>
      <c r="I65" s="130"/>
      <c r="J65" s="130"/>
      <c r="K65" s="130"/>
      <c r="L65" s="130"/>
      <c r="M65" s="130"/>
      <c r="N65" s="130"/>
      <c r="O65" s="130"/>
      <c r="P65" s="132"/>
      <c r="Q65" s="134"/>
      <c r="R65" s="134"/>
      <c r="S65" s="134"/>
      <c r="T65" s="135"/>
      <c r="U65" s="135"/>
      <c r="V65" s="135" t="str">
        <f>IFERROR(IF(AA65="SEGURIDAD",OFFSET('PARÁMETROS'!$K$2,MATCH(U65,JC_SE,0),MATCH(T65,CC_SE,0)),
IF(OR(AA65="DSRC/Estratégico",AA65="DSRC/Operativo"),OFFSET('PARÁMETROS'!$K$11,MATCH(U65,JC_DS,0),MATCH(T65,CC_DS,0)),
IF(AA65="SALUD",OFFSET('PARÁMETROS'!$K$29,MATCH(U65,JC_SA,0),MATCH(T65,CC_SA,0)),
IF(AA65="MEDIO AMBIENTE",OFFSET('PARÁMETROS'!$K$20,MATCH(U65,JC_MA,0),MATCH(T65,CC_MA,0)),
IF(AA65="Rel. Gubernamentales",OFFSET('PARÁMETROS'!$K$48,MATCH(U65,JC_G,0),MATCH(T65,CC_G,0)),
IF(AA65="OPERACIONAL",OFFSET('PARÁMETROS'!$K$56,MATCH(U65,JC_OP,0),MATCH(T65,CC_OP,0)),
IF(AA65="FINANCIERO",OFFSET('PARÁMETROS'!$K$56,MATCH(U65,JC_FI,0),MATCH(T65,CC_FI,0)),
OFFSET('PARÁMETROS'!$K$38,MATCH(U65,JC_L,0),MATCH(T65,CC_L,0))))))))),"")</f>
        <v/>
      </c>
      <c r="W65" s="130"/>
      <c r="X65" s="135"/>
      <c r="Y65" s="136"/>
      <c r="Z65" s="30"/>
      <c r="AA65" s="31" t="str">
        <f>E59</f>
        <v/>
      </c>
    </row>
    <row r="66" ht="87.0" customHeight="1">
      <c r="A66" s="129"/>
      <c r="B66" s="130"/>
      <c r="C66" s="130"/>
      <c r="D66" s="130"/>
      <c r="E66" s="130"/>
      <c r="F66" s="130"/>
      <c r="G66" s="130"/>
      <c r="H66" s="130"/>
      <c r="I66" s="130"/>
      <c r="J66" s="130"/>
      <c r="K66" s="130"/>
      <c r="L66" s="130"/>
      <c r="M66" s="130"/>
      <c r="N66" s="130"/>
      <c r="O66" s="130"/>
      <c r="P66" s="132"/>
      <c r="Q66" s="134"/>
      <c r="R66" s="134"/>
      <c r="S66" s="134"/>
      <c r="T66" s="135"/>
      <c r="U66" s="135"/>
      <c r="V66" s="135" t="str">
        <f>IFERROR(IF(AA66="SEGURIDAD",OFFSET('PARÁMETROS'!$K$2,MATCH(U66,JC_SE,0),MATCH(T66,CC_SE,0)),
IF(OR(AA66="DSRC/Estratégico",AA66="DSRC/Operativo"),OFFSET('PARÁMETROS'!$K$11,MATCH(U66,JC_DS,0),MATCH(T66,CC_DS,0)),
IF(AA66="SALUD",OFFSET('PARÁMETROS'!$K$29,MATCH(U66,JC_SA,0),MATCH(T66,CC_SA,0)),
IF(AA66="MEDIO AMBIENTE",OFFSET('PARÁMETROS'!$K$20,MATCH(U66,JC_MA,0),MATCH(T66,CC_MA,0)),
IF(AA66="Rel. Gubernamentales",OFFSET('PARÁMETROS'!$K$48,MATCH(U66,JC_G,0),MATCH(T66,CC_G,0)),
IF(AA66="OPERACIONAL",OFFSET('PARÁMETROS'!$K$56,MATCH(U66,JC_OP,0),MATCH(T66,CC_OP,0)),
IF(AA66="FINANCIERO",OFFSET('PARÁMETROS'!$K$56,MATCH(U66,JC_FI,0),MATCH(T66,CC_FI,0)),
OFFSET('PARÁMETROS'!$K$38,MATCH(U66,JC_L,0),MATCH(T66,CC_L,0))))))))),"")</f>
        <v/>
      </c>
      <c r="W66" s="130"/>
      <c r="X66" s="135"/>
      <c r="Y66" s="136"/>
      <c r="Z66" s="30"/>
      <c r="AA66" s="31" t="str">
        <f>E59</f>
        <v/>
      </c>
    </row>
    <row r="67" ht="87.0" customHeight="1">
      <c r="A67" s="129"/>
      <c r="B67" s="130"/>
      <c r="C67" s="130"/>
      <c r="D67" s="130"/>
      <c r="E67" s="130"/>
      <c r="F67" s="130"/>
      <c r="G67" s="130"/>
      <c r="H67" s="130"/>
      <c r="I67" s="130"/>
      <c r="J67" s="130"/>
      <c r="K67" s="130"/>
      <c r="L67" s="130"/>
      <c r="M67" s="130"/>
      <c r="N67" s="130"/>
      <c r="O67" s="130"/>
      <c r="P67" s="132"/>
      <c r="Q67" s="134"/>
      <c r="R67" s="134"/>
      <c r="S67" s="134"/>
      <c r="T67" s="135"/>
      <c r="U67" s="135"/>
      <c r="V67" s="135" t="str">
        <f>IFERROR(IF(AA67="SEGURIDAD",OFFSET('PARÁMETROS'!$K$2,MATCH(U67,JC_SE,0),MATCH(T67,CC_SE,0)),
IF(OR(AA67="DSRC/Estratégico",AA67="DSRC/Operativo"),OFFSET('PARÁMETROS'!$K$11,MATCH(U67,JC_DS,0),MATCH(T67,CC_DS,0)),
IF(AA67="SALUD",OFFSET('PARÁMETROS'!$K$29,MATCH(U67,JC_SA,0),MATCH(T67,CC_SA,0)),
IF(AA67="MEDIO AMBIENTE",OFFSET('PARÁMETROS'!$K$20,MATCH(U67,JC_MA,0),MATCH(T67,CC_MA,0)),
IF(AA67="Rel. Gubernamentales",OFFSET('PARÁMETROS'!$K$48,MATCH(U67,JC_G,0),MATCH(T67,CC_G,0)),
IF(AA67="OPERACIONAL",OFFSET('PARÁMETROS'!$K$56,MATCH(U67,JC_OP,0),MATCH(T67,CC_OP,0)),
IF(AA67="FINANCIERO",OFFSET('PARÁMETROS'!$K$56,MATCH(U67,JC_FI,0),MATCH(T67,CC_FI,0)),
OFFSET('PARÁMETROS'!$K$38,MATCH(U67,JC_L,0),MATCH(T67,CC_L,0))))))))),"")</f>
        <v/>
      </c>
      <c r="W67" s="130"/>
      <c r="X67" s="135"/>
      <c r="Y67" s="136"/>
      <c r="Z67" s="30"/>
      <c r="AA67" s="31" t="str">
        <f>E59</f>
        <v/>
      </c>
    </row>
    <row r="68" ht="87.0" customHeight="1">
      <c r="A68" s="129"/>
      <c r="B68" s="130"/>
      <c r="C68" s="130"/>
      <c r="D68" s="130"/>
      <c r="E68" s="130"/>
      <c r="F68" s="130"/>
      <c r="G68" s="130"/>
      <c r="H68" s="130"/>
      <c r="I68" s="130"/>
      <c r="J68" s="130"/>
      <c r="K68" s="130"/>
      <c r="L68" s="130"/>
      <c r="M68" s="130"/>
      <c r="N68" s="130"/>
      <c r="O68" s="130"/>
      <c r="P68" s="132"/>
      <c r="Q68" s="134"/>
      <c r="R68" s="134"/>
      <c r="S68" s="134"/>
      <c r="T68" s="135"/>
      <c r="U68" s="135"/>
      <c r="V68" s="135" t="str">
        <f>IFERROR(IF(AA68="SEGURIDAD",OFFSET('PARÁMETROS'!$K$2,MATCH(U68,JC_SE,0),MATCH(T68,CC_SE,0)),
IF(OR(AA68="DSRC/Estratégico",AA68="DSRC/Operativo"),OFFSET('PARÁMETROS'!$K$11,MATCH(U68,JC_DS,0),MATCH(T68,CC_DS,0)),
IF(AA68="SALUD",OFFSET('PARÁMETROS'!$K$29,MATCH(U68,JC_SA,0),MATCH(T68,CC_SA,0)),
IF(AA68="MEDIO AMBIENTE",OFFSET('PARÁMETROS'!$K$20,MATCH(U68,JC_MA,0),MATCH(T68,CC_MA,0)),
IF(AA68="Rel. Gubernamentales",OFFSET('PARÁMETROS'!$K$48,MATCH(U68,JC_G,0),MATCH(T68,CC_G,0)),
IF(AA68="OPERACIONAL",OFFSET('PARÁMETROS'!$K$56,MATCH(U68,JC_OP,0),MATCH(T68,CC_OP,0)),
IF(AA68="FINANCIERO",OFFSET('PARÁMETROS'!$K$56,MATCH(U68,JC_FI,0),MATCH(T68,CC_FI,0)),
OFFSET('PARÁMETROS'!$K$38,MATCH(U68,JC_L,0),MATCH(T68,CC_L,0))))))))),"")</f>
        <v/>
      </c>
      <c r="W68" s="130"/>
      <c r="X68" s="135"/>
      <c r="Y68" s="136"/>
      <c r="Z68" s="30"/>
      <c r="AA68" s="31" t="str">
        <f>E59</f>
        <v/>
      </c>
    </row>
    <row r="69" ht="87.0" customHeight="1">
      <c r="A69" s="129"/>
      <c r="B69" s="130"/>
      <c r="C69" s="130"/>
      <c r="D69" s="130"/>
      <c r="E69" s="130"/>
      <c r="F69" s="130"/>
      <c r="G69" s="130"/>
      <c r="H69" s="130"/>
      <c r="I69" s="130"/>
      <c r="J69" s="130"/>
      <c r="K69" s="130"/>
      <c r="L69" s="130"/>
      <c r="M69" s="130"/>
      <c r="N69" s="130"/>
      <c r="O69" s="130"/>
      <c r="P69" s="132"/>
      <c r="Q69" s="134"/>
      <c r="R69" s="134"/>
      <c r="S69" s="134"/>
      <c r="T69" s="135"/>
      <c r="U69" s="135"/>
      <c r="V69" s="135" t="str">
        <f>IFERROR(IF(AA69="SEGURIDAD",OFFSET('PARÁMETROS'!$K$2,MATCH(U69,JC_SE,0),MATCH(T69,CC_SE,0)),
IF(OR(AA69="DSRC/Estratégico",AA69="DSRC/Operativo"),OFFSET('PARÁMETROS'!$K$11,MATCH(U69,JC_DS,0),MATCH(T69,CC_DS,0)),
IF(AA69="SALUD",OFFSET('PARÁMETROS'!$K$29,MATCH(U69,JC_SA,0),MATCH(T69,CC_SA,0)),
IF(AA69="MEDIO AMBIENTE",OFFSET('PARÁMETROS'!$K$20,MATCH(U69,JC_MA,0),MATCH(T69,CC_MA,0)),
IF(AA69="Rel. Gubernamentales",OFFSET('PARÁMETROS'!$K$48,MATCH(U69,JC_G,0),MATCH(T69,CC_G,0)),
IF(AA69="OPERACIONAL",OFFSET('PARÁMETROS'!$K$56,MATCH(U69,JC_OP,0),MATCH(T69,CC_OP,0)),
IF(AA69="FINANCIERO",OFFSET('PARÁMETROS'!$K$56,MATCH(U69,JC_FI,0),MATCH(T69,CC_FI,0)),
OFFSET('PARÁMETROS'!$K$38,MATCH(U69,JC_L,0),MATCH(T69,CC_L,0))))))))),"")</f>
        <v/>
      </c>
      <c r="W69" s="130"/>
      <c r="X69" s="135"/>
      <c r="Y69" s="136"/>
      <c r="Z69" s="30"/>
      <c r="AA69" s="31" t="str">
        <f>E59</f>
        <v/>
      </c>
    </row>
    <row r="70" ht="87.0" customHeight="1">
      <c r="A70" s="129"/>
      <c r="B70" s="130"/>
      <c r="C70" s="130"/>
      <c r="D70" s="130"/>
      <c r="E70" s="130"/>
      <c r="F70" s="130"/>
      <c r="G70" s="130"/>
      <c r="H70" s="130"/>
      <c r="I70" s="130"/>
      <c r="J70" s="130"/>
      <c r="K70" s="130"/>
      <c r="L70" s="130"/>
      <c r="M70" s="130"/>
      <c r="N70" s="130"/>
      <c r="O70" s="130"/>
      <c r="P70" s="132"/>
      <c r="Q70" s="134"/>
      <c r="R70" s="134"/>
      <c r="S70" s="134"/>
      <c r="T70" s="135"/>
      <c r="U70" s="135"/>
      <c r="V70" s="135" t="str">
        <f>IFERROR(IF(AA70="SEGURIDAD",OFFSET('PARÁMETROS'!$K$2,MATCH(U70,JC_SE,0),MATCH(T70,CC_SE,0)),
IF(OR(AA70="DSRC/Estratégico",AA70="DSRC/Operativo"),OFFSET('PARÁMETROS'!$K$11,MATCH(U70,JC_DS,0),MATCH(T70,CC_DS,0)),
IF(AA70="SALUD",OFFSET('PARÁMETROS'!$K$29,MATCH(U70,JC_SA,0),MATCH(T70,CC_SA,0)),
IF(AA70="MEDIO AMBIENTE",OFFSET('PARÁMETROS'!$K$20,MATCH(U70,JC_MA,0),MATCH(T70,CC_MA,0)),
IF(AA70="Rel. Gubernamentales",OFFSET('PARÁMETROS'!$K$48,MATCH(U70,JC_G,0),MATCH(T70,CC_G,0)),
IF(AA70="OPERACIONAL",OFFSET('PARÁMETROS'!$K$56,MATCH(U70,JC_OP,0),MATCH(T70,CC_OP,0)),
IF(AA70="FINANCIERO",OFFSET('PARÁMETROS'!$K$56,MATCH(U70,JC_FI,0),MATCH(T70,CC_FI,0)),
OFFSET('PARÁMETROS'!$K$38,MATCH(U70,JC_L,0),MATCH(T70,CC_L,0))))))))),"")</f>
        <v/>
      </c>
      <c r="W70" s="130"/>
      <c r="X70" s="135"/>
      <c r="Y70" s="136"/>
      <c r="Z70" s="30"/>
      <c r="AA70" s="31" t="str">
        <f>E59</f>
        <v/>
      </c>
    </row>
    <row r="71" ht="87.0" customHeight="1">
      <c r="A71" s="129"/>
      <c r="B71" s="130"/>
      <c r="C71" s="130"/>
      <c r="D71" s="130"/>
      <c r="E71" s="130"/>
      <c r="F71" s="130"/>
      <c r="G71" s="130"/>
      <c r="H71" s="130"/>
      <c r="I71" s="130"/>
      <c r="J71" s="130"/>
      <c r="K71" s="130"/>
      <c r="L71" s="130"/>
      <c r="M71" s="130"/>
      <c r="N71" s="130"/>
      <c r="O71" s="130"/>
      <c r="P71" s="132"/>
      <c r="Q71" s="134"/>
      <c r="R71" s="134"/>
      <c r="S71" s="134"/>
      <c r="T71" s="135"/>
      <c r="U71" s="135"/>
      <c r="V71" s="135" t="str">
        <f>IFERROR(IF(AA71="SEGURIDAD",OFFSET('PARÁMETROS'!$K$2,MATCH(U71,JC_SE,0),MATCH(T71,CC_SE,0)),
IF(OR(AA71="DSRC/Estratégico",AA71="DSRC/Operativo"),OFFSET('PARÁMETROS'!$K$11,MATCH(U71,JC_DS,0),MATCH(T71,CC_DS,0)),
IF(AA71="SALUD",OFFSET('PARÁMETROS'!$K$29,MATCH(U71,JC_SA,0),MATCH(T71,CC_SA,0)),
IF(AA71="MEDIO AMBIENTE",OFFSET('PARÁMETROS'!$K$20,MATCH(U71,JC_MA,0),MATCH(T71,CC_MA,0)),
IF(AA71="Rel. Gubernamentales",OFFSET('PARÁMETROS'!$K$48,MATCH(U71,JC_G,0),MATCH(T71,CC_G,0)),
IF(AA71="OPERACIONAL",OFFSET('PARÁMETROS'!$K$56,MATCH(U71,JC_OP,0),MATCH(T71,CC_OP,0)),
IF(AA71="FINANCIERO",OFFSET('PARÁMETROS'!$K$56,MATCH(U71,JC_FI,0),MATCH(T71,CC_FI,0)),
OFFSET('PARÁMETROS'!$K$38,MATCH(U71,JC_L,0),MATCH(T71,CC_L,0))))))))),"")</f>
        <v/>
      </c>
      <c r="W71" s="130"/>
      <c r="X71" s="135"/>
      <c r="Y71" s="136"/>
      <c r="Z71" s="30"/>
      <c r="AA71" s="31" t="str">
        <f>E59</f>
        <v/>
      </c>
    </row>
    <row r="72" ht="87.0" customHeight="1">
      <c r="A72" s="129"/>
      <c r="B72" s="130"/>
      <c r="C72" s="130"/>
      <c r="D72" s="130"/>
      <c r="E72" s="130"/>
      <c r="F72" s="130"/>
      <c r="G72" s="130"/>
      <c r="H72" s="130"/>
      <c r="I72" s="130"/>
      <c r="J72" s="130"/>
      <c r="K72" s="130"/>
      <c r="L72" s="130"/>
      <c r="M72" s="130"/>
      <c r="N72" s="130"/>
      <c r="O72" s="130"/>
      <c r="P72" s="132"/>
      <c r="Q72" s="134"/>
      <c r="R72" s="134"/>
      <c r="S72" s="134"/>
      <c r="T72" s="135"/>
      <c r="U72" s="135"/>
      <c r="V72" s="135" t="str">
        <f>IFERROR(IF(AA72="SEGURIDAD",OFFSET('PARÁMETROS'!$K$2,MATCH(U72,JC_SE,0),MATCH(T72,CC_SE,0)),
IF(OR(AA72="DSRC/Estratégico",AA72="DSRC/Operativo"),OFFSET('PARÁMETROS'!$K$11,MATCH(U72,JC_DS,0),MATCH(T72,CC_DS,0)),
IF(AA72="SALUD",OFFSET('PARÁMETROS'!$K$29,MATCH(U72,JC_SA,0),MATCH(T72,CC_SA,0)),
IF(AA72="MEDIO AMBIENTE",OFFSET('PARÁMETROS'!$K$20,MATCH(U72,JC_MA,0),MATCH(T72,CC_MA,0)),
IF(AA72="Rel. Gubernamentales",OFFSET('PARÁMETROS'!$K$48,MATCH(U72,JC_G,0),MATCH(T72,CC_G,0)),
IF(AA72="OPERACIONAL",OFFSET('PARÁMETROS'!$K$56,MATCH(U72,JC_OP,0),MATCH(T72,CC_OP,0)),
IF(AA72="FINANCIERO",OFFSET('PARÁMETROS'!$K$56,MATCH(U72,JC_FI,0),MATCH(T72,CC_FI,0)),
OFFSET('PARÁMETROS'!$K$38,MATCH(U72,JC_L,0),MATCH(T72,CC_L,0))))))))),"")</f>
        <v/>
      </c>
      <c r="W72" s="130"/>
      <c r="X72" s="135"/>
      <c r="Y72" s="136"/>
      <c r="Z72" s="30"/>
      <c r="AA72" s="31" t="str">
        <f>E59</f>
        <v/>
      </c>
    </row>
    <row r="73" ht="87.0" customHeight="1">
      <c r="A73" s="129"/>
      <c r="B73" s="130"/>
      <c r="C73" s="130"/>
      <c r="D73" s="130"/>
      <c r="E73" s="130"/>
      <c r="F73" s="130"/>
      <c r="G73" s="130"/>
      <c r="H73" s="130"/>
      <c r="I73" s="130"/>
      <c r="J73" s="130"/>
      <c r="K73" s="130"/>
      <c r="L73" s="130"/>
      <c r="M73" s="130"/>
      <c r="N73" s="130"/>
      <c r="O73" s="130"/>
      <c r="P73" s="132"/>
      <c r="Q73" s="134"/>
      <c r="R73" s="134"/>
      <c r="S73" s="134"/>
      <c r="T73" s="135"/>
      <c r="U73" s="135"/>
      <c r="V73" s="135" t="str">
        <f>IFERROR(IF(AA73="SEGURIDAD",OFFSET('PARÁMETROS'!$K$2,MATCH(U73,JC_SE,0),MATCH(T73,CC_SE,0)),
IF(OR(AA73="DSRC/Estratégico",AA73="DSRC/Operativo"),OFFSET('PARÁMETROS'!$K$11,MATCH(U73,JC_DS,0),MATCH(T73,CC_DS,0)),
IF(AA73="SALUD",OFFSET('PARÁMETROS'!$K$29,MATCH(U73,JC_SA,0),MATCH(T73,CC_SA,0)),
IF(AA73="MEDIO AMBIENTE",OFFSET('PARÁMETROS'!$K$20,MATCH(U73,JC_MA,0),MATCH(T73,CC_MA,0)),
IF(AA73="Rel. Gubernamentales",OFFSET('PARÁMETROS'!$K$48,MATCH(U73,JC_G,0),MATCH(T73,CC_G,0)),
IF(AA73="OPERACIONAL",OFFSET('PARÁMETROS'!$K$56,MATCH(U73,JC_OP,0),MATCH(T73,CC_OP,0)),
IF(AA73="FINANCIERO",OFFSET('PARÁMETROS'!$K$56,MATCH(U73,JC_FI,0),MATCH(T73,CC_FI,0)),
OFFSET('PARÁMETROS'!$K$38,MATCH(U73,JC_L,0),MATCH(T73,CC_L,0))))))))),"")</f>
        <v/>
      </c>
      <c r="W73" s="130"/>
      <c r="X73" s="135"/>
      <c r="Y73" s="136"/>
      <c r="Z73" s="30"/>
      <c r="AA73" s="31" t="str">
        <f>E59</f>
        <v/>
      </c>
    </row>
    <row r="74" ht="87.0" customHeight="1">
      <c r="A74" s="89"/>
      <c r="B74" s="90"/>
      <c r="C74" s="90"/>
      <c r="D74" s="90"/>
      <c r="E74" s="90"/>
      <c r="F74" s="90"/>
      <c r="G74" s="90"/>
      <c r="H74" s="90"/>
      <c r="I74" s="90"/>
      <c r="J74" s="90"/>
      <c r="K74" s="90"/>
      <c r="L74" s="90"/>
      <c r="M74" s="90"/>
      <c r="N74" s="90"/>
      <c r="O74" s="90"/>
      <c r="P74" s="132"/>
      <c r="Q74" s="134"/>
      <c r="R74" s="145"/>
      <c r="S74" s="145"/>
      <c r="T74" s="135"/>
      <c r="U74" s="135"/>
      <c r="V74" s="135" t="str">
        <f>IFERROR(IF(AA74="SEGURIDAD",OFFSET('PARÁMETROS'!$K$2,MATCH(U74,JC_SE,0),MATCH(T74,CC_SE,0)),
IF(OR(AA74="DSRC/Estratégico",AA74="DSRC/Operativo"),OFFSET('PARÁMETROS'!$K$11,MATCH(U74,JC_DS,0),MATCH(T74,CC_DS,0)),
IF(AA74="SALUD",OFFSET('PARÁMETROS'!$K$29,MATCH(U74,JC_SA,0),MATCH(T74,CC_SA,0)),
IF(AA74="MEDIO AMBIENTE",OFFSET('PARÁMETROS'!$K$20,MATCH(U74,JC_MA,0),MATCH(T74,CC_MA,0)),
IF(AA74="Rel. Gubernamentales",OFFSET('PARÁMETROS'!$K$48,MATCH(U74,JC_G,0),MATCH(T74,CC_G,0)),
IF(AA74="OPERACIONAL",OFFSET('PARÁMETROS'!$K$56,MATCH(U74,JC_OP,0),MATCH(T74,CC_OP,0)),
IF(AA74="FINANCIERO",OFFSET('PARÁMETROS'!$K$56,MATCH(U74,JC_FI,0),MATCH(T74,CC_FI,0)),
OFFSET('PARÁMETROS'!$K$38,MATCH(U74,JC_L,0),MATCH(T74,CC_L,0))))))))),"")</f>
        <v/>
      </c>
      <c r="W74" s="90"/>
      <c r="X74" s="135"/>
      <c r="Y74" s="136"/>
      <c r="Z74" s="30"/>
      <c r="AA74" s="31" t="str">
        <f>E59</f>
        <v/>
      </c>
    </row>
    <row r="75" ht="87.0" customHeight="1">
      <c r="A75" s="102"/>
      <c r="B75" s="103"/>
      <c r="C75" s="103"/>
      <c r="D75" s="103"/>
      <c r="E75" s="103"/>
      <c r="F75" s="103"/>
      <c r="G75" s="105"/>
      <c r="H75" s="103"/>
      <c r="I75" s="105"/>
      <c r="J75" s="103"/>
      <c r="K75" s="103"/>
      <c r="L75" s="103" t="str">
        <f>IF(OR(J75&lt;&gt;"",K75&lt;&gt;""),OFFSET('PARÁMETROS'!$B$2,K75,J75),"")</f>
        <v/>
      </c>
      <c r="M75" s="103"/>
      <c r="N75" s="103">
        <f>IFERROR(L75*M75,"")</f>
        <v>0</v>
      </c>
      <c r="O75" s="108" t="str">
        <f>IF(N75="","",IFERROR(IF(N75&lt;=2,"ACEPTABLE",IF(N75&lt;=6,"BAJA",IF(N75&lt;=10,"ACEPTABLE CON REVISIÓN",IF(N75&lt;=15,"SUSTANCIAL","INACEPTABLE")))),""))</f>
        <v>ACEPTABLE</v>
      </c>
      <c r="P75" s="113"/>
      <c r="Q75" s="114"/>
      <c r="R75" s="114"/>
      <c r="S75" s="114"/>
      <c r="T75" s="115"/>
      <c r="U75" s="115"/>
      <c r="V75" s="115" t="str">
        <f>IFERROR(IF(AA75="SEGURIDAD",OFFSET('PARÁMETROS'!$K$2,MATCH(U75,JC_SE,0),MATCH(T75,CC_SE,0)),
IF(OR(AA75="DSRC/Estratégico",AA75="DSRC/Operativo"),OFFSET('PARÁMETROS'!$K$11,MATCH(U75,JC_DS,0),MATCH(T75,CC_DS,0)),
IF(AA75="SALUD",OFFSET('PARÁMETROS'!$K$29,MATCH(U75,JC_SA,0),MATCH(T75,CC_SA,0)),
IF(AA75="MEDIO AMBIENTE",OFFSET('PARÁMETROS'!$K$20,MATCH(U75,JC_MA,0),MATCH(T75,CC_MA,0)),
IF(AA75="Rel. Gubernamentales",OFFSET('PARÁMETROS'!$K$48,MATCH(U75,JC_G,0),MATCH(T75,CC_G,0)),
IF(AA75="OPERACIONAL",OFFSET('PARÁMETROS'!$K$56,MATCH(U75,JC_OP,0),MATCH(T75,CC_OP,0)),
IF(AA75="FINANCIERO",OFFSET('PARÁMETROS'!$K$56,MATCH(U75,JC_FI,0),MATCH(T75,CC_FI,0)),
OFFSET('PARÁMETROS'!$K$38,MATCH(U75,JC_L,0),MATCH(T75,CC_L,0))))))))),"")</f>
        <v/>
      </c>
      <c r="W75" s="108" t="str">
        <f>IF(E75="","",
IF(COUNTA(V75:V90)-COUNTBLANK(V75:V90)=1,
IF(O75="INACEPTABLE",IF(COUNTIF(V75:V90,"Control/Acción Eficaz")&gt;=1,"SUSTANCIAL","INACEPTABLE"),
IF(O75="SUSTANCIAL",IF(COUNTIF(V75:V90,"Control/Acción Eficaz")&gt;=1,"ACEPTABLE CON REVISIÓN","SUSTANCIAL"),
IF(O75="ACEPTABLE CON REVISIÓN",IF(COUNTIF(V75:V90,"Control/Acción Eficaz")&gt;=1,"BAJA","ACEPTABLE CON REVISIÓN"),
IF(O75="BAJA",IF(COUNTIF(V75:V90,"Control/Acción Eficaz")&gt;=1,"ACEPTABLE","BAJA"),)))),
IF(COUNTA(V75:V90)-COUNTBLANK(V75:V90)=2,
IF(O75="INACEPTABLE",IF(COUNTIF(V75:V90,"Control/Acción Eficaz")=2,"ACEPTABLE CON REVISIÓN",
IF(OR(AND(COUNTIF(V75:V90,"Control/Acción Eficaz")=1,COUNTIF(V75:V90,"Control/Acción Satisfactorio")=1),
AND(COUNTIF(V75:V90,"Control/Acción Eficaz")=1,COUNTIF(V75:V90,"Control/Acción No Eficaz")=1)),"SUSTANCIAL","INACEPTABLE")),
IF(O75="SUSTANCIAL",IF(COUNTIF(V75:V90,"Control/Acción Eficaz")=2,"BAJA",
IF(OR(AND(COUNTIF(V75:V90,"Control/Acción Eficaz")=1,COUNTIF(V75:V90,"Control/Acción Satisfactorio")=1),
AND(COUNTIF(V75:V90,"Control/Acción Eficaz")=1,COUNTIF(V75:V90,"Control/Acción No Eficaz")=1)),"ACEPTABLE CON REVISIÓN ","SUSTANCIAL")),
IF(O75="ACEPTABLE CON REVISIÓN",IF(COUNTIF(V75:V90,"Control/Acción Eficaz")=2,"ACEPTABLE",
IF(OR(AND(COUNTIF(V75:V90,"Control/Acción Eficaz")=1,COUNTIF(V75:V90,"Control/Acción Satisfactorio")=1),
AND(COUNTIF(V75:V90,"Control/Acción Eficaz")=1,COUNTIF(V75:V90,"Control/Acción No Eficaz")=1)),"BAJA","ACEPTABLE CON REVISIÓN")),
IF(O75="BAJA",IF(COUNTIF(V75:V90,"Control/Acción Eficaz")&gt;=2,"ACEPTABLE","BAJA"),)))),
IF(COUNTA(V75:V90)-COUNTBLANK(V75:V90)&gt;=3,
IF(O75="INACEPTABLE",
IF(COUNTBLANK(V75:V90)=COUNTA(V75:V90),"",
IF(COUNTIF(V75:V90,"Control/Acción No Eficaz")&gt;=2,"INACEPTABLE",
IF(AND(COUNTIF(V75:V90,"Control/Acción No Eficaz")=0,COUNTIF(V75:V90,"Control/Acción Eficaz")&gt;=2),"ACEPTABLE CON REVISIÓN ","SUSTANCIAL"))),
IF(O75="SUSTANCIAL",
IF(COUNTBLANK(V75:V90)=COUNTA(V75:V90),"",
IF(COUNTIF(V75:V90,"Control/Acción No Eficaz")&gt;=2,"SUSTANCIAL",
IF(AND(COUNTIF(V75:V90,"Control/Acción No Eficaz")=0,COUNTIF(V75:V90,"Control/Acción Eficaz")&gt;=2),"BAJA","ACEPTABLE CON REVISIÓN"))),
IF(O75="ACEPTABLE CON REVISIÓN",
IF(COUNTBLANK(V75:V90)=COUNTA(V75:V90),"",
IF(COUNTIF(V75:V90,"Control/Acción No Eficaz")&gt;=2,"ACEPTABLE CON REVISIÓN",
IF(AND(COUNTIF(V75:V90,"Control/Acción No Eficaz")=0,COUNTIF(V75:V90,"Control/Acción Eficaz")&gt;=2),"ACEPTABLE","BAJA"))),
IF(O75="BAJA",
IF(COUNTBLANK(V75:V90)=COUNTA(V75:V90),"",
IF(AND(COUNTBLANK(V75:V90)&lt;1,COUNTA(V75:V90)=1),
IF(COUNTIF(V75:V90,"Control/Acción No Eficaz")&gt;=2,"BAJA",
IF(AND(COUNTIF(V75:V90,"Control/Acción No Eficaz")=0,COUNTIF(V75:V90,"Control/Acción Eficaz")&gt;=2),"ACEPTABLE","BAJA")),
IF(COUNTIF(V75:V90,"Control/Acción No Eficaz")&gt;=2,"BAJA",
IF(AND(COUNTIF(V75:V90,"Control/Acción No Eficaz")=0,COUNTIF(V75:V90,"Control/Acción Eficaz")&gt;=2),"ACEPTABLE","BAJA")))),
IF(COUNTIF(V75:V90,"")&gt;=5,"",O75))))),
""))))</f>
        <v/>
      </c>
      <c r="X75" s="115"/>
      <c r="Y75" s="128"/>
      <c r="Z75" s="30"/>
      <c r="AA75" s="31" t="str">
        <f>E75</f>
        <v/>
      </c>
    </row>
    <row r="76" ht="87.0" customHeight="1">
      <c r="A76" s="129"/>
      <c r="B76" s="130"/>
      <c r="C76" s="130"/>
      <c r="D76" s="130"/>
      <c r="E76" s="130"/>
      <c r="F76" s="130"/>
      <c r="G76" s="130"/>
      <c r="H76" s="130"/>
      <c r="I76" s="130"/>
      <c r="J76" s="130"/>
      <c r="K76" s="130"/>
      <c r="L76" s="130"/>
      <c r="M76" s="130"/>
      <c r="N76" s="130"/>
      <c r="O76" s="130"/>
      <c r="P76" s="132"/>
      <c r="Q76" s="134"/>
      <c r="R76" s="134"/>
      <c r="S76" s="134"/>
      <c r="T76" s="135"/>
      <c r="U76" s="135"/>
      <c r="V76" s="135" t="str">
        <f>IFERROR(IF(AA76="SEGURIDAD",OFFSET('PARÁMETROS'!$K$2,MATCH(U76,JC_SE,0),MATCH(T76,CC_SE,0)),
IF(OR(AA76="DSRC/Estratégico",AA76="DSRC/Operativo"),OFFSET('PARÁMETROS'!$K$11,MATCH(U76,JC_DS,0),MATCH(T76,CC_DS,0)),
IF(AA76="SALUD",OFFSET('PARÁMETROS'!$K$29,MATCH(U76,JC_SA,0),MATCH(T76,CC_SA,0)),
IF(AA76="MEDIO AMBIENTE",OFFSET('PARÁMETROS'!$K$20,MATCH(U76,JC_MA,0),MATCH(T76,CC_MA,0)),
IF(AA76="Rel. Gubernamentales",OFFSET('PARÁMETROS'!$K$48,MATCH(U76,JC_G,0),MATCH(T76,CC_G,0)),
IF(AA76="OPERACIONAL",OFFSET('PARÁMETROS'!$K$56,MATCH(U76,JC_OP,0),MATCH(T76,CC_OP,0)),
IF(AA76="FINANCIERO",OFFSET('PARÁMETROS'!$K$56,MATCH(U76,JC_FI,0),MATCH(T76,CC_FI,0)),
OFFSET('PARÁMETROS'!$K$38,MATCH(U76,JC_L,0),MATCH(T76,CC_L,0))))))))),"")</f>
        <v/>
      </c>
      <c r="W76" s="130"/>
      <c r="X76" s="135"/>
      <c r="Y76" s="136"/>
      <c r="Z76" s="30"/>
      <c r="AA76" s="31" t="str">
        <f>E75</f>
        <v/>
      </c>
    </row>
    <row r="77" ht="87.0" customHeight="1">
      <c r="A77" s="129"/>
      <c r="B77" s="130"/>
      <c r="C77" s="130"/>
      <c r="D77" s="130"/>
      <c r="E77" s="130"/>
      <c r="F77" s="130"/>
      <c r="G77" s="130"/>
      <c r="H77" s="130"/>
      <c r="I77" s="130"/>
      <c r="J77" s="130"/>
      <c r="K77" s="130"/>
      <c r="L77" s="130"/>
      <c r="M77" s="130"/>
      <c r="N77" s="130"/>
      <c r="O77" s="130"/>
      <c r="P77" s="132"/>
      <c r="Q77" s="134"/>
      <c r="R77" s="134"/>
      <c r="S77" s="134"/>
      <c r="T77" s="135"/>
      <c r="U77" s="135"/>
      <c r="V77" s="135" t="str">
        <f>IFERROR(IF(AA77="SEGURIDAD",OFFSET('PARÁMETROS'!$K$2,MATCH(U77,JC_SE,0),MATCH(T77,CC_SE,0)),
IF(OR(AA77="DSRC/Estratégico",AA77="DSRC/Operativo"),OFFSET('PARÁMETROS'!$K$11,MATCH(U77,JC_DS,0),MATCH(T77,CC_DS,0)),
IF(AA77="SALUD",OFFSET('PARÁMETROS'!$K$29,MATCH(U77,JC_SA,0),MATCH(T77,CC_SA,0)),
IF(AA77="MEDIO AMBIENTE",OFFSET('PARÁMETROS'!$K$20,MATCH(U77,JC_MA,0),MATCH(T77,CC_MA,0)),
IF(AA77="Rel. Gubernamentales",OFFSET('PARÁMETROS'!$K$48,MATCH(U77,JC_G,0),MATCH(T77,CC_G,0)),
IF(AA77="OPERACIONAL",OFFSET('PARÁMETROS'!$K$56,MATCH(U77,JC_OP,0),MATCH(T77,CC_OP,0)),
IF(AA77="FINANCIERO",OFFSET('PARÁMETROS'!$K$56,MATCH(U77,JC_FI,0),MATCH(T77,CC_FI,0)),
OFFSET('PARÁMETROS'!$K$38,MATCH(U77,JC_L,0),MATCH(T77,CC_L,0))))))))),"")</f>
        <v/>
      </c>
      <c r="W77" s="130"/>
      <c r="X77" s="135"/>
      <c r="Y77" s="136"/>
      <c r="Z77" s="30"/>
      <c r="AA77" s="31" t="str">
        <f>E75</f>
        <v/>
      </c>
    </row>
    <row r="78" ht="87.0" customHeight="1">
      <c r="A78" s="129"/>
      <c r="B78" s="130"/>
      <c r="C78" s="130"/>
      <c r="D78" s="130"/>
      <c r="E78" s="130"/>
      <c r="F78" s="130"/>
      <c r="G78" s="130"/>
      <c r="H78" s="130"/>
      <c r="I78" s="130"/>
      <c r="J78" s="130"/>
      <c r="K78" s="130"/>
      <c r="L78" s="130"/>
      <c r="M78" s="130"/>
      <c r="N78" s="130"/>
      <c r="O78" s="130"/>
      <c r="P78" s="132"/>
      <c r="Q78" s="134"/>
      <c r="R78" s="134"/>
      <c r="S78" s="134"/>
      <c r="T78" s="135"/>
      <c r="U78" s="135"/>
      <c r="V78" s="135" t="str">
        <f>IFERROR(IF(AA78="SEGURIDAD",OFFSET('PARÁMETROS'!$K$2,MATCH(U78,JC_SE,0),MATCH(T78,CC_SE,0)),
IF(OR(AA78="DSRC/Estratégico",AA78="DSRC/Operativo"),OFFSET('PARÁMETROS'!$K$11,MATCH(U78,JC_DS,0),MATCH(T78,CC_DS,0)),
IF(AA78="SALUD",OFFSET('PARÁMETROS'!$K$29,MATCH(U78,JC_SA,0),MATCH(T78,CC_SA,0)),
IF(AA78="MEDIO AMBIENTE",OFFSET('PARÁMETROS'!$K$20,MATCH(U78,JC_MA,0),MATCH(T78,CC_MA,0)),
IF(AA78="Rel. Gubernamentales",OFFSET('PARÁMETROS'!$K$48,MATCH(U78,JC_G,0),MATCH(T78,CC_G,0)),
IF(AA78="OPERACIONAL",OFFSET('PARÁMETROS'!$K$56,MATCH(U78,JC_OP,0),MATCH(T78,CC_OP,0)),
IF(AA78="FINANCIERO",OFFSET('PARÁMETROS'!$K$56,MATCH(U78,JC_FI,0),MATCH(T78,CC_FI,0)),
OFFSET('PARÁMETROS'!$K$38,MATCH(U78,JC_L,0),MATCH(T78,CC_L,0))))))))),"")</f>
        <v/>
      </c>
      <c r="W78" s="130"/>
      <c r="X78" s="135"/>
      <c r="Y78" s="136"/>
      <c r="Z78" s="30"/>
      <c r="AA78" s="31" t="str">
        <f>E75</f>
        <v/>
      </c>
    </row>
    <row r="79" ht="87.0" customHeight="1">
      <c r="A79" s="129"/>
      <c r="B79" s="130"/>
      <c r="C79" s="130"/>
      <c r="D79" s="130"/>
      <c r="E79" s="130"/>
      <c r="F79" s="130"/>
      <c r="G79" s="130"/>
      <c r="H79" s="130"/>
      <c r="I79" s="130"/>
      <c r="J79" s="130"/>
      <c r="K79" s="130"/>
      <c r="L79" s="130"/>
      <c r="M79" s="130"/>
      <c r="N79" s="130"/>
      <c r="O79" s="130"/>
      <c r="P79" s="132"/>
      <c r="Q79" s="134"/>
      <c r="R79" s="134"/>
      <c r="S79" s="134"/>
      <c r="T79" s="135"/>
      <c r="U79" s="135"/>
      <c r="V79" s="135" t="str">
        <f>IFERROR(IF(AA79="SEGURIDAD",OFFSET('PARÁMETROS'!$K$2,MATCH(U79,JC_SE,0),MATCH(T79,CC_SE,0)),
IF(OR(AA79="DSRC/Estratégico",AA79="DSRC/Operativo"),OFFSET('PARÁMETROS'!$K$11,MATCH(U79,JC_DS,0),MATCH(T79,CC_DS,0)),
IF(AA79="SALUD",OFFSET('PARÁMETROS'!$K$29,MATCH(U79,JC_SA,0),MATCH(T79,CC_SA,0)),
IF(AA79="MEDIO AMBIENTE",OFFSET('PARÁMETROS'!$K$20,MATCH(U79,JC_MA,0),MATCH(T79,CC_MA,0)),
IF(AA79="Rel. Gubernamentales",OFFSET('PARÁMETROS'!$K$48,MATCH(U79,JC_G,0),MATCH(T79,CC_G,0)),
IF(AA79="OPERACIONAL",OFFSET('PARÁMETROS'!$K$56,MATCH(U79,JC_OP,0),MATCH(T79,CC_OP,0)),
IF(AA79="FINANCIERO",OFFSET('PARÁMETROS'!$K$56,MATCH(U79,JC_FI,0),MATCH(T79,CC_FI,0)),
OFFSET('PARÁMETROS'!$K$38,MATCH(U79,JC_L,0),MATCH(T79,CC_L,0))))))))),"")</f>
        <v/>
      </c>
      <c r="W79" s="130"/>
      <c r="X79" s="135"/>
      <c r="Y79" s="136"/>
      <c r="Z79" s="30"/>
      <c r="AA79" s="31" t="str">
        <f>E75</f>
        <v/>
      </c>
    </row>
    <row r="80" ht="87.0" customHeight="1">
      <c r="A80" s="129"/>
      <c r="B80" s="130"/>
      <c r="C80" s="130"/>
      <c r="D80" s="130"/>
      <c r="E80" s="130"/>
      <c r="F80" s="130"/>
      <c r="G80" s="130"/>
      <c r="H80" s="130"/>
      <c r="I80" s="130"/>
      <c r="J80" s="130"/>
      <c r="K80" s="130"/>
      <c r="L80" s="130"/>
      <c r="M80" s="130"/>
      <c r="N80" s="130"/>
      <c r="O80" s="130"/>
      <c r="P80" s="132"/>
      <c r="Q80" s="134"/>
      <c r="R80" s="134"/>
      <c r="S80" s="134"/>
      <c r="T80" s="135"/>
      <c r="U80" s="135"/>
      <c r="V80" s="135" t="str">
        <f>IFERROR(IF(AA80="SEGURIDAD",OFFSET('PARÁMETROS'!$K$2,MATCH(U80,JC_SE,0),MATCH(T80,CC_SE,0)),
IF(OR(AA80="DSRC/Estratégico",AA80="DSRC/Operativo"),OFFSET('PARÁMETROS'!$K$11,MATCH(U80,JC_DS,0),MATCH(T80,CC_DS,0)),
IF(AA80="SALUD",OFFSET('PARÁMETROS'!$K$29,MATCH(U80,JC_SA,0),MATCH(T80,CC_SA,0)),
IF(AA80="MEDIO AMBIENTE",OFFSET('PARÁMETROS'!$K$20,MATCH(U80,JC_MA,0),MATCH(T80,CC_MA,0)),
IF(AA80="Rel. Gubernamentales",OFFSET('PARÁMETROS'!$K$48,MATCH(U80,JC_G,0),MATCH(T80,CC_G,0)),
IF(AA80="OPERACIONAL",OFFSET('PARÁMETROS'!$K$56,MATCH(U80,JC_OP,0),MATCH(T80,CC_OP,0)),
IF(AA80="FINANCIERO",OFFSET('PARÁMETROS'!$K$56,MATCH(U80,JC_FI,0),MATCH(T80,CC_FI,0)),
OFFSET('PARÁMETROS'!$K$38,MATCH(U80,JC_L,0),MATCH(T80,CC_L,0))))))))),"")</f>
        <v/>
      </c>
      <c r="W80" s="130"/>
      <c r="X80" s="135"/>
      <c r="Y80" s="136"/>
      <c r="Z80" s="30"/>
      <c r="AA80" s="31" t="str">
        <f>E75</f>
        <v/>
      </c>
    </row>
    <row r="81" ht="87.0" customHeight="1">
      <c r="A81" s="129"/>
      <c r="B81" s="130"/>
      <c r="C81" s="130"/>
      <c r="D81" s="130"/>
      <c r="E81" s="130"/>
      <c r="F81" s="130"/>
      <c r="G81" s="130"/>
      <c r="H81" s="130"/>
      <c r="I81" s="130"/>
      <c r="J81" s="130"/>
      <c r="K81" s="130"/>
      <c r="L81" s="130"/>
      <c r="M81" s="130"/>
      <c r="N81" s="130"/>
      <c r="O81" s="130"/>
      <c r="P81" s="132"/>
      <c r="Q81" s="134"/>
      <c r="R81" s="134"/>
      <c r="S81" s="134"/>
      <c r="T81" s="135"/>
      <c r="U81" s="135"/>
      <c r="V81" s="135" t="str">
        <f>IFERROR(IF(AA81="SEGURIDAD",OFFSET('PARÁMETROS'!$K$2,MATCH(U81,JC_SE,0),MATCH(T81,CC_SE,0)),
IF(OR(AA81="DSRC/Estratégico",AA81="DSRC/Operativo"),OFFSET('PARÁMETROS'!$K$11,MATCH(U81,JC_DS,0),MATCH(T81,CC_DS,0)),
IF(AA81="SALUD",OFFSET('PARÁMETROS'!$K$29,MATCH(U81,JC_SA,0),MATCH(T81,CC_SA,0)),
IF(AA81="MEDIO AMBIENTE",OFFSET('PARÁMETROS'!$K$20,MATCH(U81,JC_MA,0),MATCH(T81,CC_MA,0)),
IF(AA81="Rel. Gubernamentales",OFFSET('PARÁMETROS'!$K$48,MATCH(U81,JC_G,0),MATCH(T81,CC_G,0)),
IF(AA81="OPERACIONAL",OFFSET('PARÁMETROS'!$K$56,MATCH(U81,JC_OP,0),MATCH(T81,CC_OP,0)),
IF(AA81="FINANCIERO",OFFSET('PARÁMETROS'!$K$56,MATCH(U81,JC_FI,0),MATCH(T81,CC_FI,0)),
OFFSET('PARÁMETROS'!$K$38,MATCH(U81,JC_L,0),MATCH(T81,CC_L,0))))))))),"")</f>
        <v/>
      </c>
      <c r="W81" s="130"/>
      <c r="X81" s="135"/>
      <c r="Y81" s="136"/>
      <c r="Z81" s="30"/>
      <c r="AA81" s="31" t="str">
        <f>E75</f>
        <v/>
      </c>
    </row>
    <row r="82" ht="87.0" customHeight="1">
      <c r="A82" s="129"/>
      <c r="B82" s="130"/>
      <c r="C82" s="130"/>
      <c r="D82" s="130"/>
      <c r="E82" s="130"/>
      <c r="F82" s="130"/>
      <c r="G82" s="130"/>
      <c r="H82" s="130"/>
      <c r="I82" s="130"/>
      <c r="J82" s="130"/>
      <c r="K82" s="130"/>
      <c r="L82" s="130"/>
      <c r="M82" s="130"/>
      <c r="N82" s="130"/>
      <c r="O82" s="130"/>
      <c r="P82" s="132"/>
      <c r="Q82" s="134"/>
      <c r="R82" s="134"/>
      <c r="S82" s="134"/>
      <c r="T82" s="135"/>
      <c r="U82" s="135"/>
      <c r="V82" s="135" t="str">
        <f>IFERROR(IF(AA82="SEGURIDAD",OFFSET('PARÁMETROS'!$K$2,MATCH(U82,JC_SE,0),MATCH(T82,CC_SE,0)),
IF(OR(AA82="DSRC/Estratégico",AA82="DSRC/Operativo"),OFFSET('PARÁMETROS'!$K$11,MATCH(U82,JC_DS,0),MATCH(T82,CC_DS,0)),
IF(AA82="SALUD",OFFSET('PARÁMETROS'!$K$29,MATCH(U82,JC_SA,0),MATCH(T82,CC_SA,0)),
IF(AA82="MEDIO AMBIENTE",OFFSET('PARÁMETROS'!$K$20,MATCH(U82,JC_MA,0),MATCH(T82,CC_MA,0)),
IF(AA82="Rel. Gubernamentales",OFFSET('PARÁMETROS'!$K$48,MATCH(U82,JC_G,0),MATCH(T82,CC_G,0)),
IF(AA82="OPERACIONAL",OFFSET('PARÁMETROS'!$K$56,MATCH(U82,JC_OP,0),MATCH(T82,CC_OP,0)),
IF(AA82="FINANCIERO",OFFSET('PARÁMETROS'!$K$56,MATCH(U82,JC_FI,0),MATCH(T82,CC_FI,0)),
OFFSET('PARÁMETROS'!$K$38,MATCH(U82,JC_L,0),MATCH(T82,CC_L,0))))))))),"")</f>
        <v/>
      </c>
      <c r="W82" s="130"/>
      <c r="X82" s="135"/>
      <c r="Y82" s="136"/>
      <c r="Z82" s="30"/>
      <c r="AA82" s="31" t="str">
        <f>E75</f>
        <v/>
      </c>
    </row>
    <row r="83" ht="87.0" customHeight="1">
      <c r="A83" s="129"/>
      <c r="B83" s="130"/>
      <c r="C83" s="130"/>
      <c r="D83" s="130"/>
      <c r="E83" s="130"/>
      <c r="F83" s="130"/>
      <c r="G83" s="130"/>
      <c r="H83" s="130"/>
      <c r="I83" s="130"/>
      <c r="J83" s="130"/>
      <c r="K83" s="130"/>
      <c r="L83" s="130"/>
      <c r="M83" s="130"/>
      <c r="N83" s="130"/>
      <c r="O83" s="130"/>
      <c r="P83" s="132"/>
      <c r="Q83" s="134"/>
      <c r="R83" s="134"/>
      <c r="S83" s="134"/>
      <c r="T83" s="135"/>
      <c r="U83" s="135"/>
      <c r="V83" s="135" t="str">
        <f>IFERROR(IF(AA83="SEGURIDAD",OFFSET('PARÁMETROS'!$K$2,MATCH(U83,JC_SE,0),MATCH(T83,CC_SE,0)),
IF(OR(AA83="DSRC/Estratégico",AA83="DSRC/Operativo"),OFFSET('PARÁMETROS'!$K$11,MATCH(U83,JC_DS,0),MATCH(T83,CC_DS,0)),
IF(AA83="SALUD",OFFSET('PARÁMETROS'!$K$29,MATCH(U83,JC_SA,0),MATCH(T83,CC_SA,0)),
IF(AA83="MEDIO AMBIENTE",OFFSET('PARÁMETROS'!$K$20,MATCH(U83,JC_MA,0),MATCH(T83,CC_MA,0)),
IF(AA83="Rel. Gubernamentales",OFFSET('PARÁMETROS'!$K$48,MATCH(U83,JC_G,0),MATCH(T83,CC_G,0)),
IF(AA83="OPERACIONAL",OFFSET('PARÁMETROS'!$K$56,MATCH(U83,JC_OP,0),MATCH(T83,CC_OP,0)),
IF(AA83="FINANCIERO",OFFSET('PARÁMETROS'!$K$56,MATCH(U83,JC_FI,0),MATCH(T83,CC_FI,0)),
OFFSET('PARÁMETROS'!$K$38,MATCH(U83,JC_L,0),MATCH(T83,CC_L,0))))))))),"")</f>
        <v/>
      </c>
      <c r="W83" s="130"/>
      <c r="X83" s="135"/>
      <c r="Y83" s="136"/>
      <c r="Z83" s="30"/>
      <c r="AA83" s="31" t="str">
        <f>E75</f>
        <v/>
      </c>
    </row>
    <row r="84" ht="87.0" customHeight="1">
      <c r="A84" s="129"/>
      <c r="B84" s="130"/>
      <c r="C84" s="130"/>
      <c r="D84" s="130"/>
      <c r="E84" s="130"/>
      <c r="F84" s="130"/>
      <c r="G84" s="130"/>
      <c r="H84" s="130"/>
      <c r="I84" s="130"/>
      <c r="J84" s="130"/>
      <c r="K84" s="130"/>
      <c r="L84" s="130"/>
      <c r="M84" s="130"/>
      <c r="N84" s="130"/>
      <c r="O84" s="130"/>
      <c r="P84" s="132"/>
      <c r="Q84" s="134"/>
      <c r="R84" s="134"/>
      <c r="S84" s="134"/>
      <c r="T84" s="135"/>
      <c r="U84" s="135"/>
      <c r="V84" s="135" t="str">
        <f>IFERROR(IF(AA84="SEGURIDAD",OFFSET('PARÁMETROS'!$K$2,MATCH(U84,JC_SE,0),MATCH(T84,CC_SE,0)),
IF(OR(AA84="DSRC/Estratégico",AA84="DSRC/Operativo"),OFFSET('PARÁMETROS'!$K$11,MATCH(U84,JC_DS,0),MATCH(T84,CC_DS,0)),
IF(AA84="SALUD",OFFSET('PARÁMETROS'!$K$29,MATCH(U84,JC_SA,0),MATCH(T84,CC_SA,0)),
IF(AA84="MEDIO AMBIENTE",OFFSET('PARÁMETROS'!$K$20,MATCH(U84,JC_MA,0),MATCH(T84,CC_MA,0)),
IF(AA84="Rel. Gubernamentales",OFFSET('PARÁMETROS'!$K$48,MATCH(U84,JC_G,0),MATCH(T84,CC_G,0)),
IF(AA84="OPERACIONAL",OFFSET('PARÁMETROS'!$K$56,MATCH(U84,JC_OP,0),MATCH(T84,CC_OP,0)),
IF(AA84="FINANCIERO",OFFSET('PARÁMETROS'!$K$56,MATCH(U84,JC_FI,0),MATCH(T84,CC_FI,0)),
OFFSET('PARÁMETROS'!$K$38,MATCH(U84,JC_L,0),MATCH(T84,CC_L,0))))))))),"")</f>
        <v/>
      </c>
      <c r="W84" s="130"/>
      <c r="X84" s="135"/>
      <c r="Y84" s="136"/>
      <c r="Z84" s="30"/>
      <c r="AA84" s="31" t="str">
        <f>E75</f>
        <v/>
      </c>
    </row>
    <row r="85" ht="87.0" customHeight="1">
      <c r="A85" s="129"/>
      <c r="B85" s="130"/>
      <c r="C85" s="130"/>
      <c r="D85" s="130"/>
      <c r="E85" s="130"/>
      <c r="F85" s="130"/>
      <c r="G85" s="130"/>
      <c r="H85" s="130"/>
      <c r="I85" s="130"/>
      <c r="J85" s="130"/>
      <c r="K85" s="130"/>
      <c r="L85" s="130"/>
      <c r="M85" s="130"/>
      <c r="N85" s="130"/>
      <c r="O85" s="130"/>
      <c r="P85" s="132"/>
      <c r="Q85" s="134"/>
      <c r="R85" s="134"/>
      <c r="S85" s="134"/>
      <c r="T85" s="135"/>
      <c r="U85" s="135"/>
      <c r="V85" s="135" t="str">
        <f>IFERROR(IF(AA85="SEGURIDAD",OFFSET('PARÁMETROS'!$K$2,MATCH(U85,JC_SE,0),MATCH(T85,CC_SE,0)),
IF(OR(AA85="DSRC/Estratégico",AA85="DSRC/Operativo"),OFFSET('PARÁMETROS'!$K$11,MATCH(U85,JC_DS,0),MATCH(T85,CC_DS,0)),
IF(AA85="SALUD",OFFSET('PARÁMETROS'!$K$29,MATCH(U85,JC_SA,0),MATCH(T85,CC_SA,0)),
IF(AA85="MEDIO AMBIENTE",OFFSET('PARÁMETROS'!$K$20,MATCH(U85,JC_MA,0),MATCH(T85,CC_MA,0)),
IF(AA85="Rel. Gubernamentales",OFFSET('PARÁMETROS'!$K$48,MATCH(U85,JC_G,0),MATCH(T85,CC_G,0)),
IF(AA85="OPERACIONAL",OFFSET('PARÁMETROS'!$K$56,MATCH(U85,JC_OP,0),MATCH(T85,CC_OP,0)),
IF(AA85="FINANCIERO",OFFSET('PARÁMETROS'!$K$56,MATCH(U85,JC_FI,0),MATCH(T85,CC_FI,0)),
OFFSET('PARÁMETROS'!$K$38,MATCH(U85,JC_L,0),MATCH(T85,CC_L,0))))))))),"")</f>
        <v/>
      </c>
      <c r="W85" s="130"/>
      <c r="X85" s="135"/>
      <c r="Y85" s="136"/>
      <c r="Z85" s="30"/>
      <c r="AA85" s="31" t="str">
        <f>E75</f>
        <v/>
      </c>
    </row>
    <row r="86" ht="87.0" customHeight="1">
      <c r="A86" s="129"/>
      <c r="B86" s="130"/>
      <c r="C86" s="130"/>
      <c r="D86" s="130"/>
      <c r="E86" s="130"/>
      <c r="F86" s="130"/>
      <c r="G86" s="130"/>
      <c r="H86" s="130"/>
      <c r="I86" s="130"/>
      <c r="J86" s="130"/>
      <c r="K86" s="130"/>
      <c r="L86" s="130"/>
      <c r="M86" s="130"/>
      <c r="N86" s="130"/>
      <c r="O86" s="130"/>
      <c r="P86" s="132"/>
      <c r="Q86" s="134"/>
      <c r="R86" s="134"/>
      <c r="S86" s="134"/>
      <c r="T86" s="135"/>
      <c r="U86" s="135"/>
      <c r="V86" s="135" t="str">
        <f>IFERROR(IF(AA86="SEGURIDAD",OFFSET('PARÁMETROS'!$K$2,MATCH(U86,JC_SE,0),MATCH(T86,CC_SE,0)),
IF(OR(AA86="DSRC/Estratégico",AA86="DSRC/Operativo"),OFFSET('PARÁMETROS'!$K$11,MATCH(U86,JC_DS,0),MATCH(T86,CC_DS,0)),
IF(AA86="SALUD",OFFSET('PARÁMETROS'!$K$29,MATCH(U86,JC_SA,0),MATCH(T86,CC_SA,0)),
IF(AA86="MEDIO AMBIENTE",OFFSET('PARÁMETROS'!$K$20,MATCH(U86,JC_MA,0),MATCH(T86,CC_MA,0)),
IF(AA86="Rel. Gubernamentales",OFFSET('PARÁMETROS'!$K$48,MATCH(U86,JC_G,0),MATCH(T86,CC_G,0)),
IF(AA86="OPERACIONAL",OFFSET('PARÁMETROS'!$K$56,MATCH(U86,JC_OP,0),MATCH(T86,CC_OP,0)),
IF(AA86="FINANCIERO",OFFSET('PARÁMETROS'!$K$56,MATCH(U86,JC_FI,0),MATCH(T86,CC_FI,0)),
OFFSET('PARÁMETROS'!$K$38,MATCH(U86,JC_L,0),MATCH(T86,CC_L,0))))))))),"")</f>
        <v/>
      </c>
      <c r="W86" s="130"/>
      <c r="X86" s="135"/>
      <c r="Y86" s="136"/>
      <c r="Z86" s="30"/>
      <c r="AA86" s="31" t="str">
        <f>E75</f>
        <v/>
      </c>
    </row>
    <row r="87" ht="87.0" customHeight="1">
      <c r="A87" s="129"/>
      <c r="B87" s="130"/>
      <c r="C87" s="130"/>
      <c r="D87" s="130"/>
      <c r="E87" s="130"/>
      <c r="F87" s="130"/>
      <c r="G87" s="130"/>
      <c r="H87" s="130"/>
      <c r="I87" s="130"/>
      <c r="J87" s="130"/>
      <c r="K87" s="130"/>
      <c r="L87" s="130"/>
      <c r="M87" s="130"/>
      <c r="N87" s="130"/>
      <c r="O87" s="130"/>
      <c r="P87" s="132"/>
      <c r="Q87" s="134"/>
      <c r="R87" s="134"/>
      <c r="S87" s="134"/>
      <c r="T87" s="135"/>
      <c r="U87" s="135"/>
      <c r="V87" s="135" t="str">
        <f>IFERROR(IF(AA87="SEGURIDAD",OFFSET('PARÁMETROS'!$K$2,MATCH(U87,JC_SE,0),MATCH(T87,CC_SE,0)),
IF(OR(AA87="DSRC/Estratégico",AA87="DSRC/Operativo"),OFFSET('PARÁMETROS'!$K$11,MATCH(U87,JC_DS,0),MATCH(T87,CC_DS,0)),
IF(AA87="SALUD",OFFSET('PARÁMETROS'!$K$29,MATCH(U87,JC_SA,0),MATCH(T87,CC_SA,0)),
IF(AA87="MEDIO AMBIENTE",OFFSET('PARÁMETROS'!$K$20,MATCH(U87,JC_MA,0),MATCH(T87,CC_MA,0)),
IF(AA87="Rel. Gubernamentales",OFFSET('PARÁMETROS'!$K$48,MATCH(U87,JC_G,0),MATCH(T87,CC_G,0)),
IF(AA87="OPERACIONAL",OFFSET('PARÁMETROS'!$K$56,MATCH(U87,JC_OP,0),MATCH(T87,CC_OP,0)),
IF(AA87="FINANCIERO",OFFSET('PARÁMETROS'!$K$56,MATCH(U87,JC_FI,0),MATCH(T87,CC_FI,0)),
OFFSET('PARÁMETROS'!$K$38,MATCH(U87,JC_L,0),MATCH(T87,CC_L,0))))))))),"")</f>
        <v/>
      </c>
      <c r="W87" s="130"/>
      <c r="X87" s="135"/>
      <c r="Y87" s="136"/>
      <c r="Z87" s="30"/>
      <c r="AA87" s="31" t="str">
        <f>E75</f>
        <v/>
      </c>
    </row>
    <row r="88" ht="87.0" customHeight="1">
      <c r="A88" s="129"/>
      <c r="B88" s="130"/>
      <c r="C88" s="130"/>
      <c r="D88" s="130"/>
      <c r="E88" s="130"/>
      <c r="F88" s="130"/>
      <c r="G88" s="130"/>
      <c r="H88" s="130"/>
      <c r="I88" s="130"/>
      <c r="J88" s="130"/>
      <c r="K88" s="130"/>
      <c r="L88" s="130"/>
      <c r="M88" s="130"/>
      <c r="N88" s="130"/>
      <c r="O88" s="130"/>
      <c r="P88" s="132"/>
      <c r="Q88" s="134"/>
      <c r="R88" s="134"/>
      <c r="S88" s="134"/>
      <c r="T88" s="135"/>
      <c r="U88" s="135"/>
      <c r="V88" s="135" t="str">
        <f>IFERROR(IF(AA88="SEGURIDAD",OFFSET('PARÁMETROS'!$K$2,MATCH(U88,JC_SE,0),MATCH(T88,CC_SE,0)),
IF(OR(AA88="DSRC/Estratégico",AA88="DSRC/Operativo"),OFFSET('PARÁMETROS'!$K$11,MATCH(U88,JC_DS,0),MATCH(T88,CC_DS,0)),
IF(AA88="SALUD",OFFSET('PARÁMETROS'!$K$29,MATCH(U88,JC_SA,0),MATCH(T88,CC_SA,0)),
IF(AA88="MEDIO AMBIENTE",OFFSET('PARÁMETROS'!$K$20,MATCH(U88,JC_MA,0),MATCH(T88,CC_MA,0)),
IF(AA88="Rel. Gubernamentales",OFFSET('PARÁMETROS'!$K$48,MATCH(U88,JC_G,0),MATCH(T88,CC_G,0)),
IF(AA88="OPERACIONAL",OFFSET('PARÁMETROS'!$K$56,MATCH(U88,JC_OP,0),MATCH(T88,CC_OP,0)),
IF(AA88="FINANCIERO",OFFSET('PARÁMETROS'!$K$56,MATCH(U88,JC_FI,0),MATCH(T88,CC_FI,0)),
OFFSET('PARÁMETROS'!$K$38,MATCH(U88,JC_L,0),MATCH(T88,CC_L,0))))))))),"")</f>
        <v/>
      </c>
      <c r="W88" s="130"/>
      <c r="X88" s="135"/>
      <c r="Y88" s="136"/>
      <c r="Z88" s="30"/>
      <c r="AA88" s="31" t="str">
        <f>E75</f>
        <v/>
      </c>
    </row>
    <row r="89" ht="87.0" customHeight="1">
      <c r="A89" s="129"/>
      <c r="B89" s="130"/>
      <c r="C89" s="130"/>
      <c r="D89" s="130"/>
      <c r="E89" s="130"/>
      <c r="F89" s="130"/>
      <c r="G89" s="130"/>
      <c r="H89" s="130"/>
      <c r="I89" s="130"/>
      <c r="J89" s="130"/>
      <c r="K89" s="130"/>
      <c r="L89" s="130"/>
      <c r="M89" s="130"/>
      <c r="N89" s="130"/>
      <c r="O89" s="130"/>
      <c r="P89" s="132"/>
      <c r="Q89" s="134"/>
      <c r="R89" s="134"/>
      <c r="S89" s="134"/>
      <c r="T89" s="135"/>
      <c r="U89" s="135"/>
      <c r="V89" s="135" t="str">
        <f>IFERROR(IF(AA89="SEGURIDAD",OFFSET('PARÁMETROS'!$K$2,MATCH(U89,JC_SE,0),MATCH(T89,CC_SE,0)),
IF(OR(AA89="DSRC/Estratégico",AA89="DSRC/Operativo"),OFFSET('PARÁMETROS'!$K$11,MATCH(U89,JC_DS,0),MATCH(T89,CC_DS,0)),
IF(AA89="SALUD",OFFSET('PARÁMETROS'!$K$29,MATCH(U89,JC_SA,0),MATCH(T89,CC_SA,0)),
IF(AA89="MEDIO AMBIENTE",OFFSET('PARÁMETROS'!$K$20,MATCH(U89,JC_MA,0),MATCH(T89,CC_MA,0)),
IF(AA89="Rel. Gubernamentales",OFFSET('PARÁMETROS'!$K$48,MATCH(U89,JC_G,0),MATCH(T89,CC_G,0)),
IF(AA89="OPERACIONAL",OFFSET('PARÁMETROS'!$K$56,MATCH(U89,JC_OP,0),MATCH(T89,CC_OP,0)),
IF(AA89="FINANCIERO",OFFSET('PARÁMETROS'!$K$56,MATCH(U89,JC_FI,0),MATCH(T89,CC_FI,0)),
OFFSET('PARÁMETROS'!$K$38,MATCH(U89,JC_L,0),MATCH(T89,CC_L,0))))))))),"")</f>
        <v/>
      </c>
      <c r="W89" s="130"/>
      <c r="X89" s="135"/>
      <c r="Y89" s="136"/>
      <c r="Z89" s="30"/>
      <c r="AA89" s="31" t="str">
        <f>E75</f>
        <v/>
      </c>
    </row>
    <row r="90" ht="87.0" customHeight="1">
      <c r="A90" s="89"/>
      <c r="B90" s="90"/>
      <c r="C90" s="90"/>
      <c r="D90" s="90"/>
      <c r="E90" s="90"/>
      <c r="F90" s="90"/>
      <c r="G90" s="90"/>
      <c r="H90" s="90"/>
      <c r="I90" s="90"/>
      <c r="J90" s="90"/>
      <c r="K90" s="90"/>
      <c r="L90" s="90"/>
      <c r="M90" s="90"/>
      <c r="N90" s="90"/>
      <c r="O90" s="90"/>
      <c r="P90" s="132"/>
      <c r="Q90" s="134"/>
      <c r="R90" s="145"/>
      <c r="S90" s="145"/>
      <c r="T90" s="135"/>
      <c r="U90" s="135"/>
      <c r="V90" s="135" t="str">
        <f>IFERROR(IF(AA90="SEGURIDAD",OFFSET('PARÁMETROS'!$K$2,MATCH(U90,JC_SE,0),MATCH(T90,CC_SE,0)),
IF(OR(AA90="DSRC/Estratégico",AA90="DSRC/Operativo"),OFFSET('PARÁMETROS'!$K$11,MATCH(U90,JC_DS,0),MATCH(T90,CC_DS,0)),
IF(AA90="SALUD",OFFSET('PARÁMETROS'!$K$29,MATCH(U90,JC_SA,0),MATCH(T90,CC_SA,0)),
IF(AA90="MEDIO AMBIENTE",OFFSET('PARÁMETROS'!$K$20,MATCH(U90,JC_MA,0),MATCH(T90,CC_MA,0)),
IF(AA90="Rel. Gubernamentales",OFFSET('PARÁMETROS'!$K$48,MATCH(U90,JC_G,0),MATCH(T90,CC_G,0)),
IF(AA90="OPERACIONAL",OFFSET('PARÁMETROS'!$K$56,MATCH(U90,JC_OP,0),MATCH(T90,CC_OP,0)),
IF(AA90="FINANCIERO",OFFSET('PARÁMETROS'!$K$56,MATCH(U90,JC_FI,0),MATCH(T90,CC_FI,0)),
OFFSET('PARÁMETROS'!$K$38,MATCH(U90,JC_L,0),MATCH(T90,CC_L,0))))))))),"")</f>
        <v/>
      </c>
      <c r="W90" s="90"/>
      <c r="X90" s="135"/>
      <c r="Y90" s="136"/>
      <c r="Z90" s="30"/>
      <c r="AA90" s="31" t="str">
        <f>E75</f>
        <v/>
      </c>
    </row>
    <row r="91" ht="87.0" customHeight="1">
      <c r="A91" s="102"/>
      <c r="B91" s="103"/>
      <c r="C91" s="103"/>
      <c r="D91" s="103"/>
      <c r="E91" s="103"/>
      <c r="F91" s="103"/>
      <c r="G91" s="105"/>
      <c r="H91" s="103"/>
      <c r="I91" s="105"/>
      <c r="J91" s="103"/>
      <c r="K91" s="103"/>
      <c r="L91" s="103" t="str">
        <f>IF(OR(J91&lt;&gt;"",K91&lt;&gt;""),OFFSET('PARÁMETROS'!$B$2,K91,J91),"")</f>
        <v/>
      </c>
      <c r="M91" s="103"/>
      <c r="N91" s="103">
        <f>IFERROR(L91*M91,"")</f>
        <v>0</v>
      </c>
      <c r="O91" s="108" t="str">
        <f>IF(N91="","",IFERROR(IF(N91&lt;=2,"ACEPTABLE",IF(N91&lt;=6,"BAJA",IF(N91&lt;=10,"ACEPTABLE CON REVISIÓN",IF(N91&lt;=15,"SUSTANCIAL","INACEPTABLE")))),""))</f>
        <v>ACEPTABLE</v>
      </c>
      <c r="P91" s="113"/>
      <c r="Q91" s="114"/>
      <c r="R91" s="114"/>
      <c r="S91" s="114"/>
      <c r="T91" s="115"/>
      <c r="U91" s="115"/>
      <c r="V91" s="115" t="str">
        <f>IFERROR(IF(AA91="SEGURIDAD",OFFSET('PARÁMETROS'!$K$2,MATCH(U91,JC_SE,0),MATCH(T91,CC_SE,0)),
IF(OR(AA91="DSRC/Estratégico",AA91="DSRC/Operativo"),OFFSET('PARÁMETROS'!$K$11,MATCH(U91,JC_DS,0),MATCH(T91,CC_DS,0)),
IF(AA91="SALUD",OFFSET('PARÁMETROS'!$K$29,MATCH(U91,JC_SA,0),MATCH(T91,CC_SA,0)),
IF(AA91="MEDIO AMBIENTE",OFFSET('PARÁMETROS'!$K$20,MATCH(U91,JC_MA,0),MATCH(T91,CC_MA,0)),
IF(AA91="Rel. Gubernamentales",OFFSET('PARÁMETROS'!$K$48,MATCH(U91,JC_G,0),MATCH(T91,CC_G,0)),
IF(AA91="OPERACIONAL",OFFSET('PARÁMETROS'!$K$56,MATCH(U91,JC_OP,0),MATCH(T91,CC_OP,0)),
IF(AA91="FINANCIERO",OFFSET('PARÁMETROS'!$K$56,MATCH(U91,JC_FI,0),MATCH(T91,CC_FI,0)),
OFFSET('PARÁMETROS'!$K$38,MATCH(U91,JC_L,0),MATCH(T91,CC_L,0))))))))),"")</f>
        <v/>
      </c>
      <c r="W91" s="108" t="str">
        <f>IF(E91="","",
IF(COUNTA(V91:V106)-COUNTBLANK(V91:V106)=1,
IF(O91="INACEPTABLE",IF(COUNTIF(V91:V106,"Control/Acción Eficaz")&gt;=1,"SUSTANCIAL","INACEPTABLE"),
IF(O91="SUSTANCIAL",IF(COUNTIF(V91:V106,"Control/Acción Eficaz")&gt;=1,"ACEPTABLE CON REVISIÓN","SUSTANCIAL"),
IF(O91="ACEPTABLE CON REVISIÓN",IF(COUNTIF(V91:V106,"Control/Acción Eficaz")&gt;=1,"BAJA","ACEPTABLE CON REVISIÓN"),
IF(O91="BAJA",IF(COUNTIF(V91:V106,"Control/Acción Eficaz")&gt;=1,"ACEPTABLE","BAJA"),)))),
IF(COUNTA(V91:V106)-COUNTBLANK(V91:V106)=2,
IF(O91="INACEPTABLE",IF(COUNTIF(V91:V106,"Control/Acción Eficaz")=2,"ACEPTABLE CON REVISIÓN",
IF(OR(AND(COUNTIF(V91:V106,"Control/Acción Eficaz")=1,COUNTIF(V91:V106,"Control/Acción Satisfactorio")=1),
AND(COUNTIF(V91:V106,"Control/Acción Eficaz")=1,COUNTIF(V91:V106,"Control/Acción No Eficaz")=1)),"SUSTANCIAL","INACEPTABLE")),
IF(O91="SUSTANCIAL",IF(COUNTIF(V91:V106,"Control/Acción Eficaz")=2,"BAJA",
IF(OR(AND(COUNTIF(V91:V106,"Control/Acción Eficaz")=1,COUNTIF(V91:V106,"Control/Acción Satisfactorio")=1),
AND(COUNTIF(V91:V106,"Control/Acción Eficaz")=1,COUNTIF(V91:V106,"Control/Acción No Eficaz")=1)),"ACEPTABLE CON REVISIÓN ","SUSTANCIAL")),
IF(O91="ACEPTABLE CON REVISIÓN",IF(COUNTIF(V91:V106,"Control/Acción Eficaz")=2,"ACEPTABLE",
IF(OR(AND(COUNTIF(V91:V106,"Control/Acción Eficaz")=1,COUNTIF(V91:V106,"Control/Acción Satisfactorio")=1),
AND(COUNTIF(V91:V106,"Control/Acción Eficaz")=1,COUNTIF(V91:V106,"Control/Acción No Eficaz")=1)),"BAJA","ACEPTABLE CON REVISIÓN")),
IF(O91="BAJA",IF(COUNTIF(V91:V106,"Control/Acción Eficaz")&gt;=2,"ACEPTABLE","BAJA"),)))),
IF(COUNTA(V91:V106)-COUNTBLANK(V91:V106)&gt;=3,
IF(O91="INACEPTABLE",
IF(COUNTBLANK(V91:V106)=COUNTA(V91:V106),"",
IF(COUNTIF(V91:V106,"Control/Acción No Eficaz")&gt;=2,"INACEPTABLE",
IF(AND(COUNTIF(V91:V106,"Control/Acción No Eficaz")=0,COUNTIF(V91:V106,"Control/Acción Eficaz")&gt;=2),"ACEPTABLE CON REVISIÓN ","SUSTANCIAL"))),
IF(O91="SUSTANCIAL",
IF(COUNTBLANK(V91:V106)=COUNTA(V91:V106),"",
IF(COUNTIF(V91:V106,"Control/Acción No Eficaz")&gt;=2,"SUSTANCIAL",
IF(AND(COUNTIF(V91:V106,"Control/Acción No Eficaz")=0,COUNTIF(V91:V106,"Control/Acción Eficaz")&gt;=2),"BAJA","ACEPTABLE CON REVISIÓN"))),
IF(O91="ACEPTABLE CON REVISIÓN",
IF(COUNTBLANK(V91:V106)=COUNTA(V91:V106),"",
IF(COUNTIF(V91:V106,"Control/Acción No Eficaz")&gt;=2,"ACEPTABLE CON REVISIÓN",
IF(AND(COUNTIF(V91:V106,"Control/Acción No Eficaz")=0,COUNTIF(V91:V106,"Control/Acción Eficaz")&gt;=2),"ACEPTABLE","BAJA"))),
IF(O91="BAJA",
IF(COUNTBLANK(V91:V106)=COUNTA(V91:V106),"",
IF(AND(COUNTBLANK(V91:V106)&lt;1,COUNTA(V91:V106)=1),
IF(COUNTIF(V91:V106,"Control/Acción No Eficaz")&gt;=2,"BAJA",
IF(AND(COUNTIF(V91:V106,"Control/Acción No Eficaz")=0,COUNTIF(V91:V106,"Control/Acción Eficaz")&gt;=2),"ACEPTABLE","BAJA")),
IF(COUNTIF(V91:V106,"Control/Acción No Eficaz")&gt;=2,"BAJA",
IF(AND(COUNTIF(V91:V106,"Control/Acción No Eficaz")=0,COUNTIF(V91:V106,"Control/Acción Eficaz")&gt;=2),"ACEPTABLE","BAJA")))),
IF(COUNTIF(V91:V106,"")&gt;=5,"",O91))))),
""))))</f>
        <v/>
      </c>
      <c r="X91" s="115"/>
      <c r="Y91" s="128"/>
      <c r="Z91" s="30"/>
      <c r="AA91" s="31" t="str">
        <f>E91</f>
        <v/>
      </c>
    </row>
    <row r="92" ht="87.0" customHeight="1">
      <c r="A92" s="129"/>
      <c r="B92" s="130"/>
      <c r="C92" s="130"/>
      <c r="D92" s="130"/>
      <c r="E92" s="130"/>
      <c r="F92" s="130"/>
      <c r="G92" s="130"/>
      <c r="H92" s="130"/>
      <c r="I92" s="130"/>
      <c r="J92" s="130"/>
      <c r="K92" s="130"/>
      <c r="L92" s="130"/>
      <c r="M92" s="130"/>
      <c r="N92" s="130"/>
      <c r="O92" s="130"/>
      <c r="P92" s="132"/>
      <c r="Q92" s="134"/>
      <c r="R92" s="134"/>
      <c r="S92" s="134"/>
      <c r="T92" s="135"/>
      <c r="U92" s="135"/>
      <c r="V92" s="135" t="str">
        <f>IFERROR(IF(AA92="SEGURIDAD",OFFSET('PARÁMETROS'!$K$2,MATCH(U92,JC_SE,0),MATCH(T92,CC_SE,0)),
IF(OR(AA92="DSRC/Estratégico",AA92="DSRC/Operativo"),OFFSET('PARÁMETROS'!$K$11,MATCH(U92,JC_DS,0),MATCH(T92,CC_DS,0)),
IF(AA92="SALUD",OFFSET('PARÁMETROS'!$K$29,MATCH(U92,JC_SA,0),MATCH(T92,CC_SA,0)),
IF(AA92="MEDIO AMBIENTE",OFFSET('PARÁMETROS'!$K$20,MATCH(U92,JC_MA,0),MATCH(T92,CC_MA,0)),
IF(AA92="Rel. Gubernamentales",OFFSET('PARÁMETROS'!$K$48,MATCH(U92,JC_G,0),MATCH(T92,CC_G,0)),
IF(AA92="OPERACIONAL",OFFSET('PARÁMETROS'!$K$56,MATCH(U92,JC_OP,0),MATCH(T92,CC_OP,0)),
IF(AA92="FINANCIERO",OFFSET('PARÁMETROS'!$K$56,MATCH(U92,JC_FI,0),MATCH(T92,CC_FI,0)),
OFFSET('PARÁMETROS'!$K$38,MATCH(U92,JC_L,0),MATCH(T92,CC_L,0))))))))),"")</f>
        <v/>
      </c>
      <c r="W92" s="130"/>
      <c r="X92" s="135"/>
      <c r="Y92" s="136"/>
      <c r="Z92" s="30"/>
      <c r="AA92" s="31" t="str">
        <f>E91</f>
        <v/>
      </c>
    </row>
    <row r="93" ht="87.0" customHeight="1">
      <c r="A93" s="129"/>
      <c r="B93" s="130"/>
      <c r="C93" s="130"/>
      <c r="D93" s="130"/>
      <c r="E93" s="130"/>
      <c r="F93" s="130"/>
      <c r="G93" s="130"/>
      <c r="H93" s="130"/>
      <c r="I93" s="130"/>
      <c r="J93" s="130"/>
      <c r="K93" s="130"/>
      <c r="L93" s="130"/>
      <c r="M93" s="130"/>
      <c r="N93" s="130"/>
      <c r="O93" s="130"/>
      <c r="P93" s="132"/>
      <c r="Q93" s="134"/>
      <c r="R93" s="134"/>
      <c r="S93" s="134"/>
      <c r="T93" s="135"/>
      <c r="U93" s="135"/>
      <c r="V93" s="135" t="str">
        <f>IFERROR(IF(AA93="SEGURIDAD",OFFSET('PARÁMETROS'!$K$2,MATCH(U93,JC_SE,0),MATCH(T93,CC_SE,0)),
IF(OR(AA93="DSRC/Estratégico",AA93="DSRC/Operativo"),OFFSET('PARÁMETROS'!$K$11,MATCH(U93,JC_DS,0),MATCH(T93,CC_DS,0)),
IF(AA93="SALUD",OFFSET('PARÁMETROS'!$K$29,MATCH(U93,JC_SA,0),MATCH(T93,CC_SA,0)),
IF(AA93="MEDIO AMBIENTE",OFFSET('PARÁMETROS'!$K$20,MATCH(U93,JC_MA,0),MATCH(T93,CC_MA,0)),
IF(AA93="Rel. Gubernamentales",OFFSET('PARÁMETROS'!$K$48,MATCH(U93,JC_G,0),MATCH(T93,CC_G,0)),
IF(AA93="OPERACIONAL",OFFSET('PARÁMETROS'!$K$56,MATCH(U93,JC_OP,0),MATCH(T93,CC_OP,0)),
IF(AA93="FINANCIERO",OFFSET('PARÁMETROS'!$K$56,MATCH(U93,JC_FI,0),MATCH(T93,CC_FI,0)),
OFFSET('PARÁMETROS'!$K$38,MATCH(U93,JC_L,0),MATCH(T93,CC_L,0))))))))),"")</f>
        <v/>
      </c>
      <c r="W93" s="130"/>
      <c r="X93" s="135"/>
      <c r="Y93" s="136"/>
      <c r="Z93" s="30"/>
      <c r="AA93" s="31" t="str">
        <f>E91</f>
        <v/>
      </c>
    </row>
    <row r="94" ht="87.0" customHeight="1">
      <c r="A94" s="129"/>
      <c r="B94" s="130"/>
      <c r="C94" s="130"/>
      <c r="D94" s="130"/>
      <c r="E94" s="130"/>
      <c r="F94" s="130"/>
      <c r="G94" s="130"/>
      <c r="H94" s="130"/>
      <c r="I94" s="130"/>
      <c r="J94" s="130"/>
      <c r="K94" s="130"/>
      <c r="L94" s="130"/>
      <c r="M94" s="130"/>
      <c r="N94" s="130"/>
      <c r="O94" s="130"/>
      <c r="P94" s="132"/>
      <c r="Q94" s="134"/>
      <c r="R94" s="134"/>
      <c r="S94" s="134"/>
      <c r="T94" s="135"/>
      <c r="U94" s="135"/>
      <c r="V94" s="135" t="str">
        <f>IFERROR(IF(AA94="SEGURIDAD",OFFSET('PARÁMETROS'!$K$2,MATCH(U94,JC_SE,0),MATCH(T94,CC_SE,0)),
IF(OR(AA94="DSRC/Estratégico",AA94="DSRC/Operativo"),OFFSET('PARÁMETROS'!$K$11,MATCH(U94,JC_DS,0),MATCH(T94,CC_DS,0)),
IF(AA94="SALUD",OFFSET('PARÁMETROS'!$K$29,MATCH(U94,JC_SA,0),MATCH(T94,CC_SA,0)),
IF(AA94="MEDIO AMBIENTE",OFFSET('PARÁMETROS'!$K$20,MATCH(U94,JC_MA,0),MATCH(T94,CC_MA,0)),
IF(AA94="Rel. Gubernamentales",OFFSET('PARÁMETROS'!$K$48,MATCH(U94,JC_G,0),MATCH(T94,CC_G,0)),
IF(AA94="OPERACIONAL",OFFSET('PARÁMETROS'!$K$56,MATCH(U94,JC_OP,0),MATCH(T94,CC_OP,0)),
IF(AA94="FINANCIERO",OFFSET('PARÁMETROS'!$K$56,MATCH(U94,JC_FI,0),MATCH(T94,CC_FI,0)),
OFFSET('PARÁMETROS'!$K$38,MATCH(U94,JC_L,0),MATCH(T94,CC_L,0))))))))),"")</f>
        <v/>
      </c>
      <c r="W94" s="130"/>
      <c r="X94" s="135"/>
      <c r="Y94" s="136"/>
      <c r="Z94" s="30"/>
      <c r="AA94" s="31" t="str">
        <f>E91</f>
        <v/>
      </c>
    </row>
    <row r="95" ht="87.0" customHeight="1">
      <c r="A95" s="129"/>
      <c r="B95" s="130"/>
      <c r="C95" s="130"/>
      <c r="D95" s="130"/>
      <c r="E95" s="130"/>
      <c r="F95" s="130"/>
      <c r="G95" s="130"/>
      <c r="H95" s="130"/>
      <c r="I95" s="130"/>
      <c r="J95" s="130"/>
      <c r="K95" s="130"/>
      <c r="L95" s="130"/>
      <c r="M95" s="130"/>
      <c r="N95" s="130"/>
      <c r="O95" s="130"/>
      <c r="P95" s="132"/>
      <c r="Q95" s="134"/>
      <c r="R95" s="134"/>
      <c r="S95" s="134"/>
      <c r="T95" s="135"/>
      <c r="U95" s="135"/>
      <c r="V95" s="135" t="str">
        <f>IFERROR(IF(AA95="SEGURIDAD",OFFSET('PARÁMETROS'!$K$2,MATCH(U95,JC_SE,0),MATCH(T95,CC_SE,0)),
IF(OR(AA95="DSRC/Estratégico",AA95="DSRC/Operativo"),OFFSET('PARÁMETROS'!$K$11,MATCH(U95,JC_DS,0),MATCH(T95,CC_DS,0)),
IF(AA95="SALUD",OFFSET('PARÁMETROS'!$K$29,MATCH(U95,JC_SA,0),MATCH(T95,CC_SA,0)),
IF(AA95="MEDIO AMBIENTE",OFFSET('PARÁMETROS'!$K$20,MATCH(U95,JC_MA,0),MATCH(T95,CC_MA,0)),
IF(AA95="Rel. Gubernamentales",OFFSET('PARÁMETROS'!$K$48,MATCH(U95,JC_G,0),MATCH(T95,CC_G,0)),
IF(AA95="OPERACIONAL",OFFSET('PARÁMETROS'!$K$56,MATCH(U95,JC_OP,0),MATCH(T95,CC_OP,0)),
IF(AA95="FINANCIERO",OFFSET('PARÁMETROS'!$K$56,MATCH(U95,JC_FI,0),MATCH(T95,CC_FI,0)),
OFFSET('PARÁMETROS'!$K$38,MATCH(U95,JC_L,0),MATCH(T95,CC_L,0))))))))),"")</f>
        <v/>
      </c>
      <c r="W95" s="130"/>
      <c r="X95" s="135"/>
      <c r="Y95" s="136"/>
      <c r="Z95" s="30"/>
      <c r="AA95" s="31" t="str">
        <f>E91</f>
        <v/>
      </c>
    </row>
    <row r="96" ht="87.0" customHeight="1">
      <c r="A96" s="129"/>
      <c r="B96" s="130"/>
      <c r="C96" s="130"/>
      <c r="D96" s="130"/>
      <c r="E96" s="130"/>
      <c r="F96" s="130"/>
      <c r="G96" s="130"/>
      <c r="H96" s="130"/>
      <c r="I96" s="130"/>
      <c r="J96" s="130"/>
      <c r="K96" s="130"/>
      <c r="L96" s="130"/>
      <c r="M96" s="130"/>
      <c r="N96" s="130"/>
      <c r="O96" s="130"/>
      <c r="P96" s="132"/>
      <c r="Q96" s="134"/>
      <c r="R96" s="134"/>
      <c r="S96" s="134"/>
      <c r="T96" s="135"/>
      <c r="U96" s="135"/>
      <c r="V96" s="135" t="str">
        <f>IFERROR(IF(AA96="SEGURIDAD",OFFSET('PARÁMETROS'!$K$2,MATCH(U96,JC_SE,0),MATCH(T96,CC_SE,0)),
IF(OR(AA96="DSRC/Estratégico",AA96="DSRC/Operativo"),OFFSET('PARÁMETROS'!$K$11,MATCH(U96,JC_DS,0),MATCH(T96,CC_DS,0)),
IF(AA96="SALUD",OFFSET('PARÁMETROS'!$K$29,MATCH(U96,JC_SA,0),MATCH(T96,CC_SA,0)),
IF(AA96="MEDIO AMBIENTE",OFFSET('PARÁMETROS'!$K$20,MATCH(U96,JC_MA,0),MATCH(T96,CC_MA,0)),
IF(AA96="Rel. Gubernamentales",OFFSET('PARÁMETROS'!$K$48,MATCH(U96,JC_G,0),MATCH(T96,CC_G,0)),
IF(AA96="OPERACIONAL",OFFSET('PARÁMETROS'!$K$56,MATCH(U96,JC_OP,0),MATCH(T96,CC_OP,0)),
IF(AA96="FINANCIERO",OFFSET('PARÁMETROS'!$K$56,MATCH(U96,JC_FI,0),MATCH(T96,CC_FI,0)),
OFFSET('PARÁMETROS'!$K$38,MATCH(U96,JC_L,0),MATCH(T96,CC_L,0))))))))),"")</f>
        <v/>
      </c>
      <c r="W96" s="130"/>
      <c r="X96" s="135"/>
      <c r="Y96" s="136"/>
      <c r="Z96" s="30"/>
      <c r="AA96" s="31" t="str">
        <f>E91</f>
        <v/>
      </c>
    </row>
    <row r="97" ht="87.0" customHeight="1">
      <c r="A97" s="129"/>
      <c r="B97" s="130"/>
      <c r="C97" s="130"/>
      <c r="D97" s="130"/>
      <c r="E97" s="130"/>
      <c r="F97" s="130"/>
      <c r="G97" s="130"/>
      <c r="H97" s="130"/>
      <c r="I97" s="130"/>
      <c r="J97" s="130"/>
      <c r="K97" s="130"/>
      <c r="L97" s="130"/>
      <c r="M97" s="130"/>
      <c r="N97" s="130"/>
      <c r="O97" s="130"/>
      <c r="P97" s="132"/>
      <c r="Q97" s="134"/>
      <c r="R97" s="134"/>
      <c r="S97" s="134"/>
      <c r="T97" s="135"/>
      <c r="U97" s="135"/>
      <c r="V97" s="135" t="str">
        <f>IFERROR(IF(AA97="SEGURIDAD",OFFSET('PARÁMETROS'!$K$2,MATCH(U97,JC_SE,0),MATCH(T97,CC_SE,0)),
IF(OR(AA97="DSRC/Estratégico",AA97="DSRC/Operativo"),OFFSET('PARÁMETROS'!$K$11,MATCH(U97,JC_DS,0),MATCH(T97,CC_DS,0)),
IF(AA97="SALUD",OFFSET('PARÁMETROS'!$K$29,MATCH(U97,JC_SA,0),MATCH(T97,CC_SA,0)),
IF(AA97="MEDIO AMBIENTE",OFFSET('PARÁMETROS'!$K$20,MATCH(U97,JC_MA,0),MATCH(T97,CC_MA,0)),
IF(AA97="Rel. Gubernamentales",OFFSET('PARÁMETROS'!$K$48,MATCH(U97,JC_G,0),MATCH(T97,CC_G,0)),
IF(AA97="OPERACIONAL",OFFSET('PARÁMETROS'!$K$56,MATCH(U97,JC_OP,0),MATCH(T97,CC_OP,0)),
IF(AA97="FINANCIERO",OFFSET('PARÁMETROS'!$K$56,MATCH(U97,JC_FI,0),MATCH(T97,CC_FI,0)),
OFFSET('PARÁMETROS'!$K$38,MATCH(U97,JC_L,0),MATCH(T97,CC_L,0))))))))),"")</f>
        <v/>
      </c>
      <c r="W97" s="130"/>
      <c r="X97" s="135"/>
      <c r="Y97" s="136"/>
      <c r="Z97" s="30"/>
      <c r="AA97" s="31" t="str">
        <f>E91</f>
        <v/>
      </c>
    </row>
    <row r="98" ht="87.0" customHeight="1">
      <c r="A98" s="129"/>
      <c r="B98" s="130"/>
      <c r="C98" s="130"/>
      <c r="D98" s="130"/>
      <c r="E98" s="130"/>
      <c r="F98" s="130"/>
      <c r="G98" s="130"/>
      <c r="H98" s="130"/>
      <c r="I98" s="130"/>
      <c r="J98" s="130"/>
      <c r="K98" s="130"/>
      <c r="L98" s="130"/>
      <c r="M98" s="130"/>
      <c r="N98" s="130"/>
      <c r="O98" s="130"/>
      <c r="P98" s="132"/>
      <c r="Q98" s="134"/>
      <c r="R98" s="134"/>
      <c r="S98" s="134"/>
      <c r="T98" s="135"/>
      <c r="U98" s="135"/>
      <c r="V98" s="135" t="str">
        <f>IFERROR(IF(AA98="SEGURIDAD",OFFSET('PARÁMETROS'!$K$2,MATCH(U98,JC_SE,0),MATCH(T98,CC_SE,0)),
IF(OR(AA98="DSRC/Estratégico",AA98="DSRC/Operativo"),OFFSET('PARÁMETROS'!$K$11,MATCH(U98,JC_DS,0),MATCH(T98,CC_DS,0)),
IF(AA98="SALUD",OFFSET('PARÁMETROS'!$K$29,MATCH(U98,JC_SA,0),MATCH(T98,CC_SA,0)),
IF(AA98="MEDIO AMBIENTE",OFFSET('PARÁMETROS'!$K$20,MATCH(U98,JC_MA,0),MATCH(T98,CC_MA,0)),
IF(AA98="Rel. Gubernamentales",OFFSET('PARÁMETROS'!$K$48,MATCH(U98,JC_G,0),MATCH(T98,CC_G,0)),
IF(AA98="OPERACIONAL",OFFSET('PARÁMETROS'!$K$56,MATCH(U98,JC_OP,0),MATCH(T98,CC_OP,0)),
IF(AA98="FINANCIERO",OFFSET('PARÁMETROS'!$K$56,MATCH(U98,JC_FI,0),MATCH(T98,CC_FI,0)),
OFFSET('PARÁMETROS'!$K$38,MATCH(U98,JC_L,0),MATCH(T98,CC_L,0))))))))),"")</f>
        <v/>
      </c>
      <c r="W98" s="130"/>
      <c r="X98" s="135"/>
      <c r="Y98" s="136"/>
      <c r="Z98" s="30"/>
      <c r="AA98" s="31" t="str">
        <f>E91</f>
        <v/>
      </c>
    </row>
    <row r="99" ht="87.0" customHeight="1">
      <c r="A99" s="129"/>
      <c r="B99" s="130"/>
      <c r="C99" s="130"/>
      <c r="D99" s="130"/>
      <c r="E99" s="130"/>
      <c r="F99" s="130"/>
      <c r="G99" s="130"/>
      <c r="H99" s="130"/>
      <c r="I99" s="130"/>
      <c r="J99" s="130"/>
      <c r="K99" s="130"/>
      <c r="L99" s="130"/>
      <c r="M99" s="130"/>
      <c r="N99" s="130"/>
      <c r="O99" s="130"/>
      <c r="P99" s="132"/>
      <c r="Q99" s="134"/>
      <c r="R99" s="134"/>
      <c r="S99" s="134"/>
      <c r="T99" s="135"/>
      <c r="U99" s="135"/>
      <c r="V99" s="135" t="str">
        <f>IFERROR(IF(AA99="SEGURIDAD",OFFSET('PARÁMETROS'!$K$2,MATCH(U99,JC_SE,0),MATCH(T99,CC_SE,0)),
IF(OR(AA99="DSRC/Estratégico",AA99="DSRC/Operativo"),OFFSET('PARÁMETROS'!$K$11,MATCH(U99,JC_DS,0),MATCH(T99,CC_DS,0)),
IF(AA99="SALUD",OFFSET('PARÁMETROS'!$K$29,MATCH(U99,JC_SA,0),MATCH(T99,CC_SA,0)),
IF(AA99="MEDIO AMBIENTE",OFFSET('PARÁMETROS'!$K$20,MATCH(U99,JC_MA,0),MATCH(T99,CC_MA,0)),
IF(AA99="Rel. Gubernamentales",OFFSET('PARÁMETROS'!$K$48,MATCH(U99,JC_G,0),MATCH(T99,CC_G,0)),
IF(AA99="OPERACIONAL",OFFSET('PARÁMETROS'!$K$56,MATCH(U99,JC_OP,0),MATCH(T99,CC_OP,0)),
IF(AA99="FINANCIERO",OFFSET('PARÁMETROS'!$K$56,MATCH(U99,JC_FI,0),MATCH(T99,CC_FI,0)),
OFFSET('PARÁMETROS'!$K$38,MATCH(U99,JC_L,0),MATCH(T99,CC_L,0))))))))),"")</f>
        <v/>
      </c>
      <c r="W99" s="130"/>
      <c r="X99" s="135"/>
      <c r="Y99" s="136"/>
      <c r="Z99" s="30"/>
      <c r="AA99" s="31" t="str">
        <f>E91</f>
        <v/>
      </c>
    </row>
    <row r="100" ht="87.0" customHeight="1">
      <c r="A100" s="129"/>
      <c r="B100" s="130"/>
      <c r="C100" s="130"/>
      <c r="D100" s="130"/>
      <c r="E100" s="130"/>
      <c r="F100" s="130"/>
      <c r="G100" s="130"/>
      <c r="H100" s="130"/>
      <c r="I100" s="130"/>
      <c r="J100" s="130"/>
      <c r="K100" s="130"/>
      <c r="L100" s="130"/>
      <c r="M100" s="130"/>
      <c r="N100" s="130"/>
      <c r="O100" s="130"/>
      <c r="P100" s="132"/>
      <c r="Q100" s="134"/>
      <c r="R100" s="134"/>
      <c r="S100" s="134"/>
      <c r="T100" s="135"/>
      <c r="U100" s="135"/>
      <c r="V100" s="135" t="str">
        <f>IFERROR(IF(AA100="SEGURIDAD",OFFSET('PARÁMETROS'!$K$2,MATCH(U100,JC_SE,0),MATCH(T100,CC_SE,0)),
IF(OR(AA100="DSRC/Estratégico",AA100="DSRC/Operativo"),OFFSET('PARÁMETROS'!$K$11,MATCH(U100,JC_DS,0),MATCH(T100,CC_DS,0)),
IF(AA100="SALUD",OFFSET('PARÁMETROS'!$K$29,MATCH(U100,JC_SA,0),MATCH(T100,CC_SA,0)),
IF(AA100="MEDIO AMBIENTE",OFFSET('PARÁMETROS'!$K$20,MATCH(U100,JC_MA,0),MATCH(T100,CC_MA,0)),
IF(AA100="Rel. Gubernamentales",OFFSET('PARÁMETROS'!$K$48,MATCH(U100,JC_G,0),MATCH(T100,CC_G,0)),
IF(AA100="OPERACIONAL",OFFSET('PARÁMETROS'!$K$56,MATCH(U100,JC_OP,0),MATCH(T100,CC_OP,0)),
IF(AA100="FINANCIERO",OFFSET('PARÁMETROS'!$K$56,MATCH(U100,JC_FI,0),MATCH(T100,CC_FI,0)),
OFFSET('PARÁMETROS'!$K$38,MATCH(U100,JC_L,0),MATCH(T100,CC_L,0))))))))),"")</f>
        <v/>
      </c>
      <c r="W100" s="130"/>
      <c r="X100" s="135"/>
      <c r="Y100" s="136"/>
      <c r="Z100" s="30"/>
      <c r="AA100" s="31" t="str">
        <f>E91</f>
        <v/>
      </c>
    </row>
    <row r="101" ht="87.0" customHeight="1">
      <c r="A101" s="129"/>
      <c r="B101" s="130"/>
      <c r="C101" s="130"/>
      <c r="D101" s="130"/>
      <c r="E101" s="130"/>
      <c r="F101" s="130"/>
      <c r="G101" s="130"/>
      <c r="H101" s="130"/>
      <c r="I101" s="130"/>
      <c r="J101" s="130"/>
      <c r="K101" s="130"/>
      <c r="L101" s="130"/>
      <c r="M101" s="130"/>
      <c r="N101" s="130"/>
      <c r="O101" s="130"/>
      <c r="P101" s="132"/>
      <c r="Q101" s="134"/>
      <c r="R101" s="134"/>
      <c r="S101" s="134"/>
      <c r="T101" s="135"/>
      <c r="U101" s="135"/>
      <c r="V101" s="135" t="str">
        <f>IFERROR(IF(AA101="SEGURIDAD",OFFSET('PARÁMETROS'!$K$2,MATCH(U101,JC_SE,0),MATCH(T101,CC_SE,0)),
IF(OR(AA101="DSRC/Estratégico",AA101="DSRC/Operativo"),OFFSET('PARÁMETROS'!$K$11,MATCH(U101,JC_DS,0),MATCH(T101,CC_DS,0)),
IF(AA101="SALUD",OFFSET('PARÁMETROS'!$K$29,MATCH(U101,JC_SA,0),MATCH(T101,CC_SA,0)),
IF(AA101="MEDIO AMBIENTE",OFFSET('PARÁMETROS'!$K$20,MATCH(U101,JC_MA,0),MATCH(T101,CC_MA,0)),
IF(AA101="Rel. Gubernamentales",OFFSET('PARÁMETROS'!$K$48,MATCH(U101,JC_G,0),MATCH(T101,CC_G,0)),
IF(AA101="OPERACIONAL",OFFSET('PARÁMETROS'!$K$56,MATCH(U101,JC_OP,0),MATCH(T101,CC_OP,0)),
IF(AA101="FINANCIERO",OFFSET('PARÁMETROS'!$K$56,MATCH(U101,JC_FI,0),MATCH(T101,CC_FI,0)),
OFFSET('PARÁMETROS'!$K$38,MATCH(U101,JC_L,0),MATCH(T101,CC_L,0))))))))),"")</f>
        <v/>
      </c>
      <c r="W101" s="130"/>
      <c r="X101" s="135"/>
      <c r="Y101" s="136"/>
      <c r="Z101" s="30"/>
      <c r="AA101" s="31" t="str">
        <f>E91</f>
        <v/>
      </c>
    </row>
    <row r="102" ht="87.0" customHeight="1">
      <c r="A102" s="129"/>
      <c r="B102" s="130"/>
      <c r="C102" s="130"/>
      <c r="D102" s="130"/>
      <c r="E102" s="130"/>
      <c r="F102" s="130"/>
      <c r="G102" s="130"/>
      <c r="H102" s="130"/>
      <c r="I102" s="130"/>
      <c r="J102" s="130"/>
      <c r="K102" s="130"/>
      <c r="L102" s="130"/>
      <c r="M102" s="130"/>
      <c r="N102" s="130"/>
      <c r="O102" s="130"/>
      <c r="P102" s="132"/>
      <c r="Q102" s="134"/>
      <c r="R102" s="134"/>
      <c r="S102" s="134"/>
      <c r="T102" s="135"/>
      <c r="U102" s="135"/>
      <c r="V102" s="135" t="str">
        <f>IFERROR(IF(AA102="SEGURIDAD",OFFSET('PARÁMETROS'!$K$2,MATCH(U102,JC_SE,0),MATCH(T102,CC_SE,0)),
IF(OR(AA102="DSRC/Estratégico",AA102="DSRC/Operativo"),OFFSET('PARÁMETROS'!$K$11,MATCH(U102,JC_DS,0),MATCH(T102,CC_DS,0)),
IF(AA102="SALUD",OFFSET('PARÁMETROS'!$K$29,MATCH(U102,JC_SA,0),MATCH(T102,CC_SA,0)),
IF(AA102="MEDIO AMBIENTE",OFFSET('PARÁMETROS'!$K$20,MATCH(U102,JC_MA,0),MATCH(T102,CC_MA,0)),
IF(AA102="Rel. Gubernamentales",OFFSET('PARÁMETROS'!$K$48,MATCH(U102,JC_G,0),MATCH(T102,CC_G,0)),
IF(AA102="OPERACIONAL",OFFSET('PARÁMETROS'!$K$56,MATCH(U102,JC_OP,0),MATCH(T102,CC_OP,0)),
IF(AA102="FINANCIERO",OFFSET('PARÁMETROS'!$K$56,MATCH(U102,JC_FI,0),MATCH(T102,CC_FI,0)),
OFFSET('PARÁMETROS'!$K$38,MATCH(U102,JC_L,0),MATCH(T102,CC_L,0))))))))),"")</f>
        <v/>
      </c>
      <c r="W102" s="130"/>
      <c r="X102" s="135"/>
      <c r="Y102" s="136"/>
      <c r="Z102" s="30"/>
      <c r="AA102" s="31" t="str">
        <f>E91</f>
        <v/>
      </c>
    </row>
    <row r="103" ht="87.0" customHeight="1">
      <c r="A103" s="129"/>
      <c r="B103" s="130"/>
      <c r="C103" s="130"/>
      <c r="D103" s="130"/>
      <c r="E103" s="130"/>
      <c r="F103" s="130"/>
      <c r="G103" s="130"/>
      <c r="H103" s="130"/>
      <c r="I103" s="130"/>
      <c r="J103" s="130"/>
      <c r="K103" s="130"/>
      <c r="L103" s="130"/>
      <c r="M103" s="130"/>
      <c r="N103" s="130"/>
      <c r="O103" s="130"/>
      <c r="P103" s="132"/>
      <c r="Q103" s="134"/>
      <c r="R103" s="134"/>
      <c r="S103" s="134"/>
      <c r="T103" s="135"/>
      <c r="U103" s="135"/>
      <c r="V103" s="135" t="str">
        <f>IFERROR(IF(AA103="SEGURIDAD",OFFSET('PARÁMETROS'!$K$2,MATCH(U103,JC_SE,0),MATCH(T103,CC_SE,0)),
IF(OR(AA103="DSRC/Estratégico",AA103="DSRC/Operativo"),OFFSET('PARÁMETROS'!$K$11,MATCH(U103,JC_DS,0),MATCH(T103,CC_DS,0)),
IF(AA103="SALUD",OFFSET('PARÁMETROS'!$K$29,MATCH(U103,JC_SA,0),MATCH(T103,CC_SA,0)),
IF(AA103="MEDIO AMBIENTE",OFFSET('PARÁMETROS'!$K$20,MATCH(U103,JC_MA,0),MATCH(T103,CC_MA,0)),
IF(AA103="Rel. Gubernamentales",OFFSET('PARÁMETROS'!$K$48,MATCH(U103,JC_G,0),MATCH(T103,CC_G,0)),
IF(AA103="OPERACIONAL",OFFSET('PARÁMETROS'!$K$56,MATCH(U103,JC_OP,0),MATCH(T103,CC_OP,0)),
IF(AA103="FINANCIERO",OFFSET('PARÁMETROS'!$K$56,MATCH(U103,JC_FI,0),MATCH(T103,CC_FI,0)),
OFFSET('PARÁMETROS'!$K$38,MATCH(U103,JC_L,0),MATCH(T103,CC_L,0))))))))),"")</f>
        <v/>
      </c>
      <c r="W103" s="130"/>
      <c r="X103" s="135"/>
      <c r="Y103" s="136"/>
      <c r="Z103" s="30"/>
      <c r="AA103" s="31" t="str">
        <f>E91</f>
        <v/>
      </c>
    </row>
    <row r="104" ht="87.0" customHeight="1">
      <c r="A104" s="129"/>
      <c r="B104" s="130"/>
      <c r="C104" s="130"/>
      <c r="D104" s="130"/>
      <c r="E104" s="130"/>
      <c r="F104" s="130"/>
      <c r="G104" s="130"/>
      <c r="H104" s="130"/>
      <c r="I104" s="130"/>
      <c r="J104" s="130"/>
      <c r="K104" s="130"/>
      <c r="L104" s="130"/>
      <c r="M104" s="130"/>
      <c r="N104" s="130"/>
      <c r="O104" s="130"/>
      <c r="P104" s="132"/>
      <c r="Q104" s="134"/>
      <c r="R104" s="134"/>
      <c r="S104" s="134"/>
      <c r="T104" s="135"/>
      <c r="U104" s="135"/>
      <c r="V104" s="135" t="str">
        <f>IFERROR(IF(AA104="SEGURIDAD",OFFSET('PARÁMETROS'!$K$2,MATCH(U104,JC_SE,0),MATCH(T104,CC_SE,0)),
IF(OR(AA104="DSRC/Estratégico",AA104="DSRC/Operativo"),OFFSET('PARÁMETROS'!$K$11,MATCH(U104,JC_DS,0),MATCH(T104,CC_DS,0)),
IF(AA104="SALUD",OFFSET('PARÁMETROS'!$K$29,MATCH(U104,JC_SA,0),MATCH(T104,CC_SA,0)),
IF(AA104="MEDIO AMBIENTE",OFFSET('PARÁMETROS'!$K$20,MATCH(U104,JC_MA,0),MATCH(T104,CC_MA,0)),
IF(AA104="Rel. Gubernamentales",OFFSET('PARÁMETROS'!$K$48,MATCH(U104,JC_G,0),MATCH(T104,CC_G,0)),
IF(AA104="OPERACIONAL",OFFSET('PARÁMETROS'!$K$56,MATCH(U104,JC_OP,0),MATCH(T104,CC_OP,0)),
IF(AA104="FINANCIERO",OFFSET('PARÁMETROS'!$K$56,MATCH(U104,JC_FI,0),MATCH(T104,CC_FI,0)),
OFFSET('PARÁMETROS'!$K$38,MATCH(U104,JC_L,0),MATCH(T104,CC_L,0))))))))),"")</f>
        <v/>
      </c>
      <c r="W104" s="130"/>
      <c r="X104" s="135"/>
      <c r="Y104" s="136"/>
      <c r="Z104" s="30"/>
      <c r="AA104" s="31" t="str">
        <f>E91</f>
        <v/>
      </c>
    </row>
    <row r="105" ht="87.0" customHeight="1">
      <c r="A105" s="129"/>
      <c r="B105" s="130"/>
      <c r="C105" s="130"/>
      <c r="D105" s="130"/>
      <c r="E105" s="130"/>
      <c r="F105" s="130"/>
      <c r="G105" s="130"/>
      <c r="H105" s="130"/>
      <c r="I105" s="130"/>
      <c r="J105" s="130"/>
      <c r="K105" s="130"/>
      <c r="L105" s="130"/>
      <c r="M105" s="130"/>
      <c r="N105" s="130"/>
      <c r="O105" s="130"/>
      <c r="P105" s="132"/>
      <c r="Q105" s="134"/>
      <c r="R105" s="134"/>
      <c r="S105" s="134"/>
      <c r="T105" s="135"/>
      <c r="U105" s="135"/>
      <c r="V105" s="135" t="str">
        <f>IFERROR(IF(AA105="SEGURIDAD",OFFSET('PARÁMETROS'!$K$2,MATCH(U105,JC_SE,0),MATCH(T105,CC_SE,0)),
IF(OR(AA105="DSRC/Estratégico",AA105="DSRC/Operativo"),OFFSET('PARÁMETROS'!$K$11,MATCH(U105,JC_DS,0),MATCH(T105,CC_DS,0)),
IF(AA105="SALUD",OFFSET('PARÁMETROS'!$K$29,MATCH(U105,JC_SA,0),MATCH(T105,CC_SA,0)),
IF(AA105="MEDIO AMBIENTE",OFFSET('PARÁMETROS'!$K$20,MATCH(U105,JC_MA,0),MATCH(T105,CC_MA,0)),
IF(AA105="Rel. Gubernamentales",OFFSET('PARÁMETROS'!$K$48,MATCH(U105,JC_G,0),MATCH(T105,CC_G,0)),
IF(AA105="OPERACIONAL",OFFSET('PARÁMETROS'!$K$56,MATCH(U105,JC_OP,0),MATCH(T105,CC_OP,0)),
IF(AA105="FINANCIERO",OFFSET('PARÁMETROS'!$K$56,MATCH(U105,JC_FI,0),MATCH(T105,CC_FI,0)),
OFFSET('PARÁMETROS'!$K$38,MATCH(U105,JC_L,0),MATCH(T105,CC_L,0))))))))),"")</f>
        <v/>
      </c>
      <c r="W105" s="130"/>
      <c r="X105" s="135"/>
      <c r="Y105" s="136"/>
      <c r="Z105" s="30"/>
      <c r="AA105" s="31" t="str">
        <f>E91</f>
        <v/>
      </c>
    </row>
    <row r="106" ht="87.0" customHeight="1">
      <c r="A106" s="89"/>
      <c r="B106" s="90"/>
      <c r="C106" s="90"/>
      <c r="D106" s="90"/>
      <c r="E106" s="90"/>
      <c r="F106" s="90"/>
      <c r="G106" s="90"/>
      <c r="H106" s="90"/>
      <c r="I106" s="90"/>
      <c r="J106" s="90"/>
      <c r="K106" s="90"/>
      <c r="L106" s="90"/>
      <c r="M106" s="90"/>
      <c r="N106" s="90"/>
      <c r="O106" s="90"/>
      <c r="P106" s="132"/>
      <c r="Q106" s="134"/>
      <c r="R106" s="145"/>
      <c r="S106" s="145"/>
      <c r="T106" s="135"/>
      <c r="U106" s="135"/>
      <c r="V106" s="135" t="str">
        <f>IFERROR(IF(AA106="SEGURIDAD",OFFSET('PARÁMETROS'!$K$2,MATCH(U106,JC_SE,0),MATCH(T106,CC_SE,0)),
IF(OR(AA106="DSRC/Estratégico",AA106="DSRC/Operativo"),OFFSET('PARÁMETROS'!$K$11,MATCH(U106,JC_DS,0),MATCH(T106,CC_DS,0)),
IF(AA106="SALUD",OFFSET('PARÁMETROS'!$K$29,MATCH(U106,JC_SA,0),MATCH(T106,CC_SA,0)),
IF(AA106="MEDIO AMBIENTE",OFFSET('PARÁMETROS'!$K$20,MATCH(U106,JC_MA,0),MATCH(T106,CC_MA,0)),
IF(AA106="Rel. Gubernamentales",OFFSET('PARÁMETROS'!$K$48,MATCH(U106,JC_G,0),MATCH(T106,CC_G,0)),
IF(AA106="OPERACIONAL",OFFSET('PARÁMETROS'!$K$56,MATCH(U106,JC_OP,0),MATCH(T106,CC_OP,0)),
IF(AA106="FINANCIERO",OFFSET('PARÁMETROS'!$K$56,MATCH(U106,JC_FI,0),MATCH(T106,CC_FI,0)),
OFFSET('PARÁMETROS'!$K$38,MATCH(U106,JC_L,0),MATCH(T106,CC_L,0))))))))),"")</f>
        <v/>
      </c>
      <c r="W106" s="90"/>
      <c r="X106" s="135"/>
      <c r="Y106" s="136"/>
      <c r="Z106" s="30"/>
      <c r="AA106" s="31" t="str">
        <f>E91</f>
        <v/>
      </c>
    </row>
    <row r="107" ht="87.0" customHeight="1">
      <c r="A107" s="102"/>
      <c r="B107" s="103"/>
      <c r="C107" s="103"/>
      <c r="D107" s="103"/>
      <c r="E107" s="103"/>
      <c r="F107" s="103"/>
      <c r="G107" s="105"/>
      <c r="H107" s="103"/>
      <c r="I107" s="105"/>
      <c r="J107" s="103"/>
      <c r="K107" s="103"/>
      <c r="L107" s="103" t="str">
        <f>IF(OR(J107&lt;&gt;"",K107&lt;&gt;""),OFFSET('PARÁMETROS'!$B$2,K107,J107),"")</f>
        <v/>
      </c>
      <c r="M107" s="103"/>
      <c r="N107" s="103">
        <f>IFERROR(L107*M107,"")</f>
        <v>0</v>
      </c>
      <c r="O107" s="108" t="str">
        <f>IF(N107="","",IFERROR(IF(N107&lt;=2,"ACEPTABLE",IF(N107&lt;=6,"BAJA",IF(N107&lt;=10,"ACEPTABLE CON REVISIÓN",IF(N107&lt;=15,"SUSTANCIAL","INACEPTABLE")))),""))</f>
        <v>ACEPTABLE</v>
      </c>
      <c r="P107" s="113"/>
      <c r="Q107" s="114"/>
      <c r="R107" s="114"/>
      <c r="S107" s="114"/>
      <c r="T107" s="115"/>
      <c r="U107" s="115"/>
      <c r="V107" s="115" t="str">
        <f>IFERROR(IF(AA107="SEGURIDAD",OFFSET('PARÁMETROS'!$K$2,MATCH(U107,JC_SE,0),MATCH(T107,CC_SE,0)),
IF(OR(AA107="DSRC/Estratégico",AA107="DSRC/Operativo"),OFFSET('PARÁMETROS'!$K$11,MATCH(U107,JC_DS,0),MATCH(T107,CC_DS,0)),
IF(AA107="SALUD",OFFSET('PARÁMETROS'!$K$29,MATCH(U107,JC_SA,0),MATCH(T107,CC_SA,0)),
IF(AA107="MEDIO AMBIENTE",OFFSET('PARÁMETROS'!$K$20,MATCH(U107,JC_MA,0),MATCH(T107,CC_MA,0)),
IF(AA107="Rel. Gubernamentales",OFFSET('PARÁMETROS'!$K$48,MATCH(U107,JC_G,0),MATCH(T107,CC_G,0)),
IF(AA107="OPERACIONAL",OFFSET('PARÁMETROS'!$K$56,MATCH(U107,JC_OP,0),MATCH(T107,CC_OP,0)),
IF(AA107="FINANCIERO",OFFSET('PARÁMETROS'!$K$56,MATCH(U107,JC_FI,0),MATCH(T107,CC_FI,0)),
OFFSET('PARÁMETROS'!$K$38,MATCH(U107,JC_L,0),MATCH(T107,CC_L,0))))))))),"")</f>
        <v/>
      </c>
      <c r="W107" s="108" t="str">
        <f>IF(E107="","",
IF(COUNTA(V107:V122)-COUNTBLANK(V107:V122)=1,
IF(O107="INACEPTABLE",IF(COUNTIF(V107:V122,"Control/Acción Eficaz")&gt;=1,"SUSTANCIAL","INACEPTABLE"),
IF(O107="SUSTANCIAL",IF(COUNTIF(V107:V122,"Control/Acción Eficaz")&gt;=1,"ACEPTABLE CON REVISIÓN","SUSTANCIAL"),
IF(O107="ACEPTABLE CON REVISIÓN",IF(COUNTIF(V107:V122,"Control/Acción Eficaz")&gt;=1,"BAJA","ACEPTABLE CON REVISIÓN"),
IF(O107="BAJA",IF(COUNTIF(V107:V122,"Control/Acción Eficaz")&gt;=1,"ACEPTABLE","BAJA"),)))),
IF(COUNTA(V107:V122)-COUNTBLANK(V107:V122)=2,
IF(O107="INACEPTABLE",IF(COUNTIF(V107:V122,"Control/Acción Eficaz")=2,"ACEPTABLE CON REVISIÓN",
IF(OR(AND(COUNTIF(V107:V122,"Control/Acción Eficaz")=1,COUNTIF(V107:V122,"Control/Acción Satisfactorio")=1),
AND(COUNTIF(V107:V122,"Control/Acción Eficaz")=1,COUNTIF(V107:V122,"Control/Acción No Eficaz")=1)),"SUSTANCIAL","INACEPTABLE")),
IF(O107="SUSTANCIAL",IF(COUNTIF(V107:V122,"Control/Acción Eficaz")=2,"BAJA",
IF(OR(AND(COUNTIF(V107:V122,"Control/Acción Eficaz")=1,COUNTIF(V107:V122,"Control/Acción Satisfactorio")=1),
AND(COUNTIF(V107:V122,"Control/Acción Eficaz")=1,COUNTIF(V107:V122,"Control/Acción No Eficaz")=1)),"ACEPTABLE CON REVISIÓN ","SUSTANCIAL")),
IF(O107="ACEPTABLE CON REVISIÓN",IF(COUNTIF(V107:V122,"Control/Acción Eficaz")=2,"ACEPTABLE",
IF(OR(AND(COUNTIF(V107:V122,"Control/Acción Eficaz")=1,COUNTIF(V107:V122,"Control/Acción Satisfactorio")=1),
AND(COUNTIF(V107:V122,"Control/Acción Eficaz")=1,COUNTIF(V107:V122,"Control/Acción No Eficaz")=1)),"BAJA","ACEPTABLE CON REVISIÓN")),
IF(O107="BAJA",IF(COUNTIF(V107:V122,"Control/Acción Eficaz")&gt;=2,"ACEPTABLE","BAJA"),)))),
IF(COUNTA(V107:V122)-COUNTBLANK(V107:V122)&gt;=3,
IF(O107="INACEPTABLE",
IF(COUNTBLANK(V107:V122)=COUNTA(V107:V122),"",
IF(COUNTIF(V107:V122,"Control/Acción No Eficaz")&gt;=2,"INACEPTABLE",
IF(AND(COUNTIF(V107:V122,"Control/Acción No Eficaz")=0,COUNTIF(V107:V122,"Control/Acción Eficaz")&gt;=2),"ACEPTABLE CON REVISIÓN ","SUSTANCIAL"))),
IF(O107="SUSTANCIAL",
IF(COUNTBLANK(V107:V122)=COUNTA(V107:V122),"",
IF(COUNTIF(V107:V122,"Control/Acción No Eficaz")&gt;=2,"SUSTANCIAL",
IF(AND(COUNTIF(V107:V122,"Control/Acción No Eficaz")=0,COUNTIF(V107:V122,"Control/Acción Eficaz")&gt;=2),"BAJA","ACEPTABLE CON REVISIÓN"))),
IF(O107="ACEPTABLE CON REVISIÓN",
IF(COUNTBLANK(V107:V122)=COUNTA(V107:V122),"",
IF(COUNTIF(V107:V122,"Control/Acción No Eficaz")&gt;=2,"ACEPTABLE CON REVISIÓN",
IF(AND(COUNTIF(V107:V122,"Control/Acción No Eficaz")=0,COUNTIF(V107:V122,"Control/Acción Eficaz")&gt;=2),"ACEPTABLE","BAJA"))),
IF(O107="BAJA",
IF(COUNTBLANK(V107:V122)=COUNTA(V107:V122),"",
IF(AND(COUNTBLANK(V107:V122)&lt;1,COUNTA(V107:V122)=1),
IF(COUNTIF(V107:V122,"Control/Acción No Eficaz")&gt;=2,"BAJA",
IF(AND(COUNTIF(V107:V122,"Control/Acción No Eficaz")=0,COUNTIF(V107:V122,"Control/Acción Eficaz")&gt;=2),"ACEPTABLE","BAJA")),
IF(COUNTIF(V107:V122,"Control/Acción No Eficaz")&gt;=2,"BAJA",
IF(AND(COUNTIF(V107:V122,"Control/Acción No Eficaz")=0,COUNTIF(V107:V122,"Control/Acción Eficaz")&gt;=2),"ACEPTABLE","BAJA")))),
IF(COUNTIF(V107:V122,"")&gt;=5,"",O107))))),
""))))</f>
        <v/>
      </c>
      <c r="X107" s="115"/>
      <c r="Y107" s="128"/>
      <c r="Z107" s="30"/>
      <c r="AA107" s="31" t="str">
        <f>E107</f>
        <v/>
      </c>
    </row>
    <row r="108" ht="87.0" customHeight="1">
      <c r="A108" s="129"/>
      <c r="B108" s="130"/>
      <c r="C108" s="130"/>
      <c r="D108" s="130"/>
      <c r="E108" s="130"/>
      <c r="F108" s="130"/>
      <c r="G108" s="130"/>
      <c r="H108" s="130"/>
      <c r="I108" s="130"/>
      <c r="J108" s="130"/>
      <c r="K108" s="130"/>
      <c r="L108" s="130"/>
      <c r="M108" s="130"/>
      <c r="N108" s="130"/>
      <c r="O108" s="130"/>
      <c r="P108" s="132"/>
      <c r="Q108" s="134"/>
      <c r="R108" s="134"/>
      <c r="S108" s="134"/>
      <c r="T108" s="135"/>
      <c r="U108" s="135"/>
      <c r="V108" s="135" t="str">
        <f>IFERROR(IF(AA108="SEGURIDAD",OFFSET('PARÁMETROS'!$K$2,MATCH(U108,JC_SE,0),MATCH(T108,CC_SE,0)),
IF(OR(AA108="DSRC/Estratégico",AA108="DSRC/Operativo"),OFFSET('PARÁMETROS'!$K$11,MATCH(U108,JC_DS,0),MATCH(T108,CC_DS,0)),
IF(AA108="SALUD",OFFSET('PARÁMETROS'!$K$29,MATCH(U108,JC_SA,0),MATCH(T108,CC_SA,0)),
IF(AA108="MEDIO AMBIENTE",OFFSET('PARÁMETROS'!$K$20,MATCH(U108,JC_MA,0),MATCH(T108,CC_MA,0)),
IF(AA108="Rel. Gubernamentales",OFFSET('PARÁMETROS'!$K$48,MATCH(U108,JC_G,0),MATCH(T108,CC_G,0)),
IF(AA108="OPERACIONAL",OFFSET('PARÁMETROS'!$K$56,MATCH(U108,JC_OP,0),MATCH(T108,CC_OP,0)),
IF(AA108="FINANCIERO",OFFSET('PARÁMETROS'!$K$56,MATCH(U108,JC_FI,0),MATCH(T108,CC_FI,0)),
OFFSET('PARÁMETROS'!$K$38,MATCH(U108,JC_L,0),MATCH(T108,CC_L,0))))))))),"")</f>
        <v/>
      </c>
      <c r="W108" s="130"/>
      <c r="X108" s="135"/>
      <c r="Y108" s="136"/>
      <c r="Z108" s="30"/>
      <c r="AA108" s="31" t="str">
        <f>E107</f>
        <v/>
      </c>
    </row>
    <row r="109" ht="87.0" customHeight="1">
      <c r="A109" s="129"/>
      <c r="B109" s="130"/>
      <c r="C109" s="130"/>
      <c r="D109" s="130"/>
      <c r="E109" s="130"/>
      <c r="F109" s="130"/>
      <c r="G109" s="130"/>
      <c r="H109" s="130"/>
      <c r="I109" s="130"/>
      <c r="J109" s="130"/>
      <c r="K109" s="130"/>
      <c r="L109" s="130"/>
      <c r="M109" s="130"/>
      <c r="N109" s="130"/>
      <c r="O109" s="130"/>
      <c r="P109" s="132"/>
      <c r="Q109" s="134"/>
      <c r="R109" s="134"/>
      <c r="S109" s="134"/>
      <c r="T109" s="135"/>
      <c r="U109" s="135"/>
      <c r="V109" s="135" t="str">
        <f>IFERROR(IF(AA109="SEGURIDAD",OFFSET('PARÁMETROS'!$K$2,MATCH(U109,JC_SE,0),MATCH(T109,CC_SE,0)),
IF(OR(AA109="DSRC/Estratégico",AA109="DSRC/Operativo"),OFFSET('PARÁMETROS'!$K$11,MATCH(U109,JC_DS,0),MATCH(T109,CC_DS,0)),
IF(AA109="SALUD",OFFSET('PARÁMETROS'!$K$29,MATCH(U109,JC_SA,0),MATCH(T109,CC_SA,0)),
IF(AA109="MEDIO AMBIENTE",OFFSET('PARÁMETROS'!$K$20,MATCH(U109,JC_MA,0),MATCH(T109,CC_MA,0)),
IF(AA109="Rel. Gubernamentales",OFFSET('PARÁMETROS'!$K$48,MATCH(U109,JC_G,0),MATCH(T109,CC_G,0)),
IF(AA109="OPERACIONAL",OFFSET('PARÁMETROS'!$K$56,MATCH(U109,JC_OP,0),MATCH(T109,CC_OP,0)),
IF(AA109="FINANCIERO",OFFSET('PARÁMETROS'!$K$56,MATCH(U109,JC_FI,0),MATCH(T109,CC_FI,0)),
OFFSET('PARÁMETROS'!$K$38,MATCH(U109,JC_L,0),MATCH(T109,CC_L,0))))))))),"")</f>
        <v/>
      </c>
      <c r="W109" s="130"/>
      <c r="X109" s="135"/>
      <c r="Y109" s="136"/>
      <c r="Z109" s="30"/>
      <c r="AA109" s="31" t="str">
        <f>E107</f>
        <v/>
      </c>
    </row>
    <row r="110" ht="87.0" customHeight="1">
      <c r="A110" s="129"/>
      <c r="B110" s="130"/>
      <c r="C110" s="130"/>
      <c r="D110" s="130"/>
      <c r="E110" s="130"/>
      <c r="F110" s="130"/>
      <c r="G110" s="130"/>
      <c r="H110" s="130"/>
      <c r="I110" s="130"/>
      <c r="J110" s="130"/>
      <c r="K110" s="130"/>
      <c r="L110" s="130"/>
      <c r="M110" s="130"/>
      <c r="N110" s="130"/>
      <c r="O110" s="130"/>
      <c r="P110" s="132"/>
      <c r="Q110" s="134"/>
      <c r="R110" s="134"/>
      <c r="S110" s="134"/>
      <c r="T110" s="135"/>
      <c r="U110" s="135"/>
      <c r="V110" s="135" t="str">
        <f>IFERROR(IF(AA110="SEGURIDAD",OFFSET('PARÁMETROS'!$K$2,MATCH(U110,JC_SE,0),MATCH(T110,CC_SE,0)),
IF(OR(AA110="DSRC/Estratégico",AA110="DSRC/Operativo"),OFFSET('PARÁMETROS'!$K$11,MATCH(U110,JC_DS,0),MATCH(T110,CC_DS,0)),
IF(AA110="SALUD",OFFSET('PARÁMETROS'!$K$29,MATCH(U110,JC_SA,0),MATCH(T110,CC_SA,0)),
IF(AA110="MEDIO AMBIENTE",OFFSET('PARÁMETROS'!$K$20,MATCH(U110,JC_MA,0),MATCH(T110,CC_MA,0)),
IF(AA110="Rel. Gubernamentales",OFFSET('PARÁMETROS'!$K$48,MATCH(U110,JC_G,0),MATCH(T110,CC_G,0)),
IF(AA110="OPERACIONAL",OFFSET('PARÁMETROS'!$K$56,MATCH(U110,JC_OP,0),MATCH(T110,CC_OP,0)),
IF(AA110="FINANCIERO",OFFSET('PARÁMETROS'!$K$56,MATCH(U110,JC_FI,0),MATCH(T110,CC_FI,0)),
OFFSET('PARÁMETROS'!$K$38,MATCH(U110,JC_L,0),MATCH(T110,CC_L,0))))))))),"")</f>
        <v/>
      </c>
      <c r="W110" s="130"/>
      <c r="X110" s="135"/>
      <c r="Y110" s="136"/>
      <c r="Z110" s="30"/>
      <c r="AA110" s="31" t="str">
        <f>E107</f>
        <v/>
      </c>
    </row>
    <row r="111" ht="87.0" customHeight="1">
      <c r="A111" s="129"/>
      <c r="B111" s="130"/>
      <c r="C111" s="130"/>
      <c r="D111" s="130"/>
      <c r="E111" s="130"/>
      <c r="F111" s="130"/>
      <c r="G111" s="130"/>
      <c r="H111" s="130"/>
      <c r="I111" s="130"/>
      <c r="J111" s="130"/>
      <c r="K111" s="130"/>
      <c r="L111" s="130"/>
      <c r="M111" s="130"/>
      <c r="N111" s="130"/>
      <c r="O111" s="130"/>
      <c r="P111" s="132"/>
      <c r="Q111" s="134"/>
      <c r="R111" s="134"/>
      <c r="S111" s="134"/>
      <c r="T111" s="135"/>
      <c r="U111" s="135"/>
      <c r="V111" s="135" t="str">
        <f>IFERROR(IF(AA111="SEGURIDAD",OFFSET('PARÁMETROS'!$K$2,MATCH(U111,JC_SE,0),MATCH(T111,CC_SE,0)),
IF(OR(AA111="DSRC/Estratégico",AA111="DSRC/Operativo"),OFFSET('PARÁMETROS'!$K$11,MATCH(U111,JC_DS,0),MATCH(T111,CC_DS,0)),
IF(AA111="SALUD",OFFSET('PARÁMETROS'!$K$29,MATCH(U111,JC_SA,0),MATCH(T111,CC_SA,0)),
IF(AA111="MEDIO AMBIENTE",OFFSET('PARÁMETROS'!$K$20,MATCH(U111,JC_MA,0),MATCH(T111,CC_MA,0)),
IF(AA111="Rel. Gubernamentales",OFFSET('PARÁMETROS'!$K$48,MATCH(U111,JC_G,0),MATCH(T111,CC_G,0)),
IF(AA111="OPERACIONAL",OFFSET('PARÁMETROS'!$K$56,MATCH(U111,JC_OP,0),MATCH(T111,CC_OP,0)),
IF(AA111="FINANCIERO",OFFSET('PARÁMETROS'!$K$56,MATCH(U111,JC_FI,0),MATCH(T111,CC_FI,0)),
OFFSET('PARÁMETROS'!$K$38,MATCH(U111,JC_L,0),MATCH(T111,CC_L,0))))))))),"")</f>
        <v/>
      </c>
      <c r="W111" s="130"/>
      <c r="X111" s="135"/>
      <c r="Y111" s="136"/>
      <c r="Z111" s="30"/>
      <c r="AA111" s="31" t="str">
        <f>E107</f>
        <v/>
      </c>
    </row>
    <row r="112" ht="87.0" customHeight="1">
      <c r="A112" s="129"/>
      <c r="B112" s="130"/>
      <c r="C112" s="130"/>
      <c r="D112" s="130"/>
      <c r="E112" s="130"/>
      <c r="F112" s="130"/>
      <c r="G112" s="130"/>
      <c r="H112" s="130"/>
      <c r="I112" s="130"/>
      <c r="J112" s="130"/>
      <c r="K112" s="130"/>
      <c r="L112" s="130"/>
      <c r="M112" s="130"/>
      <c r="N112" s="130"/>
      <c r="O112" s="130"/>
      <c r="P112" s="132"/>
      <c r="Q112" s="134"/>
      <c r="R112" s="134"/>
      <c r="S112" s="134"/>
      <c r="T112" s="135"/>
      <c r="U112" s="135"/>
      <c r="V112" s="135" t="str">
        <f>IFERROR(IF(AA112="SEGURIDAD",OFFSET('PARÁMETROS'!$K$2,MATCH(U112,JC_SE,0),MATCH(T112,CC_SE,0)),
IF(OR(AA112="DSRC/Estratégico",AA112="DSRC/Operativo"),OFFSET('PARÁMETROS'!$K$11,MATCH(U112,JC_DS,0),MATCH(T112,CC_DS,0)),
IF(AA112="SALUD",OFFSET('PARÁMETROS'!$K$29,MATCH(U112,JC_SA,0),MATCH(T112,CC_SA,0)),
IF(AA112="MEDIO AMBIENTE",OFFSET('PARÁMETROS'!$K$20,MATCH(U112,JC_MA,0),MATCH(T112,CC_MA,0)),
IF(AA112="Rel. Gubernamentales",OFFSET('PARÁMETROS'!$K$48,MATCH(U112,JC_G,0),MATCH(T112,CC_G,0)),
IF(AA112="OPERACIONAL",OFFSET('PARÁMETROS'!$K$56,MATCH(U112,JC_OP,0),MATCH(T112,CC_OP,0)),
IF(AA112="FINANCIERO",OFFSET('PARÁMETROS'!$K$56,MATCH(U112,JC_FI,0),MATCH(T112,CC_FI,0)),
OFFSET('PARÁMETROS'!$K$38,MATCH(U112,JC_L,0),MATCH(T112,CC_L,0))))))))),"")</f>
        <v/>
      </c>
      <c r="W112" s="130"/>
      <c r="X112" s="135"/>
      <c r="Y112" s="136"/>
      <c r="Z112" s="30"/>
      <c r="AA112" s="31" t="str">
        <f>E107</f>
        <v/>
      </c>
    </row>
    <row r="113" ht="87.0" customHeight="1">
      <c r="A113" s="129"/>
      <c r="B113" s="130"/>
      <c r="C113" s="130"/>
      <c r="D113" s="130"/>
      <c r="E113" s="130"/>
      <c r="F113" s="130"/>
      <c r="G113" s="130"/>
      <c r="H113" s="130"/>
      <c r="I113" s="130"/>
      <c r="J113" s="130"/>
      <c r="K113" s="130"/>
      <c r="L113" s="130"/>
      <c r="M113" s="130"/>
      <c r="N113" s="130"/>
      <c r="O113" s="130"/>
      <c r="P113" s="132"/>
      <c r="Q113" s="134"/>
      <c r="R113" s="134"/>
      <c r="S113" s="134"/>
      <c r="T113" s="135"/>
      <c r="U113" s="135"/>
      <c r="V113" s="135" t="str">
        <f>IFERROR(IF(AA113="SEGURIDAD",OFFSET('PARÁMETROS'!$K$2,MATCH(U113,JC_SE,0),MATCH(T113,CC_SE,0)),
IF(OR(AA113="DSRC/Estratégico",AA113="DSRC/Operativo"),OFFSET('PARÁMETROS'!$K$11,MATCH(U113,JC_DS,0),MATCH(T113,CC_DS,0)),
IF(AA113="SALUD",OFFSET('PARÁMETROS'!$K$29,MATCH(U113,JC_SA,0),MATCH(T113,CC_SA,0)),
IF(AA113="MEDIO AMBIENTE",OFFSET('PARÁMETROS'!$K$20,MATCH(U113,JC_MA,0),MATCH(T113,CC_MA,0)),
IF(AA113="Rel. Gubernamentales",OFFSET('PARÁMETROS'!$K$48,MATCH(U113,JC_G,0),MATCH(T113,CC_G,0)),
IF(AA113="OPERACIONAL",OFFSET('PARÁMETROS'!$K$56,MATCH(U113,JC_OP,0),MATCH(T113,CC_OP,0)),
IF(AA113="FINANCIERO",OFFSET('PARÁMETROS'!$K$56,MATCH(U113,JC_FI,0),MATCH(T113,CC_FI,0)),
OFFSET('PARÁMETROS'!$K$38,MATCH(U113,JC_L,0),MATCH(T113,CC_L,0))))))))),"")</f>
        <v/>
      </c>
      <c r="W113" s="130"/>
      <c r="X113" s="135"/>
      <c r="Y113" s="136"/>
      <c r="Z113" s="30"/>
      <c r="AA113" s="31" t="str">
        <f>E107</f>
        <v/>
      </c>
    </row>
    <row r="114" ht="87.0" customHeight="1">
      <c r="A114" s="129"/>
      <c r="B114" s="130"/>
      <c r="C114" s="130"/>
      <c r="D114" s="130"/>
      <c r="E114" s="130"/>
      <c r="F114" s="130"/>
      <c r="G114" s="130"/>
      <c r="H114" s="130"/>
      <c r="I114" s="130"/>
      <c r="J114" s="130"/>
      <c r="K114" s="130"/>
      <c r="L114" s="130"/>
      <c r="M114" s="130"/>
      <c r="N114" s="130"/>
      <c r="O114" s="130"/>
      <c r="P114" s="132"/>
      <c r="Q114" s="134"/>
      <c r="R114" s="134"/>
      <c r="S114" s="134"/>
      <c r="T114" s="135"/>
      <c r="U114" s="135"/>
      <c r="V114" s="135" t="str">
        <f>IFERROR(IF(AA114="SEGURIDAD",OFFSET('PARÁMETROS'!$K$2,MATCH(U114,JC_SE,0),MATCH(T114,CC_SE,0)),
IF(OR(AA114="DSRC/Estratégico",AA114="DSRC/Operativo"),OFFSET('PARÁMETROS'!$K$11,MATCH(U114,JC_DS,0),MATCH(T114,CC_DS,0)),
IF(AA114="SALUD",OFFSET('PARÁMETROS'!$K$29,MATCH(U114,JC_SA,0),MATCH(T114,CC_SA,0)),
IF(AA114="MEDIO AMBIENTE",OFFSET('PARÁMETROS'!$K$20,MATCH(U114,JC_MA,0),MATCH(T114,CC_MA,0)),
IF(AA114="Rel. Gubernamentales",OFFSET('PARÁMETROS'!$K$48,MATCH(U114,JC_G,0),MATCH(T114,CC_G,0)),
IF(AA114="OPERACIONAL",OFFSET('PARÁMETROS'!$K$56,MATCH(U114,JC_OP,0),MATCH(T114,CC_OP,0)),
IF(AA114="FINANCIERO",OFFSET('PARÁMETROS'!$K$56,MATCH(U114,JC_FI,0),MATCH(T114,CC_FI,0)),
OFFSET('PARÁMETROS'!$K$38,MATCH(U114,JC_L,0),MATCH(T114,CC_L,0))))))))),"")</f>
        <v/>
      </c>
      <c r="W114" s="130"/>
      <c r="X114" s="135"/>
      <c r="Y114" s="136"/>
      <c r="Z114" s="30"/>
      <c r="AA114" s="31" t="str">
        <f>E107</f>
        <v/>
      </c>
    </row>
    <row r="115" ht="87.0" customHeight="1">
      <c r="A115" s="129"/>
      <c r="B115" s="130"/>
      <c r="C115" s="130"/>
      <c r="D115" s="130"/>
      <c r="E115" s="130"/>
      <c r="F115" s="130"/>
      <c r="G115" s="130"/>
      <c r="H115" s="130"/>
      <c r="I115" s="130"/>
      <c r="J115" s="130"/>
      <c r="K115" s="130"/>
      <c r="L115" s="130"/>
      <c r="M115" s="130"/>
      <c r="N115" s="130"/>
      <c r="O115" s="130"/>
      <c r="P115" s="132"/>
      <c r="Q115" s="134"/>
      <c r="R115" s="134"/>
      <c r="S115" s="134"/>
      <c r="T115" s="135"/>
      <c r="U115" s="135"/>
      <c r="V115" s="135" t="str">
        <f>IFERROR(IF(AA115="SEGURIDAD",OFFSET('PARÁMETROS'!$K$2,MATCH(U115,JC_SE,0),MATCH(T115,CC_SE,0)),
IF(OR(AA115="DSRC/Estratégico",AA115="DSRC/Operativo"),OFFSET('PARÁMETROS'!$K$11,MATCH(U115,JC_DS,0),MATCH(T115,CC_DS,0)),
IF(AA115="SALUD",OFFSET('PARÁMETROS'!$K$29,MATCH(U115,JC_SA,0),MATCH(T115,CC_SA,0)),
IF(AA115="MEDIO AMBIENTE",OFFSET('PARÁMETROS'!$K$20,MATCH(U115,JC_MA,0),MATCH(T115,CC_MA,0)),
IF(AA115="Rel. Gubernamentales",OFFSET('PARÁMETROS'!$K$48,MATCH(U115,JC_G,0),MATCH(T115,CC_G,0)),
IF(AA115="OPERACIONAL",OFFSET('PARÁMETROS'!$K$56,MATCH(U115,JC_OP,0),MATCH(T115,CC_OP,0)),
IF(AA115="FINANCIERO",OFFSET('PARÁMETROS'!$K$56,MATCH(U115,JC_FI,0),MATCH(T115,CC_FI,0)),
OFFSET('PARÁMETROS'!$K$38,MATCH(U115,JC_L,0),MATCH(T115,CC_L,0))))))))),"")</f>
        <v/>
      </c>
      <c r="W115" s="130"/>
      <c r="X115" s="135"/>
      <c r="Y115" s="136"/>
      <c r="Z115" s="30"/>
      <c r="AA115" s="31" t="str">
        <f>E107</f>
        <v/>
      </c>
    </row>
    <row r="116" ht="87.0" customHeight="1">
      <c r="A116" s="129"/>
      <c r="B116" s="130"/>
      <c r="C116" s="130"/>
      <c r="D116" s="130"/>
      <c r="E116" s="130"/>
      <c r="F116" s="130"/>
      <c r="G116" s="130"/>
      <c r="H116" s="130"/>
      <c r="I116" s="130"/>
      <c r="J116" s="130"/>
      <c r="K116" s="130"/>
      <c r="L116" s="130"/>
      <c r="M116" s="130"/>
      <c r="N116" s="130"/>
      <c r="O116" s="130"/>
      <c r="P116" s="132"/>
      <c r="Q116" s="134"/>
      <c r="R116" s="134"/>
      <c r="S116" s="134"/>
      <c r="T116" s="135"/>
      <c r="U116" s="135"/>
      <c r="V116" s="135" t="str">
        <f>IFERROR(IF(AA116="SEGURIDAD",OFFSET('PARÁMETROS'!$K$2,MATCH(U116,JC_SE,0),MATCH(T116,CC_SE,0)),
IF(OR(AA116="DSRC/Estratégico",AA116="DSRC/Operativo"),OFFSET('PARÁMETROS'!$K$11,MATCH(U116,JC_DS,0),MATCH(T116,CC_DS,0)),
IF(AA116="SALUD",OFFSET('PARÁMETROS'!$K$29,MATCH(U116,JC_SA,0),MATCH(T116,CC_SA,0)),
IF(AA116="MEDIO AMBIENTE",OFFSET('PARÁMETROS'!$K$20,MATCH(U116,JC_MA,0),MATCH(T116,CC_MA,0)),
IF(AA116="Rel. Gubernamentales",OFFSET('PARÁMETROS'!$K$48,MATCH(U116,JC_G,0),MATCH(T116,CC_G,0)),
IF(AA116="OPERACIONAL",OFFSET('PARÁMETROS'!$K$56,MATCH(U116,JC_OP,0),MATCH(T116,CC_OP,0)),
IF(AA116="FINANCIERO",OFFSET('PARÁMETROS'!$K$56,MATCH(U116,JC_FI,0),MATCH(T116,CC_FI,0)),
OFFSET('PARÁMETROS'!$K$38,MATCH(U116,JC_L,0),MATCH(T116,CC_L,0))))))))),"")</f>
        <v/>
      </c>
      <c r="W116" s="130"/>
      <c r="X116" s="135"/>
      <c r="Y116" s="136"/>
      <c r="Z116" s="30"/>
      <c r="AA116" s="31" t="str">
        <f>E107</f>
        <v/>
      </c>
    </row>
    <row r="117" ht="87.0" customHeight="1">
      <c r="A117" s="129"/>
      <c r="B117" s="130"/>
      <c r="C117" s="130"/>
      <c r="D117" s="130"/>
      <c r="E117" s="130"/>
      <c r="F117" s="130"/>
      <c r="G117" s="130"/>
      <c r="H117" s="130"/>
      <c r="I117" s="130"/>
      <c r="J117" s="130"/>
      <c r="K117" s="130"/>
      <c r="L117" s="130"/>
      <c r="M117" s="130"/>
      <c r="N117" s="130"/>
      <c r="O117" s="130"/>
      <c r="P117" s="132"/>
      <c r="Q117" s="134"/>
      <c r="R117" s="134"/>
      <c r="S117" s="134"/>
      <c r="T117" s="135"/>
      <c r="U117" s="135"/>
      <c r="V117" s="135" t="str">
        <f>IFERROR(IF(AA117="SEGURIDAD",OFFSET('PARÁMETROS'!$K$2,MATCH(U117,JC_SE,0),MATCH(T117,CC_SE,0)),
IF(OR(AA117="DSRC/Estratégico",AA117="DSRC/Operativo"),OFFSET('PARÁMETROS'!$K$11,MATCH(U117,JC_DS,0),MATCH(T117,CC_DS,0)),
IF(AA117="SALUD",OFFSET('PARÁMETROS'!$K$29,MATCH(U117,JC_SA,0),MATCH(T117,CC_SA,0)),
IF(AA117="MEDIO AMBIENTE",OFFSET('PARÁMETROS'!$K$20,MATCH(U117,JC_MA,0),MATCH(T117,CC_MA,0)),
IF(AA117="Rel. Gubernamentales",OFFSET('PARÁMETROS'!$K$48,MATCH(U117,JC_G,0),MATCH(T117,CC_G,0)),
IF(AA117="OPERACIONAL",OFFSET('PARÁMETROS'!$K$56,MATCH(U117,JC_OP,0),MATCH(T117,CC_OP,0)),
IF(AA117="FINANCIERO",OFFSET('PARÁMETROS'!$K$56,MATCH(U117,JC_FI,0),MATCH(T117,CC_FI,0)),
OFFSET('PARÁMETROS'!$K$38,MATCH(U117,JC_L,0),MATCH(T117,CC_L,0))))))))),"")</f>
        <v/>
      </c>
      <c r="W117" s="130"/>
      <c r="X117" s="135"/>
      <c r="Y117" s="136"/>
      <c r="Z117" s="30"/>
      <c r="AA117" s="31" t="str">
        <f>E107</f>
        <v/>
      </c>
    </row>
    <row r="118" ht="87.0" customHeight="1">
      <c r="A118" s="129"/>
      <c r="B118" s="130"/>
      <c r="C118" s="130"/>
      <c r="D118" s="130"/>
      <c r="E118" s="130"/>
      <c r="F118" s="130"/>
      <c r="G118" s="130"/>
      <c r="H118" s="130"/>
      <c r="I118" s="130"/>
      <c r="J118" s="130"/>
      <c r="K118" s="130"/>
      <c r="L118" s="130"/>
      <c r="M118" s="130"/>
      <c r="N118" s="130"/>
      <c r="O118" s="130"/>
      <c r="P118" s="132"/>
      <c r="Q118" s="134"/>
      <c r="R118" s="134"/>
      <c r="S118" s="134"/>
      <c r="T118" s="135"/>
      <c r="U118" s="135"/>
      <c r="V118" s="135" t="str">
        <f>IFERROR(IF(AA118="SEGURIDAD",OFFSET('PARÁMETROS'!$K$2,MATCH(U118,JC_SE,0),MATCH(T118,CC_SE,0)),
IF(OR(AA118="DSRC/Estratégico",AA118="DSRC/Operativo"),OFFSET('PARÁMETROS'!$K$11,MATCH(U118,JC_DS,0),MATCH(T118,CC_DS,0)),
IF(AA118="SALUD",OFFSET('PARÁMETROS'!$K$29,MATCH(U118,JC_SA,0),MATCH(T118,CC_SA,0)),
IF(AA118="MEDIO AMBIENTE",OFFSET('PARÁMETROS'!$K$20,MATCH(U118,JC_MA,0),MATCH(T118,CC_MA,0)),
IF(AA118="Rel. Gubernamentales",OFFSET('PARÁMETROS'!$K$48,MATCH(U118,JC_G,0),MATCH(T118,CC_G,0)),
IF(AA118="OPERACIONAL",OFFSET('PARÁMETROS'!$K$56,MATCH(U118,JC_OP,0),MATCH(T118,CC_OP,0)),
IF(AA118="FINANCIERO",OFFSET('PARÁMETROS'!$K$56,MATCH(U118,JC_FI,0),MATCH(T118,CC_FI,0)),
OFFSET('PARÁMETROS'!$K$38,MATCH(U118,JC_L,0),MATCH(T118,CC_L,0))))))))),"")</f>
        <v/>
      </c>
      <c r="W118" s="130"/>
      <c r="X118" s="135"/>
      <c r="Y118" s="136"/>
      <c r="Z118" s="30"/>
      <c r="AA118" s="31" t="str">
        <f>E107</f>
        <v/>
      </c>
    </row>
    <row r="119" ht="87.0" customHeight="1">
      <c r="A119" s="129"/>
      <c r="B119" s="130"/>
      <c r="C119" s="130"/>
      <c r="D119" s="130"/>
      <c r="E119" s="130"/>
      <c r="F119" s="130"/>
      <c r="G119" s="130"/>
      <c r="H119" s="130"/>
      <c r="I119" s="130"/>
      <c r="J119" s="130"/>
      <c r="K119" s="130"/>
      <c r="L119" s="130"/>
      <c r="M119" s="130"/>
      <c r="N119" s="130"/>
      <c r="O119" s="130"/>
      <c r="P119" s="132"/>
      <c r="Q119" s="134"/>
      <c r="R119" s="134"/>
      <c r="S119" s="134"/>
      <c r="T119" s="135"/>
      <c r="U119" s="135"/>
      <c r="V119" s="135" t="str">
        <f>IFERROR(IF(AA119="SEGURIDAD",OFFSET('PARÁMETROS'!$K$2,MATCH(U119,JC_SE,0),MATCH(T119,CC_SE,0)),
IF(OR(AA119="DSRC/Estratégico",AA119="DSRC/Operativo"),OFFSET('PARÁMETROS'!$K$11,MATCH(U119,JC_DS,0),MATCH(T119,CC_DS,0)),
IF(AA119="SALUD",OFFSET('PARÁMETROS'!$K$29,MATCH(U119,JC_SA,0),MATCH(T119,CC_SA,0)),
IF(AA119="MEDIO AMBIENTE",OFFSET('PARÁMETROS'!$K$20,MATCH(U119,JC_MA,0),MATCH(T119,CC_MA,0)),
IF(AA119="Rel. Gubernamentales",OFFSET('PARÁMETROS'!$K$48,MATCH(U119,JC_G,0),MATCH(T119,CC_G,0)),
IF(AA119="OPERACIONAL",OFFSET('PARÁMETROS'!$K$56,MATCH(U119,JC_OP,0),MATCH(T119,CC_OP,0)),
IF(AA119="FINANCIERO",OFFSET('PARÁMETROS'!$K$56,MATCH(U119,JC_FI,0),MATCH(T119,CC_FI,0)),
OFFSET('PARÁMETROS'!$K$38,MATCH(U119,JC_L,0),MATCH(T119,CC_L,0))))))))),"")</f>
        <v/>
      </c>
      <c r="W119" s="130"/>
      <c r="X119" s="135"/>
      <c r="Y119" s="136"/>
      <c r="Z119" s="30"/>
      <c r="AA119" s="31" t="str">
        <f>E107</f>
        <v/>
      </c>
    </row>
    <row r="120" ht="87.0" customHeight="1">
      <c r="A120" s="129"/>
      <c r="B120" s="130"/>
      <c r="C120" s="130"/>
      <c r="D120" s="130"/>
      <c r="E120" s="130"/>
      <c r="F120" s="130"/>
      <c r="G120" s="130"/>
      <c r="H120" s="130"/>
      <c r="I120" s="130"/>
      <c r="J120" s="130"/>
      <c r="K120" s="130"/>
      <c r="L120" s="130"/>
      <c r="M120" s="130"/>
      <c r="N120" s="130"/>
      <c r="O120" s="130"/>
      <c r="P120" s="132"/>
      <c r="Q120" s="134"/>
      <c r="R120" s="134"/>
      <c r="S120" s="134"/>
      <c r="T120" s="135"/>
      <c r="U120" s="135"/>
      <c r="V120" s="135" t="str">
        <f>IFERROR(IF(AA120="SEGURIDAD",OFFSET('PARÁMETROS'!$K$2,MATCH(U120,JC_SE,0),MATCH(T120,CC_SE,0)),
IF(OR(AA120="DSRC/Estratégico",AA120="DSRC/Operativo"),OFFSET('PARÁMETROS'!$K$11,MATCH(U120,JC_DS,0),MATCH(T120,CC_DS,0)),
IF(AA120="SALUD",OFFSET('PARÁMETROS'!$K$29,MATCH(U120,JC_SA,0),MATCH(T120,CC_SA,0)),
IF(AA120="MEDIO AMBIENTE",OFFSET('PARÁMETROS'!$K$20,MATCH(U120,JC_MA,0),MATCH(T120,CC_MA,0)),
IF(AA120="Rel. Gubernamentales",OFFSET('PARÁMETROS'!$K$48,MATCH(U120,JC_G,0),MATCH(T120,CC_G,0)),
IF(AA120="OPERACIONAL",OFFSET('PARÁMETROS'!$K$56,MATCH(U120,JC_OP,0),MATCH(T120,CC_OP,0)),
IF(AA120="FINANCIERO",OFFSET('PARÁMETROS'!$K$56,MATCH(U120,JC_FI,0),MATCH(T120,CC_FI,0)),
OFFSET('PARÁMETROS'!$K$38,MATCH(U120,JC_L,0),MATCH(T120,CC_L,0))))))))),"")</f>
        <v/>
      </c>
      <c r="W120" s="130"/>
      <c r="X120" s="135"/>
      <c r="Y120" s="136"/>
      <c r="Z120" s="30"/>
      <c r="AA120" s="31" t="str">
        <f>E107</f>
        <v/>
      </c>
    </row>
    <row r="121" ht="87.0" customHeight="1">
      <c r="A121" s="129"/>
      <c r="B121" s="130"/>
      <c r="C121" s="130"/>
      <c r="D121" s="130"/>
      <c r="E121" s="130"/>
      <c r="F121" s="130"/>
      <c r="G121" s="130"/>
      <c r="H121" s="130"/>
      <c r="I121" s="130"/>
      <c r="J121" s="130"/>
      <c r="K121" s="130"/>
      <c r="L121" s="130"/>
      <c r="M121" s="130"/>
      <c r="N121" s="130"/>
      <c r="O121" s="130"/>
      <c r="P121" s="132"/>
      <c r="Q121" s="134"/>
      <c r="R121" s="134"/>
      <c r="S121" s="134"/>
      <c r="T121" s="135"/>
      <c r="U121" s="135"/>
      <c r="V121" s="135" t="str">
        <f>IFERROR(IF(AA121="SEGURIDAD",OFFSET('PARÁMETROS'!$K$2,MATCH(U121,JC_SE,0),MATCH(T121,CC_SE,0)),
IF(OR(AA121="DSRC/Estratégico",AA121="DSRC/Operativo"),OFFSET('PARÁMETROS'!$K$11,MATCH(U121,JC_DS,0),MATCH(T121,CC_DS,0)),
IF(AA121="SALUD",OFFSET('PARÁMETROS'!$K$29,MATCH(U121,JC_SA,0),MATCH(T121,CC_SA,0)),
IF(AA121="MEDIO AMBIENTE",OFFSET('PARÁMETROS'!$K$20,MATCH(U121,JC_MA,0),MATCH(T121,CC_MA,0)),
IF(AA121="Rel. Gubernamentales",OFFSET('PARÁMETROS'!$K$48,MATCH(U121,JC_G,0),MATCH(T121,CC_G,0)),
IF(AA121="OPERACIONAL",OFFSET('PARÁMETROS'!$K$56,MATCH(U121,JC_OP,0),MATCH(T121,CC_OP,0)),
IF(AA121="FINANCIERO",OFFSET('PARÁMETROS'!$K$56,MATCH(U121,JC_FI,0),MATCH(T121,CC_FI,0)),
OFFSET('PARÁMETROS'!$K$38,MATCH(U121,JC_L,0),MATCH(T121,CC_L,0))))))))),"")</f>
        <v/>
      </c>
      <c r="W121" s="130"/>
      <c r="X121" s="135"/>
      <c r="Y121" s="136"/>
      <c r="Z121" s="30"/>
      <c r="AA121" s="31" t="str">
        <f>E107</f>
        <v/>
      </c>
    </row>
    <row r="122" ht="87.0" customHeight="1">
      <c r="A122" s="89"/>
      <c r="B122" s="90"/>
      <c r="C122" s="90"/>
      <c r="D122" s="90"/>
      <c r="E122" s="90"/>
      <c r="F122" s="90"/>
      <c r="G122" s="90"/>
      <c r="H122" s="90"/>
      <c r="I122" s="90"/>
      <c r="J122" s="90"/>
      <c r="K122" s="90"/>
      <c r="L122" s="90"/>
      <c r="M122" s="90"/>
      <c r="N122" s="90"/>
      <c r="O122" s="90"/>
      <c r="P122" s="132"/>
      <c r="Q122" s="134"/>
      <c r="R122" s="145"/>
      <c r="S122" s="145"/>
      <c r="T122" s="135"/>
      <c r="U122" s="135"/>
      <c r="V122" s="135" t="str">
        <f>IFERROR(IF(AA122="SEGURIDAD",OFFSET('PARÁMETROS'!$K$2,MATCH(U122,JC_SE,0),MATCH(T122,CC_SE,0)),
IF(OR(AA122="DSRC/Estratégico",AA122="DSRC/Operativo"),OFFSET('PARÁMETROS'!$K$11,MATCH(U122,JC_DS,0),MATCH(T122,CC_DS,0)),
IF(AA122="SALUD",OFFSET('PARÁMETROS'!$K$29,MATCH(U122,JC_SA,0),MATCH(T122,CC_SA,0)),
IF(AA122="MEDIO AMBIENTE",OFFSET('PARÁMETROS'!$K$20,MATCH(U122,JC_MA,0),MATCH(T122,CC_MA,0)),
IF(AA122="Rel. Gubernamentales",OFFSET('PARÁMETROS'!$K$48,MATCH(U122,JC_G,0),MATCH(T122,CC_G,0)),
IF(AA122="OPERACIONAL",OFFSET('PARÁMETROS'!$K$56,MATCH(U122,JC_OP,0),MATCH(T122,CC_OP,0)),
IF(AA122="FINANCIERO",OFFSET('PARÁMETROS'!$K$56,MATCH(U122,JC_FI,0),MATCH(T122,CC_FI,0)),
OFFSET('PARÁMETROS'!$K$38,MATCH(U122,JC_L,0),MATCH(T122,CC_L,0))))))))),"")</f>
        <v/>
      </c>
      <c r="W122" s="90"/>
      <c r="X122" s="135"/>
      <c r="Y122" s="136"/>
      <c r="Z122" s="30"/>
      <c r="AA122" s="31" t="str">
        <f>E107</f>
        <v/>
      </c>
    </row>
    <row r="123" ht="87.0" customHeight="1">
      <c r="A123" s="102"/>
      <c r="B123" s="103"/>
      <c r="C123" s="103"/>
      <c r="D123" s="103"/>
      <c r="E123" s="103"/>
      <c r="F123" s="103"/>
      <c r="G123" s="105"/>
      <c r="H123" s="103"/>
      <c r="I123" s="105"/>
      <c r="J123" s="103"/>
      <c r="K123" s="103"/>
      <c r="L123" s="103" t="str">
        <f>IF(OR(J123&lt;&gt;"",K123&lt;&gt;""),OFFSET('PARÁMETROS'!$B$2,K123,J123),"")</f>
        <v/>
      </c>
      <c r="M123" s="103"/>
      <c r="N123" s="103">
        <f>IFERROR(L123*M123,"")</f>
        <v>0</v>
      </c>
      <c r="O123" s="108" t="str">
        <f>IF(N123="","",IFERROR(IF(N123&lt;=2,"ACEPTABLE",IF(N123&lt;=6,"BAJA",IF(N123&lt;=10,"ACEPTABLE CON REVISIÓN",IF(N123&lt;=15,"SUSTANCIAL","INACEPTABLE")))),""))</f>
        <v>ACEPTABLE</v>
      </c>
      <c r="P123" s="113"/>
      <c r="Q123" s="114"/>
      <c r="R123" s="114"/>
      <c r="S123" s="114"/>
      <c r="T123" s="115"/>
      <c r="U123" s="115"/>
      <c r="V123" s="115"/>
      <c r="W123" s="108" t="str">
        <f>IF(E123="","",
IF(COUNTA(V123:V138)-COUNTBLANK(V123:V138)=1,
IF(O123="INACEPTABLE",IF(COUNTIF(V123:V138,"Control/Acción Eficaz")&gt;=1,"SUSTANCIAL","INACEPTABLE"),
IF(O123="SUSTANCIAL",IF(COUNTIF(V123:V138,"Control/Acción Eficaz")&gt;=1,"ACEPTABLE CON REVISIÓN","SUSTANCIAL"),
IF(O123="ACEPTABLE CON REVISIÓN",IF(COUNTIF(V123:V138,"Control/Acción Eficaz")&gt;=1,"BAJA","ACEPTABLE CON REVISIÓN"),
IF(O123="BAJA",IF(COUNTIF(V123:V138,"Control/Acción Eficaz")&gt;=1,"ACEPTABLE","BAJA"),)))),
IF(COUNTA(V123:V138)-COUNTBLANK(V123:V138)=2,
IF(O123="INACEPTABLE",IF(COUNTIF(V123:V138,"Control/Acción Eficaz")=2,"ACEPTABLE CON REVISIÓN",
IF(OR(AND(COUNTIF(V123:V138,"Control/Acción Eficaz")=1,COUNTIF(V123:V138,"Control/Acción Satisfactorio")=1),
AND(COUNTIF(V123:V138,"Control/Acción Eficaz")=1,COUNTIF(V123:V138,"Control/Acción No Eficaz")=1)),"SUSTANCIAL","INACEPTABLE")),
IF(O123="SUSTANCIAL",IF(COUNTIF(V123:V138,"Control/Acción Eficaz")=2,"BAJA",
IF(OR(AND(COUNTIF(V123:V138,"Control/Acción Eficaz")=1,COUNTIF(V123:V138,"Control/Acción Satisfactorio")=1),
AND(COUNTIF(V123:V138,"Control/Acción Eficaz")=1,COUNTIF(V123:V138,"Control/Acción No Eficaz")=1)),"ACEPTABLE CON REVISIÓN ","SUSTANCIAL")),
IF(O123="ACEPTABLE CON REVISIÓN",IF(COUNTIF(V123:V138,"Control/Acción Eficaz")=2,"ACEPTABLE",
IF(OR(AND(COUNTIF(V123:V138,"Control/Acción Eficaz")=1,COUNTIF(V123:V138,"Control/Acción Satisfactorio")=1),
AND(COUNTIF(V123:V138,"Control/Acción Eficaz")=1,COUNTIF(V123:V138,"Control/Acción No Eficaz")=1)),"BAJA","ACEPTABLE CON REVISIÓN")),
IF(O123="BAJA",IF(COUNTIF(V123:V138,"Control/Acción Eficaz")&gt;=2,"ACEPTABLE","BAJA"),)))),
IF(COUNTA(V123:V138)-COUNTBLANK(V123:V138)&gt;=3,
IF(O123="INACEPTABLE",
IF(COUNTBLANK(V123:V138)=COUNTA(V123:V138),"",
IF(COUNTIF(V123:V138,"Control/Acción No Eficaz")&gt;=2,"INACEPTABLE",
IF(AND(COUNTIF(V123:V138,"Control/Acción No Eficaz")=0,COUNTIF(V123:V138,"Control/Acción Eficaz")&gt;=2),"ACEPTABLE CON REVISIÓN ","SUSTANCIAL"))),
IF(O123="SUSTANCIAL",
IF(COUNTBLANK(V123:V138)=COUNTA(V123:V138),"",
IF(COUNTIF(V123:V138,"Control/Acción No Eficaz")&gt;=2,"SUSTANCIAL",
IF(AND(COUNTIF(V123:V138,"Control/Acción No Eficaz")=0,COUNTIF(V123:V138,"Control/Acción Eficaz")&gt;=2),"BAJA","ACEPTABLE CON REVISIÓN"))),
IF(O123="ACEPTABLE CON REVISIÓN",
IF(COUNTBLANK(V123:V138)=COUNTA(V123:V138),"",
IF(COUNTIF(V123:V138,"Control/Acción No Eficaz")&gt;=2,"ACEPTABLE CON REVISIÓN",
IF(AND(COUNTIF(V123:V138,"Control/Acción No Eficaz")=0,COUNTIF(V123:V138,"Control/Acción Eficaz")&gt;=2),"ACEPTABLE","BAJA"))),
IF(O123="BAJA",
IF(COUNTBLANK(V123:V138)=COUNTA(V123:V138),"",
IF(AND(COUNTBLANK(V123:V138)&lt;1,COUNTA(V123:V138)=1),
IF(COUNTIF(V123:V138,"Control/Acción No Eficaz")&gt;=2,"BAJA",
IF(AND(COUNTIF(V123:V138,"Control/Acción No Eficaz")=0,COUNTIF(V123:V138,"Control/Acción Eficaz")&gt;=2),"ACEPTABLE","BAJA")),
IF(COUNTIF(V123:V138,"Control/Acción No Eficaz")&gt;=2,"BAJA",
IF(AND(COUNTIF(V123:V138,"Control/Acción No Eficaz")=0,COUNTIF(V123:V138,"Control/Acción Eficaz")&gt;=2),"ACEPTABLE","BAJA")))),
IF(COUNTIF(V123:V138,"")&gt;=5,"",O123))))),
""))))</f>
        <v/>
      </c>
      <c r="X123" s="115"/>
      <c r="Y123" s="128"/>
      <c r="Z123" s="30"/>
      <c r="AA123" s="31" t="str">
        <f>E123</f>
        <v/>
      </c>
    </row>
    <row r="124" ht="87.0" customHeight="1">
      <c r="A124" s="129"/>
      <c r="B124" s="130"/>
      <c r="C124" s="130"/>
      <c r="D124" s="130"/>
      <c r="E124" s="130"/>
      <c r="F124" s="130"/>
      <c r="G124" s="130"/>
      <c r="H124" s="130"/>
      <c r="I124" s="130"/>
      <c r="J124" s="130"/>
      <c r="K124" s="130"/>
      <c r="L124" s="130"/>
      <c r="M124" s="130"/>
      <c r="N124" s="130"/>
      <c r="O124" s="130"/>
      <c r="P124" s="132"/>
      <c r="Q124" s="134"/>
      <c r="R124" s="134"/>
      <c r="S124" s="134"/>
      <c r="T124" s="135"/>
      <c r="U124" s="135"/>
      <c r="V124" s="135"/>
      <c r="W124" s="130"/>
      <c r="X124" s="135"/>
      <c r="Y124" s="136"/>
      <c r="Z124" s="30"/>
      <c r="AA124" s="31" t="str">
        <f>E123</f>
        <v/>
      </c>
    </row>
    <row r="125" ht="87.0" customHeight="1">
      <c r="A125" s="129"/>
      <c r="B125" s="130"/>
      <c r="C125" s="130"/>
      <c r="D125" s="130"/>
      <c r="E125" s="130"/>
      <c r="F125" s="130"/>
      <c r="G125" s="130"/>
      <c r="H125" s="130"/>
      <c r="I125" s="130"/>
      <c r="J125" s="130"/>
      <c r="K125" s="130"/>
      <c r="L125" s="130"/>
      <c r="M125" s="130"/>
      <c r="N125" s="130"/>
      <c r="O125" s="130"/>
      <c r="P125" s="132"/>
      <c r="Q125" s="134"/>
      <c r="R125" s="134"/>
      <c r="S125" s="134"/>
      <c r="T125" s="135"/>
      <c r="U125" s="135"/>
      <c r="V125" s="135"/>
      <c r="W125" s="130"/>
      <c r="X125" s="135"/>
      <c r="Y125" s="136"/>
      <c r="Z125" s="30"/>
      <c r="AA125" s="31" t="str">
        <f>E123</f>
        <v/>
      </c>
    </row>
    <row r="126" ht="87.0" customHeight="1">
      <c r="A126" s="129"/>
      <c r="B126" s="130"/>
      <c r="C126" s="130"/>
      <c r="D126" s="130"/>
      <c r="E126" s="130"/>
      <c r="F126" s="130"/>
      <c r="G126" s="130"/>
      <c r="H126" s="130"/>
      <c r="I126" s="130"/>
      <c r="J126" s="130"/>
      <c r="K126" s="130"/>
      <c r="L126" s="130"/>
      <c r="M126" s="130"/>
      <c r="N126" s="130"/>
      <c r="O126" s="130"/>
      <c r="P126" s="132"/>
      <c r="Q126" s="134"/>
      <c r="R126" s="134"/>
      <c r="S126" s="134"/>
      <c r="T126" s="135"/>
      <c r="U126" s="135"/>
      <c r="V126" s="135"/>
      <c r="W126" s="130"/>
      <c r="X126" s="135"/>
      <c r="Y126" s="136"/>
      <c r="Z126" s="30"/>
      <c r="AA126" s="31" t="str">
        <f>E123</f>
        <v/>
      </c>
    </row>
    <row r="127" ht="87.0" customHeight="1">
      <c r="A127" s="129"/>
      <c r="B127" s="130"/>
      <c r="C127" s="130"/>
      <c r="D127" s="130"/>
      <c r="E127" s="130"/>
      <c r="F127" s="130"/>
      <c r="G127" s="130"/>
      <c r="H127" s="130"/>
      <c r="I127" s="130"/>
      <c r="J127" s="130"/>
      <c r="K127" s="130"/>
      <c r="L127" s="130"/>
      <c r="M127" s="130"/>
      <c r="N127" s="130"/>
      <c r="O127" s="130"/>
      <c r="P127" s="132"/>
      <c r="Q127" s="134"/>
      <c r="R127" s="134"/>
      <c r="S127" s="134"/>
      <c r="T127" s="135"/>
      <c r="U127" s="135"/>
      <c r="V127" s="135"/>
      <c r="W127" s="130"/>
      <c r="X127" s="135"/>
      <c r="Y127" s="136"/>
      <c r="Z127" s="30"/>
      <c r="AA127" s="31" t="str">
        <f>E123</f>
        <v/>
      </c>
    </row>
    <row r="128" ht="87.0" customHeight="1">
      <c r="A128" s="129"/>
      <c r="B128" s="130"/>
      <c r="C128" s="130"/>
      <c r="D128" s="130"/>
      <c r="E128" s="130"/>
      <c r="F128" s="130"/>
      <c r="G128" s="130"/>
      <c r="H128" s="130"/>
      <c r="I128" s="130"/>
      <c r="J128" s="130"/>
      <c r="K128" s="130"/>
      <c r="L128" s="130"/>
      <c r="M128" s="130"/>
      <c r="N128" s="130"/>
      <c r="O128" s="130"/>
      <c r="P128" s="132"/>
      <c r="Q128" s="134"/>
      <c r="R128" s="134"/>
      <c r="S128" s="134"/>
      <c r="T128" s="135"/>
      <c r="U128" s="135"/>
      <c r="V128" s="135"/>
      <c r="W128" s="130"/>
      <c r="X128" s="135"/>
      <c r="Y128" s="136"/>
      <c r="Z128" s="30"/>
      <c r="AA128" s="31" t="str">
        <f>E123</f>
        <v/>
      </c>
    </row>
    <row r="129" ht="87.0" customHeight="1">
      <c r="A129" s="129"/>
      <c r="B129" s="130"/>
      <c r="C129" s="130"/>
      <c r="D129" s="130"/>
      <c r="E129" s="130"/>
      <c r="F129" s="130"/>
      <c r="G129" s="130"/>
      <c r="H129" s="130"/>
      <c r="I129" s="130"/>
      <c r="J129" s="130"/>
      <c r="K129" s="130"/>
      <c r="L129" s="130"/>
      <c r="M129" s="130"/>
      <c r="N129" s="130"/>
      <c r="O129" s="130"/>
      <c r="P129" s="132"/>
      <c r="Q129" s="134"/>
      <c r="R129" s="134"/>
      <c r="S129" s="134"/>
      <c r="T129" s="135"/>
      <c r="U129" s="135"/>
      <c r="V129" s="135"/>
      <c r="W129" s="130"/>
      <c r="X129" s="135"/>
      <c r="Y129" s="136"/>
      <c r="Z129" s="30"/>
      <c r="AA129" s="31" t="str">
        <f>E123</f>
        <v/>
      </c>
    </row>
    <row r="130" ht="87.0" customHeight="1">
      <c r="A130" s="129"/>
      <c r="B130" s="130"/>
      <c r="C130" s="130"/>
      <c r="D130" s="130"/>
      <c r="E130" s="130"/>
      <c r="F130" s="130"/>
      <c r="G130" s="130"/>
      <c r="H130" s="130"/>
      <c r="I130" s="130"/>
      <c r="J130" s="130"/>
      <c r="K130" s="130"/>
      <c r="L130" s="130"/>
      <c r="M130" s="130"/>
      <c r="N130" s="130"/>
      <c r="O130" s="130"/>
      <c r="P130" s="132"/>
      <c r="Q130" s="134"/>
      <c r="R130" s="134"/>
      <c r="S130" s="134"/>
      <c r="T130" s="135"/>
      <c r="U130" s="135"/>
      <c r="V130" s="135"/>
      <c r="W130" s="130"/>
      <c r="X130" s="135"/>
      <c r="Y130" s="136"/>
      <c r="Z130" s="30"/>
      <c r="AA130" s="31" t="str">
        <f>E123</f>
        <v/>
      </c>
    </row>
    <row r="131" ht="87.0" customHeight="1">
      <c r="A131" s="129"/>
      <c r="B131" s="130"/>
      <c r="C131" s="130"/>
      <c r="D131" s="130"/>
      <c r="E131" s="130"/>
      <c r="F131" s="130"/>
      <c r="G131" s="130"/>
      <c r="H131" s="130"/>
      <c r="I131" s="130"/>
      <c r="J131" s="130"/>
      <c r="K131" s="130"/>
      <c r="L131" s="130"/>
      <c r="M131" s="130"/>
      <c r="N131" s="130"/>
      <c r="O131" s="130"/>
      <c r="P131" s="132"/>
      <c r="Q131" s="134"/>
      <c r="R131" s="134"/>
      <c r="S131" s="134"/>
      <c r="T131" s="135"/>
      <c r="U131" s="135"/>
      <c r="V131" s="135"/>
      <c r="W131" s="130"/>
      <c r="X131" s="135"/>
      <c r="Y131" s="136"/>
      <c r="Z131" s="30"/>
      <c r="AA131" s="31" t="str">
        <f>E123</f>
        <v/>
      </c>
    </row>
    <row r="132" ht="87.0" customHeight="1">
      <c r="A132" s="129"/>
      <c r="B132" s="130"/>
      <c r="C132" s="130"/>
      <c r="D132" s="130"/>
      <c r="E132" s="130"/>
      <c r="F132" s="130"/>
      <c r="G132" s="130"/>
      <c r="H132" s="130"/>
      <c r="I132" s="130"/>
      <c r="J132" s="130"/>
      <c r="K132" s="130"/>
      <c r="L132" s="130"/>
      <c r="M132" s="130"/>
      <c r="N132" s="130"/>
      <c r="O132" s="130"/>
      <c r="P132" s="132"/>
      <c r="Q132" s="134"/>
      <c r="R132" s="134"/>
      <c r="S132" s="134"/>
      <c r="T132" s="135"/>
      <c r="U132" s="135"/>
      <c r="V132" s="135"/>
      <c r="W132" s="130"/>
      <c r="X132" s="135"/>
      <c r="Y132" s="136"/>
      <c r="Z132" s="30"/>
      <c r="AA132" s="31" t="str">
        <f>E123</f>
        <v/>
      </c>
    </row>
    <row r="133" ht="87.0" customHeight="1">
      <c r="A133" s="129"/>
      <c r="B133" s="130"/>
      <c r="C133" s="130"/>
      <c r="D133" s="130"/>
      <c r="E133" s="130"/>
      <c r="F133" s="130"/>
      <c r="G133" s="130"/>
      <c r="H133" s="130"/>
      <c r="I133" s="130"/>
      <c r="J133" s="130"/>
      <c r="K133" s="130"/>
      <c r="L133" s="130"/>
      <c r="M133" s="130"/>
      <c r="N133" s="130"/>
      <c r="O133" s="130"/>
      <c r="P133" s="132"/>
      <c r="Q133" s="134"/>
      <c r="R133" s="134"/>
      <c r="S133" s="134"/>
      <c r="T133" s="135"/>
      <c r="U133" s="135"/>
      <c r="V133" s="135"/>
      <c r="W133" s="130"/>
      <c r="X133" s="135"/>
      <c r="Y133" s="136"/>
      <c r="Z133" s="30"/>
      <c r="AA133" s="31" t="str">
        <f>E123</f>
        <v/>
      </c>
    </row>
    <row r="134" ht="87.0" customHeight="1">
      <c r="A134" s="129"/>
      <c r="B134" s="130"/>
      <c r="C134" s="130"/>
      <c r="D134" s="130"/>
      <c r="E134" s="130"/>
      <c r="F134" s="130"/>
      <c r="G134" s="130"/>
      <c r="H134" s="130"/>
      <c r="I134" s="130"/>
      <c r="J134" s="130"/>
      <c r="K134" s="130"/>
      <c r="L134" s="130"/>
      <c r="M134" s="130"/>
      <c r="N134" s="130"/>
      <c r="O134" s="130"/>
      <c r="P134" s="132"/>
      <c r="Q134" s="134"/>
      <c r="R134" s="134"/>
      <c r="S134" s="134"/>
      <c r="T134" s="135"/>
      <c r="U134" s="135"/>
      <c r="V134" s="135"/>
      <c r="W134" s="130"/>
      <c r="X134" s="135"/>
      <c r="Y134" s="136"/>
      <c r="Z134" s="30"/>
      <c r="AA134" s="31" t="str">
        <f>E123</f>
        <v/>
      </c>
    </row>
    <row r="135" ht="87.0" customHeight="1">
      <c r="A135" s="129"/>
      <c r="B135" s="130"/>
      <c r="C135" s="130"/>
      <c r="D135" s="130"/>
      <c r="E135" s="130"/>
      <c r="F135" s="130"/>
      <c r="G135" s="130"/>
      <c r="H135" s="130"/>
      <c r="I135" s="130"/>
      <c r="J135" s="130"/>
      <c r="K135" s="130"/>
      <c r="L135" s="130"/>
      <c r="M135" s="130"/>
      <c r="N135" s="130"/>
      <c r="O135" s="130"/>
      <c r="P135" s="132"/>
      <c r="Q135" s="134"/>
      <c r="R135" s="134"/>
      <c r="S135" s="134"/>
      <c r="T135" s="135"/>
      <c r="U135" s="135"/>
      <c r="V135" s="135"/>
      <c r="W135" s="130"/>
      <c r="X135" s="135"/>
      <c r="Y135" s="136"/>
      <c r="Z135" s="30"/>
      <c r="AA135" s="31" t="str">
        <f>E123</f>
        <v/>
      </c>
    </row>
    <row r="136" ht="87.0" customHeight="1">
      <c r="A136" s="129"/>
      <c r="B136" s="130"/>
      <c r="C136" s="130"/>
      <c r="D136" s="130"/>
      <c r="E136" s="130"/>
      <c r="F136" s="130"/>
      <c r="G136" s="130"/>
      <c r="H136" s="130"/>
      <c r="I136" s="130"/>
      <c r="J136" s="130"/>
      <c r="K136" s="130"/>
      <c r="L136" s="130"/>
      <c r="M136" s="130"/>
      <c r="N136" s="130"/>
      <c r="O136" s="130"/>
      <c r="P136" s="132"/>
      <c r="Q136" s="134"/>
      <c r="R136" s="134"/>
      <c r="S136" s="134"/>
      <c r="T136" s="135"/>
      <c r="U136" s="135"/>
      <c r="V136" s="135"/>
      <c r="W136" s="130"/>
      <c r="X136" s="135"/>
      <c r="Y136" s="136"/>
      <c r="Z136" s="30"/>
      <c r="AA136" s="31" t="str">
        <f>E123</f>
        <v/>
      </c>
    </row>
    <row r="137" ht="87.0" customHeight="1">
      <c r="A137" s="129"/>
      <c r="B137" s="130"/>
      <c r="C137" s="130"/>
      <c r="D137" s="130"/>
      <c r="E137" s="130"/>
      <c r="F137" s="130"/>
      <c r="G137" s="130"/>
      <c r="H137" s="130"/>
      <c r="I137" s="130"/>
      <c r="J137" s="130"/>
      <c r="K137" s="130"/>
      <c r="L137" s="130"/>
      <c r="M137" s="130"/>
      <c r="N137" s="130"/>
      <c r="O137" s="130"/>
      <c r="P137" s="132"/>
      <c r="Q137" s="134"/>
      <c r="R137" s="134"/>
      <c r="S137" s="134"/>
      <c r="T137" s="135"/>
      <c r="U137" s="135"/>
      <c r="V137" s="135"/>
      <c r="W137" s="130"/>
      <c r="X137" s="135"/>
      <c r="Y137" s="136"/>
      <c r="Z137" s="30"/>
      <c r="AA137" s="31" t="str">
        <f>E123</f>
        <v/>
      </c>
    </row>
    <row r="138" ht="87.0" customHeight="1">
      <c r="A138" s="89"/>
      <c r="B138" s="90"/>
      <c r="C138" s="90"/>
      <c r="D138" s="90"/>
      <c r="E138" s="90"/>
      <c r="F138" s="90"/>
      <c r="G138" s="90"/>
      <c r="H138" s="90"/>
      <c r="I138" s="90"/>
      <c r="J138" s="90"/>
      <c r="K138" s="90"/>
      <c r="L138" s="90"/>
      <c r="M138" s="90"/>
      <c r="N138" s="90"/>
      <c r="O138" s="90"/>
      <c r="P138" s="132"/>
      <c r="Q138" s="134"/>
      <c r="R138" s="145"/>
      <c r="S138" s="145"/>
      <c r="T138" s="135"/>
      <c r="U138" s="135"/>
      <c r="V138" s="135"/>
      <c r="W138" s="90"/>
      <c r="X138" s="135"/>
      <c r="Y138" s="136"/>
      <c r="Z138" s="30"/>
      <c r="AA138" s="31" t="str">
        <f>E123</f>
        <v/>
      </c>
    </row>
    <row r="139" ht="87.0" customHeight="1">
      <c r="A139" s="102"/>
      <c r="B139" s="103"/>
      <c r="C139" s="103"/>
      <c r="D139" s="103"/>
      <c r="E139" s="103"/>
      <c r="F139" s="103"/>
      <c r="G139" s="105"/>
      <c r="H139" s="103"/>
      <c r="I139" s="105"/>
      <c r="J139" s="103"/>
      <c r="K139" s="103"/>
      <c r="L139" s="103" t="str">
        <f>IF(OR(J139&lt;&gt;"",K139&lt;&gt;""),OFFSET('PARÁMETROS'!$B$2,K139,J139),"")</f>
        <v/>
      </c>
      <c r="M139" s="103"/>
      <c r="N139" s="103">
        <f>IFERROR(L139*M139,"")</f>
        <v>0</v>
      </c>
      <c r="O139" s="108" t="str">
        <f>IF(N139="","",IFERROR(IF(N139&lt;=2,"ACEPTABLE",IF(N139&lt;=6,"BAJA",IF(N139&lt;=10,"ACEPTABLE CON REVISIÓN",IF(N139&lt;=15,"SUSTANCIAL","INACEPTABLE")))),""))</f>
        <v>ACEPTABLE</v>
      </c>
      <c r="P139" s="113"/>
      <c r="Q139" s="114"/>
      <c r="R139" s="114"/>
      <c r="S139" s="114"/>
      <c r="T139" s="115"/>
      <c r="U139" s="115"/>
      <c r="V139" s="115" t="str">
        <f>IFERROR(IF(AA139="SEGURIDAD",OFFSET('PARÁMETROS'!$K$2,MATCH(U139,JC_SE,0),MATCH(T139,CC_SE,0)),
IF(OR(AA139="DSRC/Estratégico",AA139="DSRC/Operativo"),OFFSET('PARÁMETROS'!$K$11,MATCH(U139,JC_DS,0),MATCH(T139,CC_DS,0)),
IF(AA139="SALUD",OFFSET('PARÁMETROS'!$K$29,MATCH(U139,JC_SA,0),MATCH(T139,CC_SA,0)),
IF(AA139="MEDIO AMBIENTE",OFFSET('PARÁMETROS'!$K$20,MATCH(U139,JC_MA,0),MATCH(T139,CC_MA,0)),
IF(AA139="Rel. Gubernamentales",OFFSET('PARÁMETROS'!$K$48,MATCH(U139,JC_G,0),MATCH(T139,CC_G,0)),
IF(AA139="OPERACIONAL",OFFSET('PARÁMETROS'!$K$56,MATCH(U139,JC_OP,0),MATCH(T139,CC_OP,0)),
IF(AA139="FINANCIERO",OFFSET('PARÁMETROS'!$K$56,MATCH(U139,JC_FI,0),MATCH(T139,CC_FI,0)),
OFFSET('PARÁMETROS'!$K$38,MATCH(U139,JC_L,0),MATCH(T139,CC_L,0))))))))),"")</f>
        <v/>
      </c>
      <c r="W139" s="108" t="str">
        <f>IF(E139="","",
IF(COUNTA(V139:V154)-COUNTBLANK(V139:V154)=1,
IF(O139="INACEPTABLE",IF(COUNTIF(V139:V154,"Control/Acción Eficaz")&gt;=1,"SUSTANCIAL","INACEPTABLE"),
IF(O139="SUSTANCIAL",IF(COUNTIF(V139:V154,"Control/Acción Eficaz")&gt;=1,"ACEPTABLE CON REVISIÓN","SUSTANCIAL"),
IF(O139="ACEPTABLE CON REVISIÓN",IF(COUNTIF(V139:V154,"Control/Acción Eficaz")&gt;=1,"BAJA","ACEPTABLE CON REVISIÓN"),
IF(O139="BAJA",IF(COUNTIF(V139:V154,"Control/Acción Eficaz")&gt;=1,"ACEPTABLE","BAJA"),)))),
IF(COUNTA(V139:V154)-COUNTBLANK(V139:V154)=2,
IF(O139="INACEPTABLE",IF(COUNTIF(V139:V154,"Control/Acción Eficaz")=2,"ACEPTABLE CON REVISIÓN",
IF(OR(AND(COUNTIF(V139:V154,"Control/Acción Eficaz")=1,COUNTIF(V139:V154,"Control/Acción Satisfactorio")=1),
AND(COUNTIF(V139:V154,"Control/Acción Eficaz")=1,COUNTIF(V139:V154,"Control/Acción No Eficaz")=1)),"SUSTANCIAL","INACEPTABLE")),
IF(O139="SUSTANCIAL",IF(COUNTIF(V139:V154,"Control/Acción Eficaz")=2,"BAJA",
IF(OR(AND(COUNTIF(V139:V154,"Control/Acción Eficaz")=1,COUNTIF(V139:V154,"Control/Acción Satisfactorio")=1),
AND(COUNTIF(V139:V154,"Control/Acción Eficaz")=1,COUNTIF(V139:V154,"Control/Acción No Eficaz")=1)),"ACEPTABLE CON REVISIÓN ","SUSTANCIAL")),
IF(O139="ACEPTABLE CON REVISIÓN",IF(COUNTIF(V139:V154,"Control/Acción Eficaz")=2,"ACEPTABLE",
IF(OR(AND(COUNTIF(V139:V154,"Control/Acción Eficaz")=1,COUNTIF(V139:V154,"Control/Acción Satisfactorio")=1),
AND(COUNTIF(V139:V154,"Control/Acción Eficaz")=1,COUNTIF(V139:V154,"Control/Acción No Eficaz")=1)),"BAJA","ACEPTABLE CON REVISIÓN")),
IF(O139="BAJA",IF(COUNTIF(V139:V154,"Control/Acción Eficaz")&gt;=2,"ACEPTABLE","BAJA"),)))),
IF(COUNTA(V139:V154)-COUNTBLANK(V139:V154)&gt;=3,
IF(O139="INACEPTABLE",
IF(COUNTBLANK(V139:V154)=COUNTA(V139:V154),"",
IF(COUNTIF(V139:V154,"Control/Acción No Eficaz")&gt;=2,"INACEPTABLE",
IF(AND(COUNTIF(V139:V154,"Control/Acción No Eficaz")=0,COUNTIF(V139:V154,"Control/Acción Eficaz")&gt;=2),"ACEPTABLE CON REVISIÓN ","SUSTANCIAL"))),
IF(O139="SUSTANCIAL",
IF(COUNTBLANK(V139:V154)=COUNTA(V139:V154),"",
IF(COUNTIF(V139:V154,"Control/Acción No Eficaz")&gt;=2,"SUSTANCIAL",
IF(AND(COUNTIF(V139:V154,"Control/Acción No Eficaz")=0,COUNTIF(V139:V154,"Control/Acción Eficaz")&gt;=2),"BAJA","ACEPTABLE CON REVISIÓN"))),
IF(O139="ACEPTABLE CON REVISIÓN",
IF(COUNTBLANK(V139:V154)=COUNTA(V139:V154),"",
IF(COUNTIF(V139:V154,"Control/Acción No Eficaz")&gt;=2,"ACEPTABLE CON REVISIÓN",
IF(AND(COUNTIF(V139:V154,"Control/Acción No Eficaz")=0,COUNTIF(V139:V154,"Control/Acción Eficaz")&gt;=2),"ACEPTABLE","BAJA"))),
IF(O139="BAJA",
IF(COUNTBLANK(V139:V154)=COUNTA(V139:V154),"",
IF(AND(COUNTBLANK(V139:V154)&lt;1,COUNTA(V139:V154)=1),
IF(COUNTIF(V139:V154,"Control/Acción No Eficaz")&gt;=2,"BAJA",
IF(AND(COUNTIF(V139:V154,"Control/Acción No Eficaz")=0,COUNTIF(V139:V154,"Control/Acción Eficaz")&gt;=2),"ACEPTABLE","BAJA")),
IF(COUNTIF(V139:V154,"Control/Acción No Eficaz")&gt;=2,"BAJA",
IF(AND(COUNTIF(V139:V154,"Control/Acción No Eficaz")=0,COUNTIF(V139:V154,"Control/Acción Eficaz")&gt;=2),"ACEPTABLE","BAJA")))),
IF(COUNTIF(V139:V154,"")&gt;=5,"",O139))))),
""))))</f>
        <v/>
      </c>
      <c r="X139" s="115"/>
      <c r="Y139" s="128"/>
      <c r="Z139" s="30"/>
      <c r="AA139" s="31" t="str">
        <f>E139</f>
        <v/>
      </c>
    </row>
    <row r="140" ht="87.0" customHeight="1">
      <c r="A140" s="129"/>
      <c r="B140" s="130"/>
      <c r="C140" s="130"/>
      <c r="D140" s="130"/>
      <c r="E140" s="130"/>
      <c r="F140" s="130"/>
      <c r="G140" s="130"/>
      <c r="H140" s="130"/>
      <c r="I140" s="130"/>
      <c r="J140" s="130"/>
      <c r="K140" s="130"/>
      <c r="L140" s="130"/>
      <c r="M140" s="130"/>
      <c r="N140" s="130"/>
      <c r="O140" s="130"/>
      <c r="P140" s="132"/>
      <c r="Q140" s="134"/>
      <c r="R140" s="134"/>
      <c r="S140" s="134"/>
      <c r="T140" s="135"/>
      <c r="U140" s="135"/>
      <c r="V140" s="135" t="str">
        <f>IFERROR(IF(AA140="SEGURIDAD",OFFSET('PARÁMETROS'!$K$2,MATCH(U140,JC_SE,0),MATCH(T140,CC_SE,0)),
IF(OR(AA140="DSRC/Estratégico",AA140="DSRC/Operativo"),OFFSET('PARÁMETROS'!$K$11,MATCH(U140,JC_DS,0),MATCH(T140,CC_DS,0)),
IF(AA140="SALUD",OFFSET('PARÁMETROS'!$K$29,MATCH(U140,JC_SA,0),MATCH(T140,CC_SA,0)),
IF(AA140="MEDIO AMBIENTE",OFFSET('PARÁMETROS'!$K$20,MATCH(U140,JC_MA,0),MATCH(T140,CC_MA,0)),
IF(AA140="Rel. Gubernamentales",OFFSET('PARÁMETROS'!$K$48,MATCH(U140,JC_G,0),MATCH(T140,CC_G,0)),
IF(AA140="OPERACIONAL",OFFSET('PARÁMETROS'!$K$56,MATCH(U140,JC_OP,0),MATCH(T140,CC_OP,0)),
IF(AA140="FINANCIERO",OFFSET('PARÁMETROS'!$K$56,MATCH(U140,JC_FI,0),MATCH(T140,CC_FI,0)),
OFFSET('PARÁMETROS'!$K$38,MATCH(U140,JC_L,0),MATCH(T140,CC_L,0))))))))),"")</f>
        <v/>
      </c>
      <c r="W140" s="130"/>
      <c r="X140" s="135"/>
      <c r="Y140" s="136"/>
      <c r="Z140" s="30"/>
      <c r="AA140" s="31" t="str">
        <f>E139</f>
        <v/>
      </c>
    </row>
    <row r="141" ht="87.0" customHeight="1">
      <c r="A141" s="129"/>
      <c r="B141" s="130"/>
      <c r="C141" s="130"/>
      <c r="D141" s="130"/>
      <c r="E141" s="130"/>
      <c r="F141" s="130"/>
      <c r="G141" s="130"/>
      <c r="H141" s="130"/>
      <c r="I141" s="130"/>
      <c r="J141" s="130"/>
      <c r="K141" s="130"/>
      <c r="L141" s="130"/>
      <c r="M141" s="130"/>
      <c r="N141" s="130"/>
      <c r="O141" s="130"/>
      <c r="P141" s="132"/>
      <c r="Q141" s="134"/>
      <c r="R141" s="134"/>
      <c r="S141" s="134"/>
      <c r="T141" s="135"/>
      <c r="U141" s="135"/>
      <c r="V141" s="135" t="str">
        <f>IFERROR(IF(AA141="SEGURIDAD",OFFSET('PARÁMETROS'!$K$2,MATCH(U141,JC_SE,0),MATCH(T141,CC_SE,0)),
IF(OR(AA141="DSRC/Estratégico",AA141="DSRC/Operativo"),OFFSET('PARÁMETROS'!$K$11,MATCH(U141,JC_DS,0),MATCH(T141,CC_DS,0)),
IF(AA141="SALUD",OFFSET('PARÁMETROS'!$K$29,MATCH(U141,JC_SA,0),MATCH(T141,CC_SA,0)),
IF(AA141="MEDIO AMBIENTE",OFFSET('PARÁMETROS'!$K$20,MATCH(U141,JC_MA,0),MATCH(T141,CC_MA,0)),
IF(AA141="Rel. Gubernamentales",OFFSET('PARÁMETROS'!$K$48,MATCH(U141,JC_G,0),MATCH(T141,CC_G,0)),
IF(AA141="OPERACIONAL",OFFSET('PARÁMETROS'!$K$56,MATCH(U141,JC_OP,0),MATCH(T141,CC_OP,0)),
IF(AA141="FINANCIERO",OFFSET('PARÁMETROS'!$K$56,MATCH(U141,JC_FI,0),MATCH(T141,CC_FI,0)),
OFFSET('PARÁMETROS'!$K$38,MATCH(U141,JC_L,0),MATCH(T141,CC_L,0))))))))),"")</f>
        <v/>
      </c>
      <c r="W141" s="130"/>
      <c r="X141" s="135"/>
      <c r="Y141" s="136"/>
      <c r="Z141" s="30"/>
      <c r="AA141" s="31" t="str">
        <f>E139</f>
        <v/>
      </c>
    </row>
    <row r="142" ht="87.0" customHeight="1">
      <c r="A142" s="129"/>
      <c r="B142" s="130"/>
      <c r="C142" s="130"/>
      <c r="D142" s="130"/>
      <c r="E142" s="130"/>
      <c r="F142" s="130"/>
      <c r="G142" s="130"/>
      <c r="H142" s="130"/>
      <c r="I142" s="130"/>
      <c r="J142" s="130"/>
      <c r="K142" s="130"/>
      <c r="L142" s="130"/>
      <c r="M142" s="130"/>
      <c r="N142" s="130"/>
      <c r="O142" s="130"/>
      <c r="P142" s="132"/>
      <c r="Q142" s="134"/>
      <c r="R142" s="134"/>
      <c r="S142" s="134"/>
      <c r="T142" s="135"/>
      <c r="U142" s="135"/>
      <c r="V142" s="135" t="str">
        <f>IFERROR(IF(AA142="SEGURIDAD",OFFSET('PARÁMETROS'!$K$2,MATCH(U142,JC_SE,0),MATCH(T142,CC_SE,0)),
IF(OR(AA142="DSRC/Estratégico",AA142="DSRC/Operativo"),OFFSET('PARÁMETROS'!$K$11,MATCH(U142,JC_DS,0),MATCH(T142,CC_DS,0)),
IF(AA142="SALUD",OFFSET('PARÁMETROS'!$K$29,MATCH(U142,JC_SA,0),MATCH(T142,CC_SA,0)),
IF(AA142="MEDIO AMBIENTE",OFFSET('PARÁMETROS'!$K$20,MATCH(U142,JC_MA,0),MATCH(T142,CC_MA,0)),
IF(AA142="Rel. Gubernamentales",OFFSET('PARÁMETROS'!$K$48,MATCH(U142,JC_G,0),MATCH(T142,CC_G,0)),
IF(AA142="OPERACIONAL",OFFSET('PARÁMETROS'!$K$56,MATCH(U142,JC_OP,0),MATCH(T142,CC_OP,0)),
IF(AA142="FINANCIERO",OFFSET('PARÁMETROS'!$K$56,MATCH(U142,JC_FI,0),MATCH(T142,CC_FI,0)),
OFFSET('PARÁMETROS'!$K$38,MATCH(U142,JC_L,0),MATCH(T142,CC_L,0))))))))),"")</f>
        <v/>
      </c>
      <c r="W142" s="130"/>
      <c r="X142" s="135"/>
      <c r="Y142" s="136"/>
      <c r="Z142" s="30"/>
      <c r="AA142" s="31" t="str">
        <f>E139</f>
        <v/>
      </c>
    </row>
    <row r="143" ht="87.0" customHeight="1">
      <c r="A143" s="129"/>
      <c r="B143" s="130"/>
      <c r="C143" s="130"/>
      <c r="D143" s="130"/>
      <c r="E143" s="130"/>
      <c r="F143" s="130"/>
      <c r="G143" s="130"/>
      <c r="H143" s="130"/>
      <c r="I143" s="130"/>
      <c r="J143" s="130"/>
      <c r="K143" s="130"/>
      <c r="L143" s="130"/>
      <c r="M143" s="130"/>
      <c r="N143" s="130"/>
      <c r="O143" s="130"/>
      <c r="P143" s="132"/>
      <c r="Q143" s="134"/>
      <c r="R143" s="134"/>
      <c r="S143" s="134"/>
      <c r="T143" s="135"/>
      <c r="U143" s="135"/>
      <c r="V143" s="135" t="str">
        <f>IFERROR(IF(AA143="SEGURIDAD",OFFSET('PARÁMETROS'!$K$2,MATCH(U143,JC_SE,0),MATCH(T143,CC_SE,0)),
IF(OR(AA143="DSRC/Estratégico",AA143="DSRC/Operativo"),OFFSET('PARÁMETROS'!$K$11,MATCH(U143,JC_DS,0),MATCH(T143,CC_DS,0)),
IF(AA143="SALUD",OFFSET('PARÁMETROS'!$K$29,MATCH(U143,JC_SA,0),MATCH(T143,CC_SA,0)),
IF(AA143="MEDIO AMBIENTE",OFFSET('PARÁMETROS'!$K$20,MATCH(U143,JC_MA,0),MATCH(T143,CC_MA,0)),
IF(AA143="Rel. Gubernamentales",OFFSET('PARÁMETROS'!$K$48,MATCH(U143,JC_G,0),MATCH(T143,CC_G,0)),
IF(AA143="OPERACIONAL",OFFSET('PARÁMETROS'!$K$56,MATCH(U143,JC_OP,0),MATCH(T143,CC_OP,0)),
IF(AA143="FINANCIERO",OFFSET('PARÁMETROS'!$K$56,MATCH(U143,JC_FI,0),MATCH(T143,CC_FI,0)),
OFFSET('PARÁMETROS'!$K$38,MATCH(U143,JC_L,0),MATCH(T143,CC_L,0))))))))),"")</f>
        <v/>
      </c>
      <c r="W143" s="130"/>
      <c r="X143" s="135"/>
      <c r="Y143" s="136"/>
      <c r="Z143" s="30"/>
      <c r="AA143" s="31" t="str">
        <f>E139</f>
        <v/>
      </c>
    </row>
    <row r="144" ht="87.0" customHeight="1">
      <c r="A144" s="129"/>
      <c r="B144" s="130"/>
      <c r="C144" s="130"/>
      <c r="D144" s="130"/>
      <c r="E144" s="130"/>
      <c r="F144" s="130"/>
      <c r="G144" s="130"/>
      <c r="H144" s="130"/>
      <c r="I144" s="130"/>
      <c r="J144" s="130"/>
      <c r="K144" s="130"/>
      <c r="L144" s="130"/>
      <c r="M144" s="130"/>
      <c r="N144" s="130"/>
      <c r="O144" s="130"/>
      <c r="P144" s="132"/>
      <c r="Q144" s="134"/>
      <c r="R144" s="134"/>
      <c r="S144" s="134"/>
      <c r="T144" s="135"/>
      <c r="U144" s="135"/>
      <c r="V144" s="135" t="str">
        <f>IFERROR(IF(AA144="SEGURIDAD",OFFSET('PARÁMETROS'!$K$2,MATCH(U144,JC_SE,0),MATCH(T144,CC_SE,0)),
IF(OR(AA144="DSRC/Estratégico",AA144="DSRC/Operativo"),OFFSET('PARÁMETROS'!$K$11,MATCH(U144,JC_DS,0),MATCH(T144,CC_DS,0)),
IF(AA144="SALUD",OFFSET('PARÁMETROS'!$K$29,MATCH(U144,JC_SA,0),MATCH(T144,CC_SA,0)),
IF(AA144="MEDIO AMBIENTE",OFFSET('PARÁMETROS'!$K$20,MATCH(U144,JC_MA,0),MATCH(T144,CC_MA,0)),
IF(AA144="Rel. Gubernamentales",OFFSET('PARÁMETROS'!$K$48,MATCH(U144,JC_G,0),MATCH(T144,CC_G,0)),
IF(AA144="OPERACIONAL",OFFSET('PARÁMETROS'!$K$56,MATCH(U144,JC_OP,0),MATCH(T144,CC_OP,0)),
IF(AA144="FINANCIERO",OFFSET('PARÁMETROS'!$K$56,MATCH(U144,JC_FI,0),MATCH(T144,CC_FI,0)),
OFFSET('PARÁMETROS'!$K$38,MATCH(U144,JC_L,0),MATCH(T144,CC_L,0))))))))),"")</f>
        <v/>
      </c>
      <c r="W144" s="130"/>
      <c r="X144" s="135"/>
      <c r="Y144" s="136"/>
      <c r="Z144" s="30"/>
      <c r="AA144" s="31" t="str">
        <f>E139</f>
        <v/>
      </c>
    </row>
    <row r="145" ht="87.0" customHeight="1">
      <c r="A145" s="129"/>
      <c r="B145" s="130"/>
      <c r="C145" s="130"/>
      <c r="D145" s="130"/>
      <c r="E145" s="130"/>
      <c r="F145" s="130"/>
      <c r="G145" s="130"/>
      <c r="H145" s="130"/>
      <c r="I145" s="130"/>
      <c r="J145" s="130"/>
      <c r="K145" s="130"/>
      <c r="L145" s="130"/>
      <c r="M145" s="130"/>
      <c r="N145" s="130"/>
      <c r="O145" s="130"/>
      <c r="P145" s="132"/>
      <c r="Q145" s="134"/>
      <c r="R145" s="134"/>
      <c r="S145" s="134"/>
      <c r="T145" s="135"/>
      <c r="U145" s="135"/>
      <c r="V145" s="135" t="str">
        <f>IFERROR(IF(AA145="SEGURIDAD",OFFSET('PARÁMETROS'!$K$2,MATCH(U145,JC_SE,0),MATCH(T145,CC_SE,0)),
IF(OR(AA145="DSRC/Estratégico",AA145="DSRC/Operativo"),OFFSET('PARÁMETROS'!$K$11,MATCH(U145,JC_DS,0),MATCH(T145,CC_DS,0)),
IF(AA145="SALUD",OFFSET('PARÁMETROS'!$K$29,MATCH(U145,JC_SA,0),MATCH(T145,CC_SA,0)),
IF(AA145="MEDIO AMBIENTE",OFFSET('PARÁMETROS'!$K$20,MATCH(U145,JC_MA,0),MATCH(T145,CC_MA,0)),
IF(AA145="Rel. Gubernamentales",OFFSET('PARÁMETROS'!$K$48,MATCH(U145,JC_G,0),MATCH(T145,CC_G,0)),
IF(AA145="OPERACIONAL",OFFSET('PARÁMETROS'!$K$56,MATCH(U145,JC_OP,0),MATCH(T145,CC_OP,0)),
IF(AA145="FINANCIERO",OFFSET('PARÁMETROS'!$K$56,MATCH(U145,JC_FI,0),MATCH(T145,CC_FI,0)),
OFFSET('PARÁMETROS'!$K$38,MATCH(U145,JC_L,0),MATCH(T145,CC_L,0))))))))),"")</f>
        <v/>
      </c>
      <c r="W145" s="130"/>
      <c r="X145" s="135"/>
      <c r="Y145" s="136"/>
      <c r="Z145" s="30"/>
      <c r="AA145" s="31" t="str">
        <f>E139</f>
        <v/>
      </c>
    </row>
    <row r="146" ht="87.0" customHeight="1">
      <c r="A146" s="129"/>
      <c r="B146" s="130"/>
      <c r="C146" s="130"/>
      <c r="D146" s="130"/>
      <c r="E146" s="130"/>
      <c r="F146" s="130"/>
      <c r="G146" s="130"/>
      <c r="H146" s="130"/>
      <c r="I146" s="130"/>
      <c r="J146" s="130"/>
      <c r="K146" s="130"/>
      <c r="L146" s="130"/>
      <c r="M146" s="130"/>
      <c r="N146" s="130"/>
      <c r="O146" s="130"/>
      <c r="P146" s="132"/>
      <c r="Q146" s="134"/>
      <c r="R146" s="134"/>
      <c r="S146" s="134"/>
      <c r="T146" s="135"/>
      <c r="U146" s="135"/>
      <c r="V146" s="135" t="str">
        <f>IFERROR(IF(AA146="SEGURIDAD",OFFSET('PARÁMETROS'!$K$2,MATCH(U146,JC_SE,0),MATCH(T146,CC_SE,0)),
IF(OR(AA146="DSRC/Estratégico",AA146="DSRC/Operativo"),OFFSET('PARÁMETROS'!$K$11,MATCH(U146,JC_DS,0),MATCH(T146,CC_DS,0)),
IF(AA146="SALUD",OFFSET('PARÁMETROS'!$K$29,MATCH(U146,JC_SA,0),MATCH(T146,CC_SA,0)),
IF(AA146="MEDIO AMBIENTE",OFFSET('PARÁMETROS'!$K$20,MATCH(U146,JC_MA,0),MATCH(T146,CC_MA,0)),
IF(AA146="Rel. Gubernamentales",OFFSET('PARÁMETROS'!$K$48,MATCH(U146,JC_G,0),MATCH(T146,CC_G,0)),
IF(AA146="OPERACIONAL",OFFSET('PARÁMETROS'!$K$56,MATCH(U146,JC_OP,0),MATCH(T146,CC_OP,0)),
IF(AA146="FINANCIERO",OFFSET('PARÁMETROS'!$K$56,MATCH(U146,JC_FI,0),MATCH(T146,CC_FI,0)),
OFFSET('PARÁMETROS'!$K$38,MATCH(U146,JC_L,0),MATCH(T146,CC_L,0))))))))),"")</f>
        <v/>
      </c>
      <c r="W146" s="130"/>
      <c r="X146" s="135"/>
      <c r="Y146" s="136"/>
      <c r="Z146" s="30"/>
      <c r="AA146" s="31" t="str">
        <f>E139</f>
        <v/>
      </c>
    </row>
    <row r="147" ht="87.0" customHeight="1">
      <c r="A147" s="129"/>
      <c r="B147" s="130"/>
      <c r="C147" s="130"/>
      <c r="D147" s="130"/>
      <c r="E147" s="130"/>
      <c r="F147" s="130"/>
      <c r="G147" s="130"/>
      <c r="H147" s="130"/>
      <c r="I147" s="130"/>
      <c r="J147" s="130"/>
      <c r="K147" s="130"/>
      <c r="L147" s="130"/>
      <c r="M147" s="130"/>
      <c r="N147" s="130"/>
      <c r="O147" s="130"/>
      <c r="P147" s="132"/>
      <c r="Q147" s="134"/>
      <c r="R147" s="134"/>
      <c r="S147" s="134"/>
      <c r="T147" s="135"/>
      <c r="U147" s="135"/>
      <c r="V147" s="135" t="str">
        <f>IFERROR(IF(AA147="SEGURIDAD",OFFSET('PARÁMETROS'!$K$2,MATCH(U147,JC_SE,0),MATCH(T147,CC_SE,0)),
IF(OR(AA147="DSRC/Estratégico",AA147="DSRC/Operativo"),OFFSET('PARÁMETROS'!$K$11,MATCH(U147,JC_DS,0),MATCH(T147,CC_DS,0)),
IF(AA147="SALUD",OFFSET('PARÁMETROS'!$K$29,MATCH(U147,JC_SA,0),MATCH(T147,CC_SA,0)),
IF(AA147="MEDIO AMBIENTE",OFFSET('PARÁMETROS'!$K$20,MATCH(U147,JC_MA,0),MATCH(T147,CC_MA,0)),
IF(AA147="Rel. Gubernamentales",OFFSET('PARÁMETROS'!$K$48,MATCH(U147,JC_G,0),MATCH(T147,CC_G,0)),
IF(AA147="OPERACIONAL",OFFSET('PARÁMETROS'!$K$56,MATCH(U147,JC_OP,0),MATCH(T147,CC_OP,0)),
IF(AA147="FINANCIERO",OFFSET('PARÁMETROS'!$K$56,MATCH(U147,JC_FI,0),MATCH(T147,CC_FI,0)),
OFFSET('PARÁMETROS'!$K$38,MATCH(U147,JC_L,0),MATCH(T147,CC_L,0))))))))),"")</f>
        <v/>
      </c>
      <c r="W147" s="130"/>
      <c r="X147" s="135"/>
      <c r="Y147" s="136"/>
      <c r="Z147" s="30"/>
      <c r="AA147" s="31" t="str">
        <f>E139</f>
        <v/>
      </c>
    </row>
    <row r="148" ht="87.0" customHeight="1">
      <c r="A148" s="129"/>
      <c r="B148" s="130"/>
      <c r="C148" s="130"/>
      <c r="D148" s="130"/>
      <c r="E148" s="130"/>
      <c r="F148" s="130"/>
      <c r="G148" s="130"/>
      <c r="H148" s="130"/>
      <c r="I148" s="130"/>
      <c r="J148" s="130"/>
      <c r="K148" s="130"/>
      <c r="L148" s="130"/>
      <c r="M148" s="130"/>
      <c r="N148" s="130"/>
      <c r="O148" s="130"/>
      <c r="P148" s="132"/>
      <c r="Q148" s="134"/>
      <c r="R148" s="134"/>
      <c r="S148" s="134"/>
      <c r="T148" s="135"/>
      <c r="U148" s="135"/>
      <c r="V148" s="135" t="str">
        <f>IFERROR(IF(AA148="SEGURIDAD",OFFSET('PARÁMETROS'!$K$2,MATCH(U148,JC_SE,0),MATCH(T148,CC_SE,0)),
IF(OR(AA148="DSRC/Estratégico",AA148="DSRC/Operativo"),OFFSET('PARÁMETROS'!$K$11,MATCH(U148,JC_DS,0),MATCH(T148,CC_DS,0)),
IF(AA148="SALUD",OFFSET('PARÁMETROS'!$K$29,MATCH(U148,JC_SA,0),MATCH(T148,CC_SA,0)),
IF(AA148="MEDIO AMBIENTE",OFFSET('PARÁMETROS'!$K$20,MATCH(U148,JC_MA,0),MATCH(T148,CC_MA,0)),
IF(AA148="Rel. Gubernamentales",OFFSET('PARÁMETROS'!$K$48,MATCH(U148,JC_G,0),MATCH(T148,CC_G,0)),
IF(AA148="OPERACIONAL",OFFSET('PARÁMETROS'!$K$56,MATCH(U148,JC_OP,0),MATCH(T148,CC_OP,0)),
IF(AA148="FINANCIERO",OFFSET('PARÁMETROS'!$K$56,MATCH(U148,JC_FI,0),MATCH(T148,CC_FI,0)),
OFFSET('PARÁMETROS'!$K$38,MATCH(U148,JC_L,0),MATCH(T148,CC_L,0))))))))),"")</f>
        <v/>
      </c>
      <c r="W148" s="130"/>
      <c r="X148" s="135"/>
      <c r="Y148" s="136"/>
      <c r="Z148" s="30"/>
      <c r="AA148" s="31" t="str">
        <f>E139</f>
        <v/>
      </c>
    </row>
    <row r="149" ht="87.0" customHeight="1">
      <c r="A149" s="129"/>
      <c r="B149" s="130"/>
      <c r="C149" s="130"/>
      <c r="D149" s="130"/>
      <c r="E149" s="130"/>
      <c r="F149" s="130"/>
      <c r="G149" s="130"/>
      <c r="H149" s="130"/>
      <c r="I149" s="130"/>
      <c r="J149" s="130"/>
      <c r="K149" s="130"/>
      <c r="L149" s="130"/>
      <c r="M149" s="130"/>
      <c r="N149" s="130"/>
      <c r="O149" s="130"/>
      <c r="P149" s="132"/>
      <c r="Q149" s="134"/>
      <c r="R149" s="134"/>
      <c r="S149" s="134"/>
      <c r="T149" s="135"/>
      <c r="U149" s="135"/>
      <c r="V149" s="135" t="str">
        <f>IFERROR(IF(AA149="SEGURIDAD",OFFSET('PARÁMETROS'!$K$2,MATCH(U149,JC_SE,0),MATCH(T149,CC_SE,0)),
IF(OR(AA149="DSRC/Estratégico",AA149="DSRC/Operativo"),OFFSET('PARÁMETROS'!$K$11,MATCH(U149,JC_DS,0),MATCH(T149,CC_DS,0)),
IF(AA149="SALUD",OFFSET('PARÁMETROS'!$K$29,MATCH(U149,JC_SA,0),MATCH(T149,CC_SA,0)),
IF(AA149="MEDIO AMBIENTE",OFFSET('PARÁMETROS'!$K$20,MATCH(U149,JC_MA,0),MATCH(T149,CC_MA,0)),
IF(AA149="Rel. Gubernamentales",OFFSET('PARÁMETROS'!$K$48,MATCH(U149,JC_G,0),MATCH(T149,CC_G,0)),
IF(AA149="OPERACIONAL",OFFSET('PARÁMETROS'!$K$56,MATCH(U149,JC_OP,0),MATCH(T149,CC_OP,0)),
IF(AA149="FINANCIERO",OFFSET('PARÁMETROS'!$K$56,MATCH(U149,JC_FI,0),MATCH(T149,CC_FI,0)),
OFFSET('PARÁMETROS'!$K$38,MATCH(U149,JC_L,0),MATCH(T149,CC_L,0))))))))),"")</f>
        <v/>
      </c>
      <c r="W149" s="130"/>
      <c r="X149" s="135"/>
      <c r="Y149" s="136"/>
      <c r="Z149" s="30"/>
      <c r="AA149" s="31" t="str">
        <f>E139</f>
        <v/>
      </c>
    </row>
    <row r="150" ht="87.0" customHeight="1">
      <c r="A150" s="129"/>
      <c r="B150" s="130"/>
      <c r="C150" s="130"/>
      <c r="D150" s="130"/>
      <c r="E150" s="130"/>
      <c r="F150" s="130"/>
      <c r="G150" s="130"/>
      <c r="H150" s="130"/>
      <c r="I150" s="130"/>
      <c r="J150" s="130"/>
      <c r="K150" s="130"/>
      <c r="L150" s="130"/>
      <c r="M150" s="130"/>
      <c r="N150" s="130"/>
      <c r="O150" s="130"/>
      <c r="P150" s="132"/>
      <c r="Q150" s="134"/>
      <c r="R150" s="134"/>
      <c r="S150" s="134"/>
      <c r="T150" s="135"/>
      <c r="U150" s="135"/>
      <c r="V150" s="135" t="str">
        <f>IFERROR(IF(AA150="SEGURIDAD",OFFSET('PARÁMETROS'!$K$2,MATCH(U150,JC_SE,0),MATCH(T150,CC_SE,0)),
IF(OR(AA150="DSRC/Estratégico",AA150="DSRC/Operativo"),OFFSET('PARÁMETROS'!$K$11,MATCH(U150,JC_DS,0),MATCH(T150,CC_DS,0)),
IF(AA150="SALUD",OFFSET('PARÁMETROS'!$K$29,MATCH(U150,JC_SA,0),MATCH(T150,CC_SA,0)),
IF(AA150="MEDIO AMBIENTE",OFFSET('PARÁMETROS'!$K$20,MATCH(U150,JC_MA,0),MATCH(T150,CC_MA,0)),
IF(AA150="Rel. Gubernamentales",OFFSET('PARÁMETROS'!$K$48,MATCH(U150,JC_G,0),MATCH(T150,CC_G,0)),
IF(AA150="OPERACIONAL",OFFSET('PARÁMETROS'!$K$56,MATCH(U150,JC_OP,0),MATCH(T150,CC_OP,0)),
IF(AA150="FINANCIERO",OFFSET('PARÁMETROS'!$K$56,MATCH(U150,JC_FI,0),MATCH(T150,CC_FI,0)),
OFFSET('PARÁMETROS'!$K$38,MATCH(U150,JC_L,0),MATCH(T150,CC_L,0))))))))),"")</f>
        <v/>
      </c>
      <c r="W150" s="130"/>
      <c r="X150" s="135"/>
      <c r="Y150" s="136"/>
      <c r="Z150" s="30"/>
      <c r="AA150" s="31" t="str">
        <f>E139</f>
        <v/>
      </c>
    </row>
    <row r="151" ht="87.0" customHeight="1">
      <c r="A151" s="129"/>
      <c r="B151" s="130"/>
      <c r="C151" s="130"/>
      <c r="D151" s="130"/>
      <c r="E151" s="130"/>
      <c r="F151" s="130"/>
      <c r="G151" s="130"/>
      <c r="H151" s="130"/>
      <c r="I151" s="130"/>
      <c r="J151" s="130"/>
      <c r="K151" s="130"/>
      <c r="L151" s="130"/>
      <c r="M151" s="130"/>
      <c r="N151" s="130"/>
      <c r="O151" s="130"/>
      <c r="P151" s="132"/>
      <c r="Q151" s="134"/>
      <c r="R151" s="134"/>
      <c r="S151" s="134"/>
      <c r="T151" s="135"/>
      <c r="U151" s="135"/>
      <c r="V151" s="135" t="str">
        <f>IFERROR(IF(AA151="SEGURIDAD",OFFSET('PARÁMETROS'!$K$2,MATCH(U151,JC_SE,0),MATCH(T151,CC_SE,0)),
IF(OR(AA151="DSRC/Estratégico",AA151="DSRC/Operativo"),OFFSET('PARÁMETROS'!$K$11,MATCH(U151,JC_DS,0),MATCH(T151,CC_DS,0)),
IF(AA151="SALUD",OFFSET('PARÁMETROS'!$K$29,MATCH(U151,JC_SA,0),MATCH(T151,CC_SA,0)),
IF(AA151="MEDIO AMBIENTE",OFFSET('PARÁMETROS'!$K$20,MATCH(U151,JC_MA,0),MATCH(T151,CC_MA,0)),
IF(AA151="Rel. Gubernamentales",OFFSET('PARÁMETROS'!$K$48,MATCH(U151,JC_G,0),MATCH(T151,CC_G,0)),
IF(AA151="OPERACIONAL",OFFSET('PARÁMETROS'!$K$56,MATCH(U151,JC_OP,0),MATCH(T151,CC_OP,0)),
IF(AA151="FINANCIERO",OFFSET('PARÁMETROS'!$K$56,MATCH(U151,JC_FI,0),MATCH(T151,CC_FI,0)),
OFFSET('PARÁMETROS'!$K$38,MATCH(U151,JC_L,0),MATCH(T151,CC_L,0))))))))),"")</f>
        <v/>
      </c>
      <c r="W151" s="130"/>
      <c r="X151" s="135"/>
      <c r="Y151" s="136"/>
      <c r="Z151" s="30"/>
      <c r="AA151" s="31" t="str">
        <f>E139</f>
        <v/>
      </c>
    </row>
    <row r="152" ht="87.0" customHeight="1">
      <c r="A152" s="129"/>
      <c r="B152" s="130"/>
      <c r="C152" s="130"/>
      <c r="D152" s="130"/>
      <c r="E152" s="130"/>
      <c r="F152" s="130"/>
      <c r="G152" s="130"/>
      <c r="H152" s="130"/>
      <c r="I152" s="130"/>
      <c r="J152" s="130"/>
      <c r="K152" s="130"/>
      <c r="L152" s="130"/>
      <c r="M152" s="130"/>
      <c r="N152" s="130"/>
      <c r="O152" s="130"/>
      <c r="P152" s="132"/>
      <c r="Q152" s="134"/>
      <c r="R152" s="134"/>
      <c r="S152" s="134"/>
      <c r="T152" s="135"/>
      <c r="U152" s="135"/>
      <c r="V152" s="135" t="str">
        <f>IFERROR(IF(AA152="SEGURIDAD",OFFSET('PARÁMETROS'!$K$2,MATCH(U152,JC_SE,0),MATCH(T152,CC_SE,0)),
IF(OR(AA152="DSRC/Estratégico",AA152="DSRC/Operativo"),OFFSET('PARÁMETROS'!$K$11,MATCH(U152,JC_DS,0),MATCH(T152,CC_DS,0)),
IF(AA152="SALUD",OFFSET('PARÁMETROS'!$K$29,MATCH(U152,JC_SA,0),MATCH(T152,CC_SA,0)),
IF(AA152="MEDIO AMBIENTE",OFFSET('PARÁMETROS'!$K$20,MATCH(U152,JC_MA,0),MATCH(T152,CC_MA,0)),
IF(AA152="Rel. Gubernamentales",OFFSET('PARÁMETROS'!$K$48,MATCH(U152,JC_G,0),MATCH(T152,CC_G,0)),
IF(AA152="OPERACIONAL",OFFSET('PARÁMETROS'!$K$56,MATCH(U152,JC_OP,0),MATCH(T152,CC_OP,0)),
IF(AA152="FINANCIERO",OFFSET('PARÁMETROS'!$K$56,MATCH(U152,JC_FI,0),MATCH(T152,CC_FI,0)),
OFFSET('PARÁMETROS'!$K$38,MATCH(U152,JC_L,0),MATCH(T152,CC_L,0))))))))),"")</f>
        <v/>
      </c>
      <c r="W152" s="130"/>
      <c r="X152" s="135"/>
      <c r="Y152" s="136"/>
      <c r="Z152" s="30"/>
      <c r="AA152" s="31" t="str">
        <f>E139</f>
        <v/>
      </c>
    </row>
    <row r="153" ht="87.0" customHeight="1">
      <c r="A153" s="129"/>
      <c r="B153" s="130"/>
      <c r="C153" s="130"/>
      <c r="D153" s="130"/>
      <c r="E153" s="130"/>
      <c r="F153" s="130"/>
      <c r="G153" s="130"/>
      <c r="H153" s="130"/>
      <c r="I153" s="130"/>
      <c r="J153" s="130"/>
      <c r="K153" s="130"/>
      <c r="L153" s="130"/>
      <c r="M153" s="130"/>
      <c r="N153" s="130"/>
      <c r="O153" s="130"/>
      <c r="P153" s="132"/>
      <c r="Q153" s="134"/>
      <c r="R153" s="134"/>
      <c r="S153" s="134"/>
      <c r="T153" s="135"/>
      <c r="U153" s="135"/>
      <c r="V153" s="135" t="str">
        <f>IFERROR(IF(AA153="SEGURIDAD",OFFSET('PARÁMETROS'!$K$2,MATCH(U153,JC_SE,0),MATCH(T153,CC_SE,0)),
IF(OR(AA153="DSRC/Estratégico",AA153="DSRC/Operativo"),OFFSET('PARÁMETROS'!$K$11,MATCH(U153,JC_DS,0),MATCH(T153,CC_DS,0)),
IF(AA153="SALUD",OFFSET('PARÁMETROS'!$K$29,MATCH(U153,JC_SA,0),MATCH(T153,CC_SA,0)),
IF(AA153="MEDIO AMBIENTE",OFFSET('PARÁMETROS'!$K$20,MATCH(U153,JC_MA,0),MATCH(T153,CC_MA,0)),
IF(AA153="Rel. Gubernamentales",OFFSET('PARÁMETROS'!$K$48,MATCH(U153,JC_G,0),MATCH(T153,CC_G,0)),
IF(AA153="OPERACIONAL",OFFSET('PARÁMETROS'!$K$56,MATCH(U153,JC_OP,0),MATCH(T153,CC_OP,0)),
IF(AA153="FINANCIERO",OFFSET('PARÁMETROS'!$K$56,MATCH(U153,JC_FI,0),MATCH(T153,CC_FI,0)),
OFFSET('PARÁMETROS'!$K$38,MATCH(U153,JC_L,0),MATCH(T153,CC_L,0))))))))),"")</f>
        <v/>
      </c>
      <c r="W153" s="130"/>
      <c r="X153" s="135"/>
      <c r="Y153" s="136"/>
      <c r="Z153" s="30"/>
      <c r="AA153" s="31" t="str">
        <f>E139</f>
        <v/>
      </c>
    </row>
    <row r="154" ht="87.0" customHeight="1">
      <c r="A154" s="89"/>
      <c r="B154" s="90"/>
      <c r="C154" s="90"/>
      <c r="D154" s="90"/>
      <c r="E154" s="90"/>
      <c r="F154" s="90"/>
      <c r="G154" s="90"/>
      <c r="H154" s="90"/>
      <c r="I154" s="90"/>
      <c r="J154" s="90"/>
      <c r="K154" s="90"/>
      <c r="L154" s="90"/>
      <c r="M154" s="90"/>
      <c r="N154" s="90"/>
      <c r="O154" s="90"/>
      <c r="P154" s="132"/>
      <c r="Q154" s="134"/>
      <c r="R154" s="145"/>
      <c r="S154" s="145"/>
      <c r="T154" s="135"/>
      <c r="U154" s="135"/>
      <c r="V154" s="135" t="str">
        <f>IFERROR(IF(AA154="SEGURIDAD",OFFSET('PARÁMETROS'!$K$2,MATCH(U154,JC_SE,0),MATCH(T154,CC_SE,0)),
IF(OR(AA154="DSRC/Estratégico",AA154="DSRC/Operativo"),OFFSET('PARÁMETROS'!$K$11,MATCH(U154,JC_DS,0),MATCH(T154,CC_DS,0)),
IF(AA154="SALUD",OFFSET('PARÁMETROS'!$K$29,MATCH(U154,JC_SA,0),MATCH(T154,CC_SA,0)),
IF(AA154="MEDIO AMBIENTE",OFFSET('PARÁMETROS'!$K$20,MATCH(U154,JC_MA,0),MATCH(T154,CC_MA,0)),
IF(AA154="Rel. Gubernamentales",OFFSET('PARÁMETROS'!$K$48,MATCH(U154,JC_G,0),MATCH(T154,CC_G,0)),
IF(AA154="OPERACIONAL",OFFSET('PARÁMETROS'!$K$56,MATCH(U154,JC_OP,0),MATCH(T154,CC_OP,0)),
IF(AA154="FINANCIERO",OFFSET('PARÁMETROS'!$K$56,MATCH(U154,JC_FI,0),MATCH(T154,CC_FI,0)),
OFFSET('PARÁMETROS'!$K$38,MATCH(U154,JC_L,0),MATCH(T154,CC_L,0))))))))),"")</f>
        <v/>
      </c>
      <c r="W154" s="90"/>
      <c r="X154" s="135"/>
      <c r="Y154" s="136"/>
      <c r="Z154" s="30"/>
      <c r="AA154" s="31" t="str">
        <f>E139</f>
        <v/>
      </c>
    </row>
    <row r="155" ht="87.0" customHeight="1">
      <c r="A155" s="102"/>
      <c r="B155" s="103"/>
      <c r="C155" s="103"/>
      <c r="D155" s="103"/>
      <c r="E155" s="103"/>
      <c r="F155" s="103"/>
      <c r="G155" s="105"/>
      <c r="H155" s="103"/>
      <c r="I155" s="105"/>
      <c r="J155" s="103"/>
      <c r="K155" s="103"/>
      <c r="L155" s="103" t="str">
        <f>IF(OR(J155&lt;&gt;"",K155&lt;&gt;""),OFFSET('PARÁMETROS'!$B$2,K155,J155),"")</f>
        <v/>
      </c>
      <c r="M155" s="103"/>
      <c r="N155" s="103">
        <f>IFERROR(L155*M155,"")</f>
        <v>0</v>
      </c>
      <c r="O155" s="108" t="str">
        <f>IF(N155="","",IFERROR(IF(N155&lt;=2,"ACEPTABLE",IF(N155&lt;=6,"BAJA",IF(N155&lt;=10,"ACEPTABLE CON REVISIÓN",IF(N155&lt;=15,"SUSTANCIAL","INACEPTABLE")))),""))</f>
        <v>ACEPTABLE</v>
      </c>
      <c r="P155" s="113"/>
      <c r="Q155" s="114"/>
      <c r="R155" s="114"/>
      <c r="S155" s="114"/>
      <c r="T155" s="115"/>
      <c r="U155" s="115"/>
      <c r="V155" s="115" t="str">
        <f>IFERROR(IF(AA155="SEGURIDAD",OFFSET('PARÁMETROS'!$K$2,MATCH(U155,JC_SE,0),MATCH(T155,CC_SE,0)),
IF(OR(AA155="DSRC/Estratégico",AA155="DSRC/Operativo"),OFFSET('PARÁMETROS'!$K$11,MATCH(U155,JC_DS,0),MATCH(T155,CC_DS,0)),
IF(AA155="SALUD",OFFSET('PARÁMETROS'!$K$29,MATCH(U155,JC_SA,0),MATCH(T155,CC_SA,0)),
IF(AA155="MEDIO AMBIENTE",OFFSET('PARÁMETROS'!$K$20,MATCH(U155,JC_MA,0),MATCH(T155,CC_MA,0)),
IF(AA155="Rel. Gubernamentales",OFFSET('PARÁMETROS'!$K$48,MATCH(U155,JC_G,0),MATCH(T155,CC_G,0)),
IF(AA155="OPERACIONAL",OFFSET('PARÁMETROS'!$K$56,MATCH(U155,JC_OP,0),MATCH(T155,CC_OP,0)),
IF(AA155="FINANCIERO",OFFSET('PARÁMETROS'!$K$56,MATCH(U155,JC_FI,0),MATCH(T155,CC_FI,0)),
OFFSET('PARÁMETROS'!$K$38,MATCH(U155,JC_L,0),MATCH(T155,CC_L,0))))))))),"")</f>
        <v/>
      </c>
      <c r="W155" s="108" t="str">
        <f>IF(E155="","",
IF(COUNTA(V155:V170)-COUNTBLANK(V155:V170)=1,
IF(O155="INACEPTABLE",IF(COUNTIF(V155:V170,"Control/Acción Eficaz")&gt;=1,"SUSTANCIAL","INACEPTABLE"),
IF(O155="SUSTANCIAL",IF(COUNTIF(V155:V170,"Control/Acción Eficaz")&gt;=1,"ACEPTABLE CON REVISIÓN","SUSTANCIAL"),
IF(O155="ACEPTABLE CON REVISIÓN",IF(COUNTIF(V155:V170,"Control/Acción Eficaz")&gt;=1,"BAJA","ACEPTABLE CON REVISIÓN"),
IF(O155="BAJA",IF(COUNTIF(V155:V170,"Control/Acción Eficaz")&gt;=1,"ACEPTABLE","BAJA"),)))),
IF(COUNTA(V155:V170)-COUNTBLANK(V155:V170)=2,
IF(O155="INACEPTABLE",IF(COUNTIF(V155:V170,"Control/Acción Eficaz")=2,"ACEPTABLE CON REVISIÓN",
IF(OR(AND(COUNTIF(V155:V170,"Control/Acción Eficaz")=1,COUNTIF(V155:V170,"Control/Acción Satisfactorio")=1),
AND(COUNTIF(V155:V170,"Control/Acción Eficaz")=1,COUNTIF(V155:V170,"Control/Acción No Eficaz")=1)),"SUSTANCIAL","INACEPTABLE")),
IF(O155="SUSTANCIAL",IF(COUNTIF(V155:V170,"Control/Acción Eficaz")=2,"BAJA",
IF(OR(AND(COUNTIF(V155:V170,"Control/Acción Eficaz")=1,COUNTIF(V155:V170,"Control/Acción Satisfactorio")=1),
AND(COUNTIF(V155:V170,"Control/Acción Eficaz")=1,COUNTIF(V155:V170,"Control/Acción No Eficaz")=1)),"ACEPTABLE CON REVISIÓN ","SUSTANCIAL")),
IF(O155="ACEPTABLE CON REVISIÓN",IF(COUNTIF(V155:V170,"Control/Acción Eficaz")=2,"ACEPTABLE",
IF(OR(AND(COUNTIF(V155:V170,"Control/Acción Eficaz")=1,COUNTIF(V155:V170,"Control/Acción Satisfactorio")=1),
AND(COUNTIF(V155:V170,"Control/Acción Eficaz")=1,COUNTIF(V155:V170,"Control/Acción No Eficaz")=1)),"BAJA","ACEPTABLE CON REVISIÓN")),
IF(O155="BAJA",IF(COUNTIF(V155:V170,"Control/Acción Eficaz")&gt;=2,"ACEPTABLE","BAJA"),)))),
IF(COUNTA(V155:V170)-COUNTBLANK(V155:V170)&gt;=3,
IF(O155="INACEPTABLE",
IF(COUNTBLANK(V155:V170)=COUNTA(V155:V170),"",
IF(COUNTIF(V155:V170,"Control/Acción No Eficaz")&gt;=2,"INACEPTABLE",
IF(AND(COUNTIF(V155:V170,"Control/Acción No Eficaz")=0,COUNTIF(V155:V170,"Control/Acción Eficaz")&gt;=2),"ACEPTABLE CON REVISIÓN ","SUSTANCIAL"))),
IF(O155="SUSTANCIAL",
IF(COUNTBLANK(V155:V170)=COUNTA(V155:V170),"",
IF(COUNTIF(V155:V170,"Control/Acción No Eficaz")&gt;=2,"SUSTANCIAL",
IF(AND(COUNTIF(V155:V170,"Control/Acción No Eficaz")=0,COUNTIF(V155:V170,"Control/Acción Eficaz")&gt;=2),"BAJA","ACEPTABLE CON REVISIÓN"))),
IF(O155="ACEPTABLE CON REVISIÓN",
IF(COUNTBLANK(V155:V170)=COUNTA(V155:V170),"",
IF(COUNTIF(V155:V170,"Control/Acción No Eficaz")&gt;=2,"ACEPTABLE CON REVISIÓN",
IF(AND(COUNTIF(V155:V170,"Control/Acción No Eficaz")=0,COUNTIF(V155:V170,"Control/Acción Eficaz")&gt;=2),"ACEPTABLE","BAJA"))),
IF(O155="BAJA",
IF(COUNTBLANK(V155:V170)=COUNTA(V155:V170),"",
IF(AND(COUNTBLANK(V155:V170)&lt;1,COUNTA(V155:V170)=1),
IF(COUNTIF(V155:V170,"Control/Acción No Eficaz")&gt;=2,"BAJA",
IF(AND(COUNTIF(V155:V170,"Control/Acción No Eficaz")=0,COUNTIF(V155:V170,"Control/Acción Eficaz")&gt;=2),"ACEPTABLE","BAJA")),
IF(COUNTIF(V155:V170,"Control/Acción No Eficaz")&gt;=2,"BAJA",
IF(AND(COUNTIF(V155:V170,"Control/Acción No Eficaz")=0,COUNTIF(V155:V170,"Control/Acción Eficaz")&gt;=2),"ACEPTABLE","BAJA")))),
IF(COUNTIF(V155:V170,"")&gt;=5,"",O155))))),
""))))</f>
        <v/>
      </c>
      <c r="X155" s="115"/>
      <c r="Y155" s="128"/>
      <c r="Z155" s="30"/>
      <c r="AA155" s="31" t="str">
        <f>E155</f>
        <v/>
      </c>
    </row>
    <row r="156" ht="87.0" customHeight="1">
      <c r="A156" s="129"/>
      <c r="B156" s="130"/>
      <c r="C156" s="130"/>
      <c r="D156" s="130"/>
      <c r="E156" s="130"/>
      <c r="F156" s="130"/>
      <c r="G156" s="130"/>
      <c r="H156" s="130"/>
      <c r="I156" s="130"/>
      <c r="J156" s="130"/>
      <c r="K156" s="130"/>
      <c r="L156" s="130"/>
      <c r="M156" s="130"/>
      <c r="N156" s="130"/>
      <c r="O156" s="130"/>
      <c r="P156" s="132"/>
      <c r="Q156" s="134"/>
      <c r="R156" s="134"/>
      <c r="S156" s="134"/>
      <c r="T156" s="135"/>
      <c r="U156" s="135"/>
      <c r="V156" s="135" t="str">
        <f>IFERROR(IF(AA156="SEGURIDAD",OFFSET('PARÁMETROS'!$K$2,MATCH(U156,JC_SE,0),MATCH(T156,CC_SE,0)),
IF(OR(AA156="DSRC/Estratégico",AA156="DSRC/Operativo"),OFFSET('PARÁMETROS'!$K$11,MATCH(U156,JC_DS,0),MATCH(T156,CC_DS,0)),
IF(AA156="SALUD",OFFSET('PARÁMETROS'!$K$29,MATCH(U156,JC_SA,0),MATCH(T156,CC_SA,0)),
IF(AA156="MEDIO AMBIENTE",OFFSET('PARÁMETROS'!$K$20,MATCH(U156,JC_MA,0),MATCH(T156,CC_MA,0)),
IF(AA156="Rel. Gubernamentales",OFFSET('PARÁMETROS'!$K$48,MATCH(U156,JC_G,0),MATCH(T156,CC_G,0)),
IF(AA156="OPERACIONAL",OFFSET('PARÁMETROS'!$K$56,MATCH(U156,JC_OP,0),MATCH(T156,CC_OP,0)),
IF(AA156="FINANCIERO",OFFSET('PARÁMETROS'!$K$56,MATCH(U156,JC_FI,0),MATCH(T156,CC_FI,0)),
OFFSET('PARÁMETROS'!$K$38,MATCH(U156,JC_L,0),MATCH(T156,CC_L,0))))))))),"")</f>
        <v/>
      </c>
      <c r="W156" s="130"/>
      <c r="X156" s="135"/>
      <c r="Y156" s="136"/>
      <c r="Z156" s="30"/>
      <c r="AA156" s="31" t="str">
        <f>E155</f>
        <v/>
      </c>
    </row>
    <row r="157" ht="87.0" customHeight="1">
      <c r="A157" s="129"/>
      <c r="B157" s="130"/>
      <c r="C157" s="130"/>
      <c r="D157" s="130"/>
      <c r="E157" s="130"/>
      <c r="F157" s="130"/>
      <c r="G157" s="130"/>
      <c r="H157" s="130"/>
      <c r="I157" s="130"/>
      <c r="J157" s="130"/>
      <c r="K157" s="130"/>
      <c r="L157" s="130"/>
      <c r="M157" s="130"/>
      <c r="N157" s="130"/>
      <c r="O157" s="130"/>
      <c r="P157" s="132"/>
      <c r="Q157" s="134"/>
      <c r="R157" s="134"/>
      <c r="S157" s="134"/>
      <c r="T157" s="135"/>
      <c r="U157" s="135"/>
      <c r="V157" s="135" t="str">
        <f>IFERROR(IF(AA157="SEGURIDAD",OFFSET('PARÁMETROS'!$K$2,MATCH(U157,JC_SE,0),MATCH(T157,CC_SE,0)),
IF(OR(AA157="DSRC/Estratégico",AA157="DSRC/Operativo"),OFFSET('PARÁMETROS'!$K$11,MATCH(U157,JC_DS,0),MATCH(T157,CC_DS,0)),
IF(AA157="SALUD",OFFSET('PARÁMETROS'!$K$29,MATCH(U157,JC_SA,0),MATCH(T157,CC_SA,0)),
IF(AA157="MEDIO AMBIENTE",OFFSET('PARÁMETROS'!$K$20,MATCH(U157,JC_MA,0),MATCH(T157,CC_MA,0)),
IF(AA157="Rel. Gubernamentales",OFFSET('PARÁMETROS'!$K$48,MATCH(U157,JC_G,0),MATCH(T157,CC_G,0)),
IF(AA157="OPERACIONAL",OFFSET('PARÁMETROS'!$K$56,MATCH(U157,JC_OP,0),MATCH(T157,CC_OP,0)),
IF(AA157="FINANCIERO",OFFSET('PARÁMETROS'!$K$56,MATCH(U157,JC_FI,0),MATCH(T157,CC_FI,0)),
OFFSET('PARÁMETROS'!$K$38,MATCH(U157,JC_L,0),MATCH(T157,CC_L,0))))))))),"")</f>
        <v/>
      </c>
      <c r="W157" s="130"/>
      <c r="X157" s="135"/>
      <c r="Y157" s="136"/>
      <c r="Z157" s="30"/>
      <c r="AA157" s="31" t="str">
        <f>E155</f>
        <v/>
      </c>
    </row>
    <row r="158" ht="87.0" customHeight="1">
      <c r="A158" s="129"/>
      <c r="B158" s="130"/>
      <c r="C158" s="130"/>
      <c r="D158" s="130"/>
      <c r="E158" s="130"/>
      <c r="F158" s="130"/>
      <c r="G158" s="130"/>
      <c r="H158" s="130"/>
      <c r="I158" s="130"/>
      <c r="J158" s="130"/>
      <c r="K158" s="130"/>
      <c r="L158" s="130"/>
      <c r="M158" s="130"/>
      <c r="N158" s="130"/>
      <c r="O158" s="130"/>
      <c r="P158" s="132"/>
      <c r="Q158" s="134"/>
      <c r="R158" s="134"/>
      <c r="S158" s="134"/>
      <c r="T158" s="135"/>
      <c r="U158" s="135"/>
      <c r="V158" s="135" t="str">
        <f>IFERROR(IF(AA158="SEGURIDAD",OFFSET('PARÁMETROS'!$K$2,MATCH(U158,JC_SE,0),MATCH(T158,CC_SE,0)),
IF(OR(AA158="DSRC/Estratégico",AA158="DSRC/Operativo"),OFFSET('PARÁMETROS'!$K$11,MATCH(U158,JC_DS,0),MATCH(T158,CC_DS,0)),
IF(AA158="SALUD",OFFSET('PARÁMETROS'!$K$29,MATCH(U158,JC_SA,0),MATCH(T158,CC_SA,0)),
IF(AA158="MEDIO AMBIENTE",OFFSET('PARÁMETROS'!$K$20,MATCH(U158,JC_MA,0),MATCH(T158,CC_MA,0)),
IF(AA158="Rel. Gubernamentales",OFFSET('PARÁMETROS'!$K$48,MATCH(U158,JC_G,0),MATCH(T158,CC_G,0)),
IF(AA158="OPERACIONAL",OFFSET('PARÁMETROS'!$K$56,MATCH(U158,JC_OP,0),MATCH(T158,CC_OP,0)),
IF(AA158="FINANCIERO",OFFSET('PARÁMETROS'!$K$56,MATCH(U158,JC_FI,0),MATCH(T158,CC_FI,0)),
OFFSET('PARÁMETROS'!$K$38,MATCH(U158,JC_L,0),MATCH(T158,CC_L,0))))))))),"")</f>
        <v/>
      </c>
      <c r="W158" s="130"/>
      <c r="X158" s="135"/>
      <c r="Y158" s="136"/>
      <c r="Z158" s="30"/>
      <c r="AA158" s="31" t="str">
        <f>E155</f>
        <v/>
      </c>
    </row>
    <row r="159" ht="87.0" customHeight="1">
      <c r="A159" s="129"/>
      <c r="B159" s="130"/>
      <c r="C159" s="130"/>
      <c r="D159" s="130"/>
      <c r="E159" s="130"/>
      <c r="F159" s="130"/>
      <c r="G159" s="130"/>
      <c r="H159" s="130"/>
      <c r="I159" s="130"/>
      <c r="J159" s="130"/>
      <c r="K159" s="130"/>
      <c r="L159" s="130"/>
      <c r="M159" s="130"/>
      <c r="N159" s="130"/>
      <c r="O159" s="130"/>
      <c r="P159" s="132"/>
      <c r="Q159" s="134"/>
      <c r="R159" s="134"/>
      <c r="S159" s="134"/>
      <c r="T159" s="135"/>
      <c r="U159" s="135"/>
      <c r="V159" s="135" t="str">
        <f>IFERROR(IF(AA159="SEGURIDAD",OFFSET('PARÁMETROS'!$K$2,MATCH(U159,JC_SE,0),MATCH(T159,CC_SE,0)),
IF(OR(AA159="DSRC/Estratégico",AA159="DSRC/Operativo"),OFFSET('PARÁMETROS'!$K$11,MATCH(U159,JC_DS,0),MATCH(T159,CC_DS,0)),
IF(AA159="SALUD",OFFSET('PARÁMETROS'!$K$29,MATCH(U159,JC_SA,0),MATCH(T159,CC_SA,0)),
IF(AA159="MEDIO AMBIENTE",OFFSET('PARÁMETROS'!$K$20,MATCH(U159,JC_MA,0),MATCH(T159,CC_MA,0)),
IF(AA159="Rel. Gubernamentales",OFFSET('PARÁMETROS'!$K$48,MATCH(U159,JC_G,0),MATCH(T159,CC_G,0)),
IF(AA159="OPERACIONAL",OFFSET('PARÁMETROS'!$K$56,MATCH(U159,JC_OP,0),MATCH(T159,CC_OP,0)),
IF(AA159="FINANCIERO",OFFSET('PARÁMETROS'!$K$56,MATCH(U159,JC_FI,0),MATCH(T159,CC_FI,0)),
OFFSET('PARÁMETROS'!$K$38,MATCH(U159,JC_L,0),MATCH(T159,CC_L,0))))))))),"")</f>
        <v/>
      </c>
      <c r="W159" s="130"/>
      <c r="X159" s="135"/>
      <c r="Y159" s="136"/>
      <c r="Z159" s="30"/>
      <c r="AA159" s="31" t="str">
        <f>E155</f>
        <v/>
      </c>
    </row>
    <row r="160" ht="87.0" customHeight="1">
      <c r="A160" s="129"/>
      <c r="B160" s="130"/>
      <c r="C160" s="130"/>
      <c r="D160" s="130"/>
      <c r="E160" s="130"/>
      <c r="F160" s="130"/>
      <c r="G160" s="130"/>
      <c r="H160" s="130"/>
      <c r="I160" s="130"/>
      <c r="J160" s="130"/>
      <c r="K160" s="130"/>
      <c r="L160" s="130"/>
      <c r="M160" s="130"/>
      <c r="N160" s="130"/>
      <c r="O160" s="130"/>
      <c r="P160" s="132"/>
      <c r="Q160" s="134"/>
      <c r="R160" s="134"/>
      <c r="S160" s="134"/>
      <c r="T160" s="135"/>
      <c r="U160" s="135"/>
      <c r="V160" s="135" t="str">
        <f>IFERROR(IF(AA160="SEGURIDAD",OFFSET('PARÁMETROS'!$K$2,MATCH(U160,JC_SE,0),MATCH(T160,CC_SE,0)),
IF(OR(AA160="DSRC/Estratégico",AA160="DSRC/Operativo"),OFFSET('PARÁMETROS'!$K$11,MATCH(U160,JC_DS,0),MATCH(T160,CC_DS,0)),
IF(AA160="SALUD",OFFSET('PARÁMETROS'!$K$29,MATCH(U160,JC_SA,0),MATCH(T160,CC_SA,0)),
IF(AA160="MEDIO AMBIENTE",OFFSET('PARÁMETROS'!$K$20,MATCH(U160,JC_MA,0),MATCH(T160,CC_MA,0)),
IF(AA160="Rel. Gubernamentales",OFFSET('PARÁMETROS'!$K$48,MATCH(U160,JC_G,0),MATCH(T160,CC_G,0)),
IF(AA160="OPERACIONAL",OFFSET('PARÁMETROS'!$K$56,MATCH(U160,JC_OP,0),MATCH(T160,CC_OP,0)),
IF(AA160="FINANCIERO",OFFSET('PARÁMETROS'!$K$56,MATCH(U160,JC_FI,0),MATCH(T160,CC_FI,0)),
OFFSET('PARÁMETROS'!$K$38,MATCH(U160,JC_L,0),MATCH(T160,CC_L,0))))))))),"")</f>
        <v/>
      </c>
      <c r="W160" s="130"/>
      <c r="X160" s="135"/>
      <c r="Y160" s="136"/>
      <c r="Z160" s="30"/>
      <c r="AA160" s="31" t="str">
        <f>E155</f>
        <v/>
      </c>
    </row>
    <row r="161" ht="87.0" customHeight="1">
      <c r="A161" s="129"/>
      <c r="B161" s="130"/>
      <c r="C161" s="130"/>
      <c r="D161" s="130"/>
      <c r="E161" s="130"/>
      <c r="F161" s="130"/>
      <c r="G161" s="130"/>
      <c r="H161" s="130"/>
      <c r="I161" s="130"/>
      <c r="J161" s="130"/>
      <c r="K161" s="130"/>
      <c r="L161" s="130"/>
      <c r="M161" s="130"/>
      <c r="N161" s="130"/>
      <c r="O161" s="130"/>
      <c r="P161" s="132"/>
      <c r="Q161" s="134"/>
      <c r="R161" s="134"/>
      <c r="S161" s="134"/>
      <c r="T161" s="135"/>
      <c r="U161" s="135"/>
      <c r="V161" s="135" t="str">
        <f>IFERROR(IF(AA161="SEGURIDAD",OFFSET('PARÁMETROS'!$K$2,MATCH(U161,JC_SE,0),MATCH(T161,CC_SE,0)),
IF(OR(AA161="DSRC/Estratégico",AA161="DSRC/Operativo"),OFFSET('PARÁMETROS'!$K$11,MATCH(U161,JC_DS,0),MATCH(T161,CC_DS,0)),
IF(AA161="SALUD",OFFSET('PARÁMETROS'!$K$29,MATCH(U161,JC_SA,0),MATCH(T161,CC_SA,0)),
IF(AA161="MEDIO AMBIENTE",OFFSET('PARÁMETROS'!$K$20,MATCH(U161,JC_MA,0),MATCH(T161,CC_MA,0)),
IF(AA161="Rel. Gubernamentales",OFFSET('PARÁMETROS'!$K$48,MATCH(U161,JC_G,0),MATCH(T161,CC_G,0)),
IF(AA161="OPERACIONAL",OFFSET('PARÁMETROS'!$K$56,MATCH(U161,JC_OP,0),MATCH(T161,CC_OP,0)),
IF(AA161="FINANCIERO",OFFSET('PARÁMETROS'!$K$56,MATCH(U161,JC_FI,0),MATCH(T161,CC_FI,0)),
OFFSET('PARÁMETROS'!$K$38,MATCH(U161,JC_L,0),MATCH(T161,CC_L,0))))))))),"")</f>
        <v/>
      </c>
      <c r="W161" s="130"/>
      <c r="X161" s="135"/>
      <c r="Y161" s="136"/>
      <c r="Z161" s="30"/>
      <c r="AA161" s="31" t="str">
        <f>E155</f>
        <v/>
      </c>
    </row>
    <row r="162" ht="87.0" customHeight="1">
      <c r="A162" s="129"/>
      <c r="B162" s="130"/>
      <c r="C162" s="130"/>
      <c r="D162" s="130"/>
      <c r="E162" s="130"/>
      <c r="F162" s="130"/>
      <c r="G162" s="130"/>
      <c r="H162" s="130"/>
      <c r="I162" s="130"/>
      <c r="J162" s="130"/>
      <c r="K162" s="130"/>
      <c r="L162" s="130"/>
      <c r="M162" s="130"/>
      <c r="N162" s="130"/>
      <c r="O162" s="130"/>
      <c r="P162" s="132"/>
      <c r="Q162" s="134"/>
      <c r="R162" s="134"/>
      <c r="S162" s="134"/>
      <c r="T162" s="135"/>
      <c r="U162" s="135"/>
      <c r="V162" s="135" t="str">
        <f>IFERROR(IF(AA162="SEGURIDAD",OFFSET('PARÁMETROS'!$K$2,MATCH(U162,JC_SE,0),MATCH(T162,CC_SE,0)),
IF(OR(AA162="DSRC/Estratégico",AA162="DSRC/Operativo"),OFFSET('PARÁMETROS'!$K$11,MATCH(U162,JC_DS,0),MATCH(T162,CC_DS,0)),
IF(AA162="SALUD",OFFSET('PARÁMETROS'!$K$29,MATCH(U162,JC_SA,0),MATCH(T162,CC_SA,0)),
IF(AA162="MEDIO AMBIENTE",OFFSET('PARÁMETROS'!$K$20,MATCH(U162,JC_MA,0),MATCH(T162,CC_MA,0)),
IF(AA162="Rel. Gubernamentales",OFFSET('PARÁMETROS'!$K$48,MATCH(U162,JC_G,0),MATCH(T162,CC_G,0)),
IF(AA162="OPERACIONAL",OFFSET('PARÁMETROS'!$K$56,MATCH(U162,JC_OP,0),MATCH(T162,CC_OP,0)),
IF(AA162="FINANCIERO",OFFSET('PARÁMETROS'!$K$56,MATCH(U162,JC_FI,0),MATCH(T162,CC_FI,0)),
OFFSET('PARÁMETROS'!$K$38,MATCH(U162,JC_L,0),MATCH(T162,CC_L,0))))))))),"")</f>
        <v/>
      </c>
      <c r="W162" s="130"/>
      <c r="X162" s="135"/>
      <c r="Y162" s="136"/>
      <c r="Z162" s="30"/>
      <c r="AA162" s="31" t="str">
        <f>E155</f>
        <v/>
      </c>
    </row>
    <row r="163" ht="87.0" customHeight="1">
      <c r="A163" s="129"/>
      <c r="B163" s="130"/>
      <c r="C163" s="130"/>
      <c r="D163" s="130"/>
      <c r="E163" s="130"/>
      <c r="F163" s="130"/>
      <c r="G163" s="130"/>
      <c r="H163" s="130"/>
      <c r="I163" s="130"/>
      <c r="J163" s="130"/>
      <c r="K163" s="130"/>
      <c r="L163" s="130"/>
      <c r="M163" s="130"/>
      <c r="N163" s="130"/>
      <c r="O163" s="130"/>
      <c r="P163" s="132"/>
      <c r="Q163" s="134"/>
      <c r="R163" s="134"/>
      <c r="S163" s="134"/>
      <c r="T163" s="135"/>
      <c r="U163" s="135"/>
      <c r="V163" s="135" t="str">
        <f>IFERROR(IF(AA163="SEGURIDAD",OFFSET('PARÁMETROS'!$K$2,MATCH(U163,JC_SE,0),MATCH(T163,CC_SE,0)),
IF(OR(AA163="DSRC/Estratégico",AA163="DSRC/Operativo"),OFFSET('PARÁMETROS'!$K$11,MATCH(U163,JC_DS,0),MATCH(T163,CC_DS,0)),
IF(AA163="SALUD",OFFSET('PARÁMETROS'!$K$29,MATCH(U163,JC_SA,0),MATCH(T163,CC_SA,0)),
IF(AA163="MEDIO AMBIENTE",OFFSET('PARÁMETROS'!$K$20,MATCH(U163,JC_MA,0),MATCH(T163,CC_MA,0)),
IF(AA163="Rel. Gubernamentales",OFFSET('PARÁMETROS'!$K$48,MATCH(U163,JC_G,0),MATCH(T163,CC_G,0)),
IF(AA163="OPERACIONAL",OFFSET('PARÁMETROS'!$K$56,MATCH(U163,JC_OP,0),MATCH(T163,CC_OP,0)),
IF(AA163="FINANCIERO",OFFSET('PARÁMETROS'!$K$56,MATCH(U163,JC_FI,0),MATCH(T163,CC_FI,0)),
OFFSET('PARÁMETROS'!$K$38,MATCH(U163,JC_L,0),MATCH(T163,CC_L,0))))))))),"")</f>
        <v/>
      </c>
      <c r="W163" s="130"/>
      <c r="X163" s="135"/>
      <c r="Y163" s="136"/>
      <c r="Z163" s="30"/>
      <c r="AA163" s="31" t="str">
        <f>E155</f>
        <v/>
      </c>
    </row>
    <row r="164" ht="87.0" customHeight="1">
      <c r="A164" s="129"/>
      <c r="B164" s="130"/>
      <c r="C164" s="130"/>
      <c r="D164" s="130"/>
      <c r="E164" s="130"/>
      <c r="F164" s="130"/>
      <c r="G164" s="130"/>
      <c r="H164" s="130"/>
      <c r="I164" s="130"/>
      <c r="J164" s="130"/>
      <c r="K164" s="130"/>
      <c r="L164" s="130"/>
      <c r="M164" s="130"/>
      <c r="N164" s="130"/>
      <c r="O164" s="130"/>
      <c r="P164" s="132"/>
      <c r="Q164" s="134"/>
      <c r="R164" s="134"/>
      <c r="S164" s="134"/>
      <c r="T164" s="135"/>
      <c r="U164" s="135"/>
      <c r="V164" s="135" t="str">
        <f>IFERROR(IF(AA164="SEGURIDAD",OFFSET('PARÁMETROS'!$K$2,MATCH(U164,JC_SE,0),MATCH(T164,CC_SE,0)),
IF(OR(AA164="DSRC/Estratégico",AA164="DSRC/Operativo"),OFFSET('PARÁMETROS'!$K$11,MATCH(U164,JC_DS,0),MATCH(T164,CC_DS,0)),
IF(AA164="SALUD",OFFSET('PARÁMETROS'!$K$29,MATCH(U164,JC_SA,0),MATCH(T164,CC_SA,0)),
IF(AA164="MEDIO AMBIENTE",OFFSET('PARÁMETROS'!$K$20,MATCH(U164,JC_MA,0),MATCH(T164,CC_MA,0)),
IF(AA164="Rel. Gubernamentales",OFFSET('PARÁMETROS'!$K$48,MATCH(U164,JC_G,0),MATCH(T164,CC_G,0)),
IF(AA164="OPERACIONAL",OFFSET('PARÁMETROS'!$K$56,MATCH(U164,JC_OP,0),MATCH(T164,CC_OP,0)),
IF(AA164="FINANCIERO",OFFSET('PARÁMETROS'!$K$56,MATCH(U164,JC_FI,0),MATCH(T164,CC_FI,0)),
OFFSET('PARÁMETROS'!$K$38,MATCH(U164,JC_L,0),MATCH(T164,CC_L,0))))))))),"")</f>
        <v/>
      </c>
      <c r="W164" s="130"/>
      <c r="X164" s="135"/>
      <c r="Y164" s="136"/>
      <c r="Z164" s="30"/>
      <c r="AA164" s="31" t="str">
        <f>E155</f>
        <v/>
      </c>
    </row>
    <row r="165" ht="87.0" customHeight="1">
      <c r="A165" s="129"/>
      <c r="B165" s="130"/>
      <c r="C165" s="130"/>
      <c r="D165" s="130"/>
      <c r="E165" s="130"/>
      <c r="F165" s="130"/>
      <c r="G165" s="130"/>
      <c r="H165" s="130"/>
      <c r="I165" s="130"/>
      <c r="J165" s="130"/>
      <c r="K165" s="130"/>
      <c r="L165" s="130"/>
      <c r="M165" s="130"/>
      <c r="N165" s="130"/>
      <c r="O165" s="130"/>
      <c r="P165" s="132"/>
      <c r="Q165" s="134"/>
      <c r="R165" s="134"/>
      <c r="S165" s="134"/>
      <c r="T165" s="135"/>
      <c r="U165" s="135"/>
      <c r="V165" s="135" t="str">
        <f>IFERROR(IF(AA165="SEGURIDAD",OFFSET('PARÁMETROS'!$K$2,MATCH(U165,JC_SE,0),MATCH(T165,CC_SE,0)),
IF(OR(AA165="DSRC/Estratégico",AA165="DSRC/Operativo"),OFFSET('PARÁMETROS'!$K$11,MATCH(U165,JC_DS,0),MATCH(T165,CC_DS,0)),
IF(AA165="SALUD",OFFSET('PARÁMETROS'!$K$29,MATCH(U165,JC_SA,0),MATCH(T165,CC_SA,0)),
IF(AA165="MEDIO AMBIENTE",OFFSET('PARÁMETROS'!$K$20,MATCH(U165,JC_MA,0),MATCH(T165,CC_MA,0)),
IF(AA165="Rel. Gubernamentales",OFFSET('PARÁMETROS'!$K$48,MATCH(U165,JC_G,0),MATCH(T165,CC_G,0)),
IF(AA165="OPERACIONAL",OFFSET('PARÁMETROS'!$K$56,MATCH(U165,JC_OP,0),MATCH(T165,CC_OP,0)),
IF(AA165="FINANCIERO",OFFSET('PARÁMETROS'!$K$56,MATCH(U165,JC_FI,0),MATCH(T165,CC_FI,0)),
OFFSET('PARÁMETROS'!$K$38,MATCH(U165,JC_L,0),MATCH(T165,CC_L,0))))))))),"")</f>
        <v/>
      </c>
      <c r="W165" s="130"/>
      <c r="X165" s="135"/>
      <c r="Y165" s="136"/>
      <c r="Z165" s="30"/>
      <c r="AA165" s="31" t="str">
        <f>E155</f>
        <v/>
      </c>
    </row>
    <row r="166" ht="87.0" customHeight="1">
      <c r="A166" s="129"/>
      <c r="B166" s="130"/>
      <c r="C166" s="130"/>
      <c r="D166" s="130"/>
      <c r="E166" s="130"/>
      <c r="F166" s="130"/>
      <c r="G166" s="130"/>
      <c r="H166" s="130"/>
      <c r="I166" s="130"/>
      <c r="J166" s="130"/>
      <c r="K166" s="130"/>
      <c r="L166" s="130"/>
      <c r="M166" s="130"/>
      <c r="N166" s="130"/>
      <c r="O166" s="130"/>
      <c r="P166" s="132"/>
      <c r="Q166" s="134"/>
      <c r="R166" s="134"/>
      <c r="S166" s="134"/>
      <c r="T166" s="135"/>
      <c r="U166" s="135"/>
      <c r="V166" s="135" t="str">
        <f>IFERROR(IF(AA166="SEGURIDAD",OFFSET('PARÁMETROS'!$K$2,MATCH(U166,JC_SE,0),MATCH(T166,CC_SE,0)),
IF(OR(AA166="DSRC/Estratégico",AA166="DSRC/Operativo"),OFFSET('PARÁMETROS'!$K$11,MATCH(U166,JC_DS,0),MATCH(T166,CC_DS,0)),
IF(AA166="SALUD",OFFSET('PARÁMETROS'!$K$29,MATCH(U166,JC_SA,0),MATCH(T166,CC_SA,0)),
IF(AA166="MEDIO AMBIENTE",OFFSET('PARÁMETROS'!$K$20,MATCH(U166,JC_MA,0),MATCH(T166,CC_MA,0)),
IF(AA166="Rel. Gubernamentales",OFFSET('PARÁMETROS'!$K$48,MATCH(U166,JC_G,0),MATCH(T166,CC_G,0)),
IF(AA166="OPERACIONAL",OFFSET('PARÁMETROS'!$K$56,MATCH(U166,JC_OP,0),MATCH(T166,CC_OP,0)),
IF(AA166="FINANCIERO",OFFSET('PARÁMETROS'!$K$56,MATCH(U166,JC_FI,0),MATCH(T166,CC_FI,0)),
OFFSET('PARÁMETROS'!$K$38,MATCH(U166,JC_L,0),MATCH(T166,CC_L,0))))))))),"")</f>
        <v/>
      </c>
      <c r="W166" s="130"/>
      <c r="X166" s="135"/>
      <c r="Y166" s="136"/>
      <c r="Z166" s="30"/>
      <c r="AA166" s="31" t="str">
        <f>E155</f>
        <v/>
      </c>
    </row>
    <row r="167" ht="87.0" customHeight="1">
      <c r="A167" s="129"/>
      <c r="B167" s="130"/>
      <c r="C167" s="130"/>
      <c r="D167" s="130"/>
      <c r="E167" s="130"/>
      <c r="F167" s="130"/>
      <c r="G167" s="130"/>
      <c r="H167" s="130"/>
      <c r="I167" s="130"/>
      <c r="J167" s="130"/>
      <c r="K167" s="130"/>
      <c r="L167" s="130"/>
      <c r="M167" s="130"/>
      <c r="N167" s="130"/>
      <c r="O167" s="130"/>
      <c r="P167" s="132"/>
      <c r="Q167" s="134"/>
      <c r="R167" s="134"/>
      <c r="S167" s="134"/>
      <c r="T167" s="135"/>
      <c r="U167" s="135"/>
      <c r="V167" s="135" t="str">
        <f>IFERROR(IF(AA167="SEGURIDAD",OFFSET('PARÁMETROS'!$K$2,MATCH(U167,JC_SE,0),MATCH(T167,CC_SE,0)),
IF(OR(AA167="DSRC/Estratégico",AA167="DSRC/Operativo"),OFFSET('PARÁMETROS'!$K$11,MATCH(U167,JC_DS,0),MATCH(T167,CC_DS,0)),
IF(AA167="SALUD",OFFSET('PARÁMETROS'!$K$29,MATCH(U167,JC_SA,0),MATCH(T167,CC_SA,0)),
IF(AA167="MEDIO AMBIENTE",OFFSET('PARÁMETROS'!$K$20,MATCH(U167,JC_MA,0),MATCH(T167,CC_MA,0)),
IF(AA167="Rel. Gubernamentales",OFFSET('PARÁMETROS'!$K$48,MATCH(U167,JC_G,0),MATCH(T167,CC_G,0)),
IF(AA167="OPERACIONAL",OFFSET('PARÁMETROS'!$K$56,MATCH(U167,JC_OP,0),MATCH(T167,CC_OP,0)),
IF(AA167="FINANCIERO",OFFSET('PARÁMETROS'!$K$56,MATCH(U167,JC_FI,0),MATCH(T167,CC_FI,0)),
OFFSET('PARÁMETROS'!$K$38,MATCH(U167,JC_L,0),MATCH(T167,CC_L,0))))))))),"")</f>
        <v/>
      </c>
      <c r="W167" s="130"/>
      <c r="X167" s="135"/>
      <c r="Y167" s="136"/>
      <c r="Z167" s="30"/>
      <c r="AA167" s="31" t="str">
        <f>E155</f>
        <v/>
      </c>
    </row>
    <row r="168" ht="87.0" customHeight="1">
      <c r="A168" s="129"/>
      <c r="B168" s="130"/>
      <c r="C168" s="130"/>
      <c r="D168" s="130"/>
      <c r="E168" s="130"/>
      <c r="F168" s="130"/>
      <c r="G168" s="130"/>
      <c r="H168" s="130"/>
      <c r="I168" s="130"/>
      <c r="J168" s="130"/>
      <c r="K168" s="130"/>
      <c r="L168" s="130"/>
      <c r="M168" s="130"/>
      <c r="N168" s="130"/>
      <c r="O168" s="130"/>
      <c r="P168" s="132"/>
      <c r="Q168" s="134"/>
      <c r="R168" s="134"/>
      <c r="S168" s="134"/>
      <c r="T168" s="135"/>
      <c r="U168" s="135"/>
      <c r="V168" s="135" t="str">
        <f>IFERROR(IF(AA168="SEGURIDAD",OFFSET('PARÁMETROS'!$K$2,MATCH(U168,JC_SE,0),MATCH(T168,CC_SE,0)),
IF(OR(AA168="DSRC/Estratégico",AA168="DSRC/Operativo"),OFFSET('PARÁMETROS'!$K$11,MATCH(U168,JC_DS,0),MATCH(T168,CC_DS,0)),
IF(AA168="SALUD",OFFSET('PARÁMETROS'!$K$29,MATCH(U168,JC_SA,0),MATCH(T168,CC_SA,0)),
IF(AA168="MEDIO AMBIENTE",OFFSET('PARÁMETROS'!$K$20,MATCH(U168,JC_MA,0),MATCH(T168,CC_MA,0)),
IF(AA168="Rel. Gubernamentales",OFFSET('PARÁMETROS'!$K$48,MATCH(U168,JC_G,0),MATCH(T168,CC_G,0)),
IF(AA168="OPERACIONAL",OFFSET('PARÁMETROS'!$K$56,MATCH(U168,JC_OP,0),MATCH(T168,CC_OP,0)),
IF(AA168="FINANCIERO",OFFSET('PARÁMETROS'!$K$56,MATCH(U168,JC_FI,0),MATCH(T168,CC_FI,0)),
OFFSET('PARÁMETROS'!$K$38,MATCH(U168,JC_L,0),MATCH(T168,CC_L,0))))))))),"")</f>
        <v/>
      </c>
      <c r="W168" s="130"/>
      <c r="X168" s="135"/>
      <c r="Y168" s="136"/>
      <c r="Z168" s="30"/>
      <c r="AA168" s="31" t="str">
        <f>E155</f>
        <v/>
      </c>
    </row>
    <row r="169" ht="87.0" customHeight="1">
      <c r="A169" s="129"/>
      <c r="B169" s="130"/>
      <c r="C169" s="130"/>
      <c r="D169" s="130"/>
      <c r="E169" s="130"/>
      <c r="F169" s="130"/>
      <c r="G169" s="130"/>
      <c r="H169" s="130"/>
      <c r="I169" s="130"/>
      <c r="J169" s="130"/>
      <c r="K169" s="130"/>
      <c r="L169" s="130"/>
      <c r="M169" s="130"/>
      <c r="N169" s="130"/>
      <c r="O169" s="130"/>
      <c r="P169" s="132"/>
      <c r="Q169" s="134"/>
      <c r="R169" s="134"/>
      <c r="S169" s="134"/>
      <c r="T169" s="135"/>
      <c r="U169" s="135"/>
      <c r="V169" s="135" t="str">
        <f>IFERROR(IF(AA169="SEGURIDAD",OFFSET('PARÁMETROS'!$K$2,MATCH(U169,JC_SE,0),MATCH(T169,CC_SE,0)),
IF(OR(AA169="DSRC/Estratégico",AA169="DSRC/Operativo"),OFFSET('PARÁMETROS'!$K$11,MATCH(U169,JC_DS,0),MATCH(T169,CC_DS,0)),
IF(AA169="SALUD",OFFSET('PARÁMETROS'!$K$29,MATCH(U169,JC_SA,0),MATCH(T169,CC_SA,0)),
IF(AA169="MEDIO AMBIENTE",OFFSET('PARÁMETROS'!$K$20,MATCH(U169,JC_MA,0),MATCH(T169,CC_MA,0)),
IF(AA169="Rel. Gubernamentales",OFFSET('PARÁMETROS'!$K$48,MATCH(U169,JC_G,0),MATCH(T169,CC_G,0)),
IF(AA169="OPERACIONAL",OFFSET('PARÁMETROS'!$K$56,MATCH(U169,JC_OP,0),MATCH(T169,CC_OP,0)),
IF(AA169="FINANCIERO",OFFSET('PARÁMETROS'!$K$56,MATCH(U169,JC_FI,0),MATCH(T169,CC_FI,0)),
OFFSET('PARÁMETROS'!$K$38,MATCH(U169,JC_L,0),MATCH(T169,CC_L,0))))))))),"")</f>
        <v/>
      </c>
      <c r="W169" s="130"/>
      <c r="X169" s="135"/>
      <c r="Y169" s="136"/>
      <c r="Z169" s="30"/>
      <c r="AA169" s="31" t="str">
        <f>E155</f>
        <v/>
      </c>
    </row>
    <row r="170" ht="87.0" customHeight="1">
      <c r="A170" s="89"/>
      <c r="B170" s="90"/>
      <c r="C170" s="90"/>
      <c r="D170" s="90"/>
      <c r="E170" s="90"/>
      <c r="F170" s="90"/>
      <c r="G170" s="90"/>
      <c r="H170" s="90"/>
      <c r="I170" s="90"/>
      <c r="J170" s="90"/>
      <c r="K170" s="90"/>
      <c r="L170" s="90"/>
      <c r="M170" s="90"/>
      <c r="N170" s="90"/>
      <c r="O170" s="90"/>
      <c r="P170" s="132"/>
      <c r="Q170" s="134"/>
      <c r="R170" s="145"/>
      <c r="S170" s="145"/>
      <c r="T170" s="135"/>
      <c r="U170" s="135"/>
      <c r="V170" s="135" t="str">
        <f>IFERROR(IF(AA170="SEGURIDAD",OFFSET('PARÁMETROS'!$K$2,MATCH(U170,JC_SE,0),MATCH(T170,CC_SE,0)),
IF(OR(AA170="DSRC/Estratégico",AA170="DSRC/Operativo"),OFFSET('PARÁMETROS'!$K$11,MATCH(U170,JC_DS,0),MATCH(T170,CC_DS,0)),
IF(AA170="SALUD",OFFSET('PARÁMETROS'!$K$29,MATCH(U170,JC_SA,0),MATCH(T170,CC_SA,0)),
IF(AA170="MEDIO AMBIENTE",OFFSET('PARÁMETROS'!$K$20,MATCH(U170,JC_MA,0),MATCH(T170,CC_MA,0)),
IF(AA170="Rel. Gubernamentales",OFFSET('PARÁMETROS'!$K$48,MATCH(U170,JC_G,0),MATCH(T170,CC_G,0)),
IF(AA170="OPERACIONAL",OFFSET('PARÁMETROS'!$K$56,MATCH(U170,JC_OP,0),MATCH(T170,CC_OP,0)),
IF(AA170="FINANCIERO",OFFSET('PARÁMETROS'!$K$56,MATCH(U170,JC_FI,0),MATCH(T170,CC_FI,0)),
OFFSET('PARÁMETROS'!$K$38,MATCH(U170,JC_L,0),MATCH(T170,CC_L,0))))))))),"")</f>
        <v/>
      </c>
      <c r="W170" s="90"/>
      <c r="X170" s="135"/>
      <c r="Y170" s="136"/>
      <c r="Z170" s="30"/>
      <c r="AA170" s="31" t="str">
        <f>E155</f>
        <v/>
      </c>
    </row>
    <row r="171" ht="87.0" customHeight="1">
      <c r="A171" s="102"/>
      <c r="B171" s="103"/>
      <c r="C171" s="103"/>
      <c r="D171" s="103"/>
      <c r="E171" s="103"/>
      <c r="F171" s="103"/>
      <c r="G171" s="105"/>
      <c r="H171" s="103"/>
      <c r="I171" s="105"/>
      <c r="J171" s="103"/>
      <c r="K171" s="103"/>
      <c r="L171" s="103" t="str">
        <f>IF(OR(J171&lt;&gt;"",K171&lt;&gt;""),OFFSET('PARÁMETROS'!$B$2,K171,J171),"")</f>
        <v/>
      </c>
      <c r="M171" s="103"/>
      <c r="N171" s="103">
        <f>IFERROR(L171*M171,"")</f>
        <v>0</v>
      </c>
      <c r="O171" s="108" t="str">
        <f>IF(N171="","",IFERROR(IF(N171&lt;=2,"ACEPTABLE",IF(N171&lt;=6,"BAJA",IF(N171&lt;=10,"ACEPTABLE CON REVISIÓN",IF(N171&lt;=15,"SUSTANCIAL","INACEPTABLE")))),""))</f>
        <v>ACEPTABLE</v>
      </c>
      <c r="P171" s="113"/>
      <c r="Q171" s="114"/>
      <c r="R171" s="114"/>
      <c r="S171" s="114"/>
      <c r="T171" s="115"/>
      <c r="U171" s="115"/>
      <c r="V171" s="115" t="str">
        <f>IFERROR(IF(AA171="SEGURIDAD",OFFSET('PARÁMETROS'!$K$2,MATCH(U171,JC_SE,0),MATCH(T171,CC_SE,0)),
IF(OR(AA171="DSRC/Estratégico",AA171="DSRC/Operativo"),OFFSET('PARÁMETROS'!$K$11,MATCH(U171,JC_DS,0),MATCH(T171,CC_DS,0)),
IF(AA171="SALUD",OFFSET('PARÁMETROS'!$K$29,MATCH(U171,JC_SA,0),MATCH(T171,CC_SA,0)),
IF(AA171="MEDIO AMBIENTE",OFFSET('PARÁMETROS'!$K$20,MATCH(U171,JC_MA,0),MATCH(T171,CC_MA,0)),
IF(AA171="Rel. Gubernamentales",OFFSET('PARÁMETROS'!$K$48,MATCH(U171,JC_G,0),MATCH(T171,CC_G,0)),
IF(AA171="OPERACIONAL",OFFSET('PARÁMETROS'!$K$56,MATCH(U171,JC_OP,0),MATCH(T171,CC_OP,0)),
IF(AA171="FINANCIERO",OFFSET('PARÁMETROS'!$K$56,MATCH(U171,JC_FI,0),MATCH(T171,CC_FI,0)),
OFFSET('PARÁMETROS'!$K$38,MATCH(U171,JC_L,0),MATCH(T171,CC_L,0))))))))),"")</f>
        <v/>
      </c>
      <c r="W171" s="108" t="str">
        <f>IF(E171="","",
IF(COUNTA(V171:V186)-COUNTBLANK(V171:V186)=1,
IF(O171="INACEPTABLE",IF(COUNTIF(V171:V186,"Control/Acción Eficaz")&gt;=1,"SUSTANCIAL","INACEPTABLE"),
IF(O171="SUSTANCIAL",IF(COUNTIF(V171:V186,"Control/Acción Eficaz")&gt;=1,"ACEPTABLE CON REVISIÓN","SUSTANCIAL"),
IF(O171="ACEPTABLE CON REVISIÓN",IF(COUNTIF(V171:V186,"Control/Acción Eficaz")&gt;=1,"BAJA","ACEPTABLE CON REVISIÓN"),
IF(O171="BAJA",IF(COUNTIF(V171:V186,"Control/Acción Eficaz")&gt;=1,"ACEPTABLE","BAJA"),)))),
IF(COUNTA(V171:V186)-COUNTBLANK(V171:V186)=2,
IF(O171="INACEPTABLE",IF(COUNTIF(V171:V186,"Control/Acción Eficaz")=2,"ACEPTABLE CON REVISIÓN",
IF(OR(AND(COUNTIF(V171:V186,"Control/Acción Eficaz")=1,COUNTIF(V171:V186,"Control/Acción Satisfactorio")=1),
AND(COUNTIF(V171:V186,"Control/Acción Eficaz")=1,COUNTIF(V171:V186,"Control/Acción No Eficaz")=1)),"SUSTANCIAL","INACEPTABLE")),
IF(O171="SUSTANCIAL",IF(COUNTIF(V171:V186,"Control/Acción Eficaz")=2,"BAJA",
IF(OR(AND(COUNTIF(V171:V186,"Control/Acción Eficaz")=1,COUNTIF(V171:V186,"Control/Acción Satisfactorio")=1),
AND(COUNTIF(V171:V186,"Control/Acción Eficaz")=1,COUNTIF(V171:V186,"Control/Acción No Eficaz")=1)),"ACEPTABLE CON REVISIÓN ","SUSTANCIAL")),
IF(O171="ACEPTABLE CON REVISIÓN",IF(COUNTIF(V171:V186,"Control/Acción Eficaz")=2,"ACEPTABLE",
IF(OR(AND(COUNTIF(V171:V186,"Control/Acción Eficaz")=1,COUNTIF(V171:V186,"Control/Acción Satisfactorio")=1),
AND(COUNTIF(V171:V186,"Control/Acción Eficaz")=1,COUNTIF(V171:V186,"Control/Acción No Eficaz")=1)),"BAJA","ACEPTABLE CON REVISIÓN")),
IF(O171="BAJA",IF(COUNTIF(V171:V186,"Control/Acción Eficaz")&gt;=2,"ACEPTABLE","BAJA"),)))),
IF(COUNTA(V171:V186)-COUNTBLANK(V171:V186)&gt;=3,
IF(O171="INACEPTABLE",
IF(COUNTBLANK(V171:V186)=COUNTA(V171:V186),"",
IF(COUNTIF(V171:V186,"Control/Acción No Eficaz")&gt;=2,"INACEPTABLE",
IF(AND(COUNTIF(V171:V186,"Control/Acción No Eficaz")=0,COUNTIF(V171:V186,"Control/Acción Eficaz")&gt;=2),"ACEPTABLE CON REVISIÓN ","SUSTANCIAL"))),
IF(O171="SUSTANCIAL",
IF(COUNTBLANK(V171:V186)=COUNTA(V171:V186),"",
IF(COUNTIF(V171:V186,"Control/Acción No Eficaz")&gt;=2,"SUSTANCIAL",
IF(AND(COUNTIF(V171:V186,"Control/Acción No Eficaz")=0,COUNTIF(V171:V186,"Control/Acción Eficaz")&gt;=2),"BAJA","ACEPTABLE CON REVISIÓN"))),
IF(O171="ACEPTABLE CON REVISIÓN",
IF(COUNTBLANK(V171:V186)=COUNTA(V171:V186),"",
IF(COUNTIF(V171:V186,"Control/Acción No Eficaz")&gt;=2,"ACEPTABLE CON REVISIÓN",
IF(AND(COUNTIF(V171:V186,"Control/Acción No Eficaz")=0,COUNTIF(V171:V186,"Control/Acción Eficaz")&gt;=2),"ACEPTABLE","BAJA"))),
IF(O171="BAJA",
IF(COUNTBLANK(V171:V186)=COUNTA(V171:V186),"",
IF(AND(COUNTBLANK(V171:V186)&lt;1,COUNTA(V171:V186)=1),
IF(COUNTIF(V171:V186,"Control/Acción No Eficaz")&gt;=2,"BAJA",
IF(AND(COUNTIF(V171:V186,"Control/Acción No Eficaz")=0,COUNTIF(V171:V186,"Control/Acción Eficaz")&gt;=2),"ACEPTABLE","BAJA")),
IF(COUNTIF(V171:V186,"Control/Acción No Eficaz")&gt;=2,"BAJA",
IF(AND(COUNTIF(V171:V186,"Control/Acción No Eficaz")=0,COUNTIF(V171:V186,"Control/Acción Eficaz")&gt;=2),"ACEPTABLE","BAJA")))),
IF(COUNTIF(V171:V186,"")&gt;=5,"",O171))))),
""))))</f>
        <v/>
      </c>
      <c r="X171" s="115"/>
      <c r="Y171" s="128"/>
      <c r="Z171" s="30"/>
      <c r="AA171" s="31" t="str">
        <f>E171</f>
        <v/>
      </c>
    </row>
    <row r="172" ht="87.0" customHeight="1">
      <c r="A172" s="129"/>
      <c r="B172" s="130"/>
      <c r="C172" s="130"/>
      <c r="D172" s="130"/>
      <c r="E172" s="130"/>
      <c r="F172" s="130"/>
      <c r="G172" s="130"/>
      <c r="H172" s="130"/>
      <c r="I172" s="130"/>
      <c r="J172" s="130"/>
      <c r="K172" s="130"/>
      <c r="L172" s="130"/>
      <c r="M172" s="130"/>
      <c r="N172" s="130"/>
      <c r="O172" s="130"/>
      <c r="P172" s="132"/>
      <c r="Q172" s="134"/>
      <c r="R172" s="134"/>
      <c r="S172" s="134"/>
      <c r="T172" s="135"/>
      <c r="U172" s="135"/>
      <c r="V172" s="135" t="str">
        <f>IFERROR(IF(AA172="SEGURIDAD",OFFSET('PARÁMETROS'!$K$2,MATCH(U172,JC_SE,0),MATCH(T172,CC_SE,0)),
IF(OR(AA172="DSRC/Estratégico",AA172="DSRC/Operativo"),OFFSET('PARÁMETROS'!$K$11,MATCH(U172,JC_DS,0),MATCH(T172,CC_DS,0)),
IF(AA172="SALUD",OFFSET('PARÁMETROS'!$K$29,MATCH(U172,JC_SA,0),MATCH(T172,CC_SA,0)),
IF(AA172="MEDIO AMBIENTE",OFFSET('PARÁMETROS'!$K$20,MATCH(U172,JC_MA,0),MATCH(T172,CC_MA,0)),
IF(AA172="Rel. Gubernamentales",OFFSET('PARÁMETROS'!$K$48,MATCH(U172,JC_G,0),MATCH(T172,CC_G,0)),
IF(AA172="OPERACIONAL",OFFSET('PARÁMETROS'!$K$56,MATCH(U172,JC_OP,0),MATCH(T172,CC_OP,0)),
IF(AA172="FINANCIERO",OFFSET('PARÁMETROS'!$K$56,MATCH(U172,JC_FI,0),MATCH(T172,CC_FI,0)),
OFFSET('PARÁMETROS'!$K$38,MATCH(U172,JC_L,0),MATCH(T172,CC_L,0))))))))),"")</f>
        <v/>
      </c>
      <c r="W172" s="130"/>
      <c r="X172" s="135"/>
      <c r="Y172" s="136"/>
      <c r="Z172" s="30"/>
      <c r="AA172" s="31" t="str">
        <f>E171</f>
        <v/>
      </c>
    </row>
    <row r="173" ht="87.0" customHeight="1">
      <c r="A173" s="129"/>
      <c r="B173" s="130"/>
      <c r="C173" s="130"/>
      <c r="D173" s="130"/>
      <c r="E173" s="130"/>
      <c r="F173" s="130"/>
      <c r="G173" s="130"/>
      <c r="H173" s="130"/>
      <c r="I173" s="130"/>
      <c r="J173" s="130"/>
      <c r="K173" s="130"/>
      <c r="L173" s="130"/>
      <c r="M173" s="130"/>
      <c r="N173" s="130"/>
      <c r="O173" s="130"/>
      <c r="P173" s="132"/>
      <c r="Q173" s="134"/>
      <c r="R173" s="134"/>
      <c r="S173" s="134"/>
      <c r="T173" s="135"/>
      <c r="U173" s="135"/>
      <c r="V173" s="135" t="str">
        <f>IFERROR(IF(AA173="SEGURIDAD",OFFSET('PARÁMETROS'!$K$2,MATCH(U173,JC_SE,0),MATCH(T173,CC_SE,0)),
IF(OR(AA173="DSRC/Estratégico",AA173="DSRC/Operativo"),OFFSET('PARÁMETROS'!$K$11,MATCH(U173,JC_DS,0),MATCH(T173,CC_DS,0)),
IF(AA173="SALUD",OFFSET('PARÁMETROS'!$K$29,MATCH(U173,JC_SA,0),MATCH(T173,CC_SA,0)),
IF(AA173="MEDIO AMBIENTE",OFFSET('PARÁMETROS'!$K$20,MATCH(U173,JC_MA,0),MATCH(T173,CC_MA,0)),
IF(AA173="Rel. Gubernamentales",OFFSET('PARÁMETROS'!$K$48,MATCH(U173,JC_G,0),MATCH(T173,CC_G,0)),
IF(AA173="OPERACIONAL",OFFSET('PARÁMETROS'!$K$56,MATCH(U173,JC_OP,0),MATCH(T173,CC_OP,0)),
IF(AA173="FINANCIERO",OFFSET('PARÁMETROS'!$K$56,MATCH(U173,JC_FI,0),MATCH(T173,CC_FI,0)),
OFFSET('PARÁMETROS'!$K$38,MATCH(U173,JC_L,0),MATCH(T173,CC_L,0))))))))),"")</f>
        <v/>
      </c>
      <c r="W173" s="130"/>
      <c r="X173" s="135"/>
      <c r="Y173" s="136"/>
      <c r="Z173" s="30"/>
      <c r="AA173" s="31" t="str">
        <f>E171</f>
        <v/>
      </c>
    </row>
    <row r="174" ht="87.0" customHeight="1">
      <c r="A174" s="129"/>
      <c r="B174" s="130"/>
      <c r="C174" s="130"/>
      <c r="D174" s="130"/>
      <c r="E174" s="130"/>
      <c r="F174" s="130"/>
      <c r="G174" s="130"/>
      <c r="H174" s="130"/>
      <c r="I174" s="130"/>
      <c r="J174" s="130"/>
      <c r="K174" s="130"/>
      <c r="L174" s="130"/>
      <c r="M174" s="130"/>
      <c r="N174" s="130"/>
      <c r="O174" s="130"/>
      <c r="P174" s="132"/>
      <c r="Q174" s="134"/>
      <c r="R174" s="134"/>
      <c r="S174" s="134"/>
      <c r="T174" s="135"/>
      <c r="U174" s="135"/>
      <c r="V174" s="135" t="str">
        <f>IFERROR(IF(AA174="SEGURIDAD",OFFSET('PARÁMETROS'!$K$2,MATCH(U174,JC_SE,0),MATCH(T174,CC_SE,0)),
IF(OR(AA174="DSRC/Estratégico",AA174="DSRC/Operativo"),OFFSET('PARÁMETROS'!$K$11,MATCH(U174,JC_DS,0),MATCH(T174,CC_DS,0)),
IF(AA174="SALUD",OFFSET('PARÁMETROS'!$K$29,MATCH(U174,JC_SA,0),MATCH(T174,CC_SA,0)),
IF(AA174="MEDIO AMBIENTE",OFFSET('PARÁMETROS'!$K$20,MATCH(U174,JC_MA,0),MATCH(T174,CC_MA,0)),
IF(AA174="Rel. Gubernamentales",OFFSET('PARÁMETROS'!$K$48,MATCH(U174,JC_G,0),MATCH(T174,CC_G,0)),
IF(AA174="OPERACIONAL",OFFSET('PARÁMETROS'!$K$56,MATCH(U174,JC_OP,0),MATCH(T174,CC_OP,0)),
IF(AA174="FINANCIERO",OFFSET('PARÁMETROS'!$K$56,MATCH(U174,JC_FI,0),MATCH(T174,CC_FI,0)),
OFFSET('PARÁMETROS'!$K$38,MATCH(U174,JC_L,0),MATCH(T174,CC_L,0))))))))),"")</f>
        <v/>
      </c>
      <c r="W174" s="130"/>
      <c r="X174" s="135"/>
      <c r="Y174" s="136"/>
      <c r="Z174" s="30"/>
      <c r="AA174" s="31" t="str">
        <f>E171</f>
        <v/>
      </c>
    </row>
    <row r="175" ht="87.0" customHeight="1">
      <c r="A175" s="129"/>
      <c r="B175" s="130"/>
      <c r="C175" s="130"/>
      <c r="D175" s="130"/>
      <c r="E175" s="130"/>
      <c r="F175" s="130"/>
      <c r="G175" s="130"/>
      <c r="H175" s="130"/>
      <c r="I175" s="130"/>
      <c r="J175" s="130"/>
      <c r="K175" s="130"/>
      <c r="L175" s="130"/>
      <c r="M175" s="130"/>
      <c r="N175" s="130"/>
      <c r="O175" s="130"/>
      <c r="P175" s="132"/>
      <c r="Q175" s="134"/>
      <c r="R175" s="134"/>
      <c r="S175" s="134"/>
      <c r="T175" s="135"/>
      <c r="U175" s="135"/>
      <c r="V175" s="135" t="str">
        <f>IFERROR(IF(AA175="SEGURIDAD",OFFSET('PARÁMETROS'!$K$2,MATCH(U175,JC_SE,0),MATCH(T175,CC_SE,0)),
IF(OR(AA175="DSRC/Estratégico",AA175="DSRC/Operativo"),OFFSET('PARÁMETROS'!$K$11,MATCH(U175,JC_DS,0),MATCH(T175,CC_DS,0)),
IF(AA175="SALUD",OFFSET('PARÁMETROS'!$K$29,MATCH(U175,JC_SA,0),MATCH(T175,CC_SA,0)),
IF(AA175="MEDIO AMBIENTE",OFFSET('PARÁMETROS'!$K$20,MATCH(U175,JC_MA,0),MATCH(T175,CC_MA,0)),
IF(AA175="Rel. Gubernamentales",OFFSET('PARÁMETROS'!$K$48,MATCH(U175,JC_G,0),MATCH(T175,CC_G,0)),
IF(AA175="OPERACIONAL",OFFSET('PARÁMETROS'!$K$56,MATCH(U175,JC_OP,0),MATCH(T175,CC_OP,0)),
IF(AA175="FINANCIERO",OFFSET('PARÁMETROS'!$K$56,MATCH(U175,JC_FI,0),MATCH(T175,CC_FI,0)),
OFFSET('PARÁMETROS'!$K$38,MATCH(U175,JC_L,0),MATCH(T175,CC_L,0))))))))),"")</f>
        <v/>
      </c>
      <c r="W175" s="130"/>
      <c r="X175" s="135"/>
      <c r="Y175" s="136"/>
      <c r="Z175" s="30"/>
      <c r="AA175" s="31" t="str">
        <f>E171</f>
        <v/>
      </c>
    </row>
    <row r="176" ht="87.0" customHeight="1">
      <c r="A176" s="129"/>
      <c r="B176" s="130"/>
      <c r="C176" s="130"/>
      <c r="D176" s="130"/>
      <c r="E176" s="130"/>
      <c r="F176" s="130"/>
      <c r="G176" s="130"/>
      <c r="H176" s="130"/>
      <c r="I176" s="130"/>
      <c r="J176" s="130"/>
      <c r="K176" s="130"/>
      <c r="L176" s="130"/>
      <c r="M176" s="130"/>
      <c r="N176" s="130"/>
      <c r="O176" s="130"/>
      <c r="P176" s="132"/>
      <c r="Q176" s="134"/>
      <c r="R176" s="134"/>
      <c r="S176" s="134"/>
      <c r="T176" s="135"/>
      <c r="U176" s="135"/>
      <c r="V176" s="135" t="str">
        <f>IFERROR(IF(AA176="SEGURIDAD",OFFSET('PARÁMETROS'!$K$2,MATCH(U176,JC_SE,0),MATCH(T176,CC_SE,0)),
IF(OR(AA176="DSRC/Estratégico",AA176="DSRC/Operativo"),OFFSET('PARÁMETROS'!$K$11,MATCH(U176,JC_DS,0),MATCH(T176,CC_DS,0)),
IF(AA176="SALUD",OFFSET('PARÁMETROS'!$K$29,MATCH(U176,JC_SA,0),MATCH(T176,CC_SA,0)),
IF(AA176="MEDIO AMBIENTE",OFFSET('PARÁMETROS'!$K$20,MATCH(U176,JC_MA,0),MATCH(T176,CC_MA,0)),
IF(AA176="Rel. Gubernamentales",OFFSET('PARÁMETROS'!$K$48,MATCH(U176,JC_G,0),MATCH(T176,CC_G,0)),
IF(AA176="OPERACIONAL",OFFSET('PARÁMETROS'!$K$56,MATCH(U176,JC_OP,0),MATCH(T176,CC_OP,0)),
IF(AA176="FINANCIERO",OFFSET('PARÁMETROS'!$K$56,MATCH(U176,JC_FI,0),MATCH(T176,CC_FI,0)),
OFFSET('PARÁMETROS'!$K$38,MATCH(U176,JC_L,0),MATCH(T176,CC_L,0))))))))),"")</f>
        <v/>
      </c>
      <c r="W176" s="130"/>
      <c r="X176" s="135"/>
      <c r="Y176" s="136"/>
      <c r="Z176" s="30"/>
      <c r="AA176" s="31" t="str">
        <f>E171</f>
        <v/>
      </c>
    </row>
    <row r="177" ht="87.0" customHeight="1">
      <c r="A177" s="129"/>
      <c r="B177" s="130"/>
      <c r="C177" s="130"/>
      <c r="D177" s="130"/>
      <c r="E177" s="130"/>
      <c r="F177" s="130"/>
      <c r="G177" s="130"/>
      <c r="H177" s="130"/>
      <c r="I177" s="130"/>
      <c r="J177" s="130"/>
      <c r="K177" s="130"/>
      <c r="L177" s="130"/>
      <c r="M177" s="130"/>
      <c r="N177" s="130"/>
      <c r="O177" s="130"/>
      <c r="P177" s="132"/>
      <c r="Q177" s="134"/>
      <c r="R177" s="134"/>
      <c r="S177" s="134"/>
      <c r="T177" s="135"/>
      <c r="U177" s="135"/>
      <c r="V177" s="135" t="str">
        <f>IFERROR(IF(AA177="SEGURIDAD",OFFSET('PARÁMETROS'!$K$2,MATCH(U177,JC_SE,0),MATCH(T177,CC_SE,0)),
IF(OR(AA177="DSRC/Estratégico",AA177="DSRC/Operativo"),OFFSET('PARÁMETROS'!$K$11,MATCH(U177,JC_DS,0),MATCH(T177,CC_DS,0)),
IF(AA177="SALUD",OFFSET('PARÁMETROS'!$K$29,MATCH(U177,JC_SA,0),MATCH(T177,CC_SA,0)),
IF(AA177="MEDIO AMBIENTE",OFFSET('PARÁMETROS'!$K$20,MATCH(U177,JC_MA,0),MATCH(T177,CC_MA,0)),
IF(AA177="Rel. Gubernamentales",OFFSET('PARÁMETROS'!$K$48,MATCH(U177,JC_G,0),MATCH(T177,CC_G,0)),
IF(AA177="OPERACIONAL",OFFSET('PARÁMETROS'!$K$56,MATCH(U177,JC_OP,0),MATCH(T177,CC_OP,0)),
IF(AA177="FINANCIERO",OFFSET('PARÁMETROS'!$K$56,MATCH(U177,JC_FI,0),MATCH(T177,CC_FI,0)),
OFFSET('PARÁMETROS'!$K$38,MATCH(U177,JC_L,0),MATCH(T177,CC_L,0))))))))),"")</f>
        <v/>
      </c>
      <c r="W177" s="130"/>
      <c r="X177" s="135"/>
      <c r="Y177" s="136"/>
      <c r="Z177" s="30"/>
      <c r="AA177" s="31" t="str">
        <f>E171</f>
        <v/>
      </c>
    </row>
    <row r="178" ht="87.0" customHeight="1">
      <c r="A178" s="129"/>
      <c r="B178" s="130"/>
      <c r="C178" s="130"/>
      <c r="D178" s="130"/>
      <c r="E178" s="130"/>
      <c r="F178" s="130"/>
      <c r="G178" s="130"/>
      <c r="H178" s="130"/>
      <c r="I178" s="130"/>
      <c r="J178" s="130"/>
      <c r="K178" s="130"/>
      <c r="L178" s="130"/>
      <c r="M178" s="130"/>
      <c r="N178" s="130"/>
      <c r="O178" s="130"/>
      <c r="P178" s="132"/>
      <c r="Q178" s="134"/>
      <c r="R178" s="134"/>
      <c r="S178" s="134"/>
      <c r="T178" s="135"/>
      <c r="U178" s="135"/>
      <c r="V178" s="135" t="str">
        <f>IFERROR(IF(AA178="SEGURIDAD",OFFSET('PARÁMETROS'!$K$2,MATCH(U178,JC_SE,0),MATCH(T178,CC_SE,0)),
IF(OR(AA178="DSRC/Estratégico",AA178="DSRC/Operativo"),OFFSET('PARÁMETROS'!$K$11,MATCH(U178,JC_DS,0),MATCH(T178,CC_DS,0)),
IF(AA178="SALUD",OFFSET('PARÁMETROS'!$K$29,MATCH(U178,JC_SA,0),MATCH(T178,CC_SA,0)),
IF(AA178="MEDIO AMBIENTE",OFFSET('PARÁMETROS'!$K$20,MATCH(U178,JC_MA,0),MATCH(T178,CC_MA,0)),
IF(AA178="Rel. Gubernamentales",OFFSET('PARÁMETROS'!$K$48,MATCH(U178,JC_G,0),MATCH(T178,CC_G,0)),
IF(AA178="OPERACIONAL",OFFSET('PARÁMETROS'!$K$56,MATCH(U178,JC_OP,0),MATCH(T178,CC_OP,0)),
IF(AA178="FINANCIERO",OFFSET('PARÁMETROS'!$K$56,MATCH(U178,JC_FI,0),MATCH(T178,CC_FI,0)),
OFFSET('PARÁMETROS'!$K$38,MATCH(U178,JC_L,0),MATCH(T178,CC_L,0))))))))),"")</f>
        <v/>
      </c>
      <c r="W178" s="130"/>
      <c r="X178" s="135"/>
      <c r="Y178" s="136"/>
      <c r="Z178" s="30"/>
      <c r="AA178" s="31" t="str">
        <f>E171</f>
        <v/>
      </c>
    </row>
    <row r="179" ht="87.0" customHeight="1">
      <c r="A179" s="129"/>
      <c r="B179" s="130"/>
      <c r="C179" s="130"/>
      <c r="D179" s="130"/>
      <c r="E179" s="130"/>
      <c r="F179" s="130"/>
      <c r="G179" s="130"/>
      <c r="H179" s="130"/>
      <c r="I179" s="130"/>
      <c r="J179" s="130"/>
      <c r="K179" s="130"/>
      <c r="L179" s="130"/>
      <c r="M179" s="130"/>
      <c r="N179" s="130"/>
      <c r="O179" s="130"/>
      <c r="P179" s="132"/>
      <c r="Q179" s="134"/>
      <c r="R179" s="134"/>
      <c r="S179" s="134"/>
      <c r="T179" s="135"/>
      <c r="U179" s="135"/>
      <c r="V179" s="135" t="str">
        <f>IFERROR(IF(AA179="SEGURIDAD",OFFSET('PARÁMETROS'!$K$2,MATCH(U179,JC_SE,0),MATCH(T179,CC_SE,0)),
IF(OR(AA179="DSRC/Estratégico",AA179="DSRC/Operativo"),OFFSET('PARÁMETROS'!$K$11,MATCH(U179,JC_DS,0),MATCH(T179,CC_DS,0)),
IF(AA179="SALUD",OFFSET('PARÁMETROS'!$K$29,MATCH(U179,JC_SA,0),MATCH(T179,CC_SA,0)),
IF(AA179="MEDIO AMBIENTE",OFFSET('PARÁMETROS'!$K$20,MATCH(U179,JC_MA,0),MATCH(T179,CC_MA,0)),
IF(AA179="Rel. Gubernamentales",OFFSET('PARÁMETROS'!$K$48,MATCH(U179,JC_G,0),MATCH(T179,CC_G,0)),
IF(AA179="OPERACIONAL",OFFSET('PARÁMETROS'!$K$56,MATCH(U179,JC_OP,0),MATCH(T179,CC_OP,0)),
IF(AA179="FINANCIERO",OFFSET('PARÁMETROS'!$K$56,MATCH(U179,JC_FI,0),MATCH(T179,CC_FI,0)),
OFFSET('PARÁMETROS'!$K$38,MATCH(U179,JC_L,0),MATCH(T179,CC_L,0))))))))),"")</f>
        <v/>
      </c>
      <c r="W179" s="130"/>
      <c r="X179" s="135"/>
      <c r="Y179" s="136"/>
      <c r="Z179" s="30"/>
      <c r="AA179" s="31" t="str">
        <f>E171</f>
        <v/>
      </c>
    </row>
    <row r="180" ht="87.0" customHeight="1">
      <c r="A180" s="129"/>
      <c r="B180" s="130"/>
      <c r="C180" s="130"/>
      <c r="D180" s="130"/>
      <c r="E180" s="130"/>
      <c r="F180" s="130"/>
      <c r="G180" s="130"/>
      <c r="H180" s="130"/>
      <c r="I180" s="130"/>
      <c r="J180" s="130"/>
      <c r="K180" s="130"/>
      <c r="L180" s="130"/>
      <c r="M180" s="130"/>
      <c r="N180" s="130"/>
      <c r="O180" s="130"/>
      <c r="P180" s="132"/>
      <c r="Q180" s="134"/>
      <c r="R180" s="134"/>
      <c r="S180" s="134"/>
      <c r="T180" s="135"/>
      <c r="U180" s="135"/>
      <c r="V180" s="135" t="str">
        <f>IFERROR(IF(AA180="SEGURIDAD",OFFSET('PARÁMETROS'!$K$2,MATCH(U180,JC_SE,0),MATCH(T180,CC_SE,0)),
IF(OR(AA180="DSRC/Estratégico",AA180="DSRC/Operativo"),OFFSET('PARÁMETROS'!$K$11,MATCH(U180,JC_DS,0),MATCH(T180,CC_DS,0)),
IF(AA180="SALUD",OFFSET('PARÁMETROS'!$K$29,MATCH(U180,JC_SA,0),MATCH(T180,CC_SA,0)),
IF(AA180="MEDIO AMBIENTE",OFFSET('PARÁMETROS'!$K$20,MATCH(U180,JC_MA,0),MATCH(T180,CC_MA,0)),
IF(AA180="Rel. Gubernamentales",OFFSET('PARÁMETROS'!$K$48,MATCH(U180,JC_G,0),MATCH(T180,CC_G,0)),
IF(AA180="OPERACIONAL",OFFSET('PARÁMETROS'!$K$56,MATCH(U180,JC_OP,0),MATCH(T180,CC_OP,0)),
IF(AA180="FINANCIERO",OFFSET('PARÁMETROS'!$K$56,MATCH(U180,JC_FI,0),MATCH(T180,CC_FI,0)),
OFFSET('PARÁMETROS'!$K$38,MATCH(U180,JC_L,0),MATCH(T180,CC_L,0))))))))),"")</f>
        <v/>
      </c>
      <c r="W180" s="130"/>
      <c r="X180" s="135"/>
      <c r="Y180" s="136"/>
      <c r="Z180" s="30"/>
      <c r="AA180" s="31" t="str">
        <f>E171</f>
        <v/>
      </c>
    </row>
    <row r="181" ht="87.0" customHeight="1">
      <c r="A181" s="129"/>
      <c r="B181" s="130"/>
      <c r="C181" s="130"/>
      <c r="D181" s="130"/>
      <c r="E181" s="130"/>
      <c r="F181" s="130"/>
      <c r="G181" s="130"/>
      <c r="H181" s="130"/>
      <c r="I181" s="130"/>
      <c r="J181" s="130"/>
      <c r="K181" s="130"/>
      <c r="L181" s="130"/>
      <c r="M181" s="130"/>
      <c r="N181" s="130"/>
      <c r="O181" s="130"/>
      <c r="P181" s="132"/>
      <c r="Q181" s="134"/>
      <c r="R181" s="134"/>
      <c r="S181" s="134"/>
      <c r="T181" s="135"/>
      <c r="U181" s="135"/>
      <c r="V181" s="135" t="str">
        <f>IFERROR(IF(AA181="SEGURIDAD",OFFSET('PARÁMETROS'!$K$2,MATCH(U181,JC_SE,0),MATCH(T181,CC_SE,0)),
IF(OR(AA181="DSRC/Estratégico",AA181="DSRC/Operativo"),OFFSET('PARÁMETROS'!$K$11,MATCH(U181,JC_DS,0),MATCH(T181,CC_DS,0)),
IF(AA181="SALUD",OFFSET('PARÁMETROS'!$K$29,MATCH(U181,JC_SA,0),MATCH(T181,CC_SA,0)),
IF(AA181="MEDIO AMBIENTE",OFFSET('PARÁMETROS'!$K$20,MATCH(U181,JC_MA,0),MATCH(T181,CC_MA,0)),
IF(AA181="Rel. Gubernamentales",OFFSET('PARÁMETROS'!$K$48,MATCH(U181,JC_G,0),MATCH(T181,CC_G,0)),
IF(AA181="OPERACIONAL",OFFSET('PARÁMETROS'!$K$56,MATCH(U181,JC_OP,0),MATCH(T181,CC_OP,0)),
IF(AA181="FINANCIERO",OFFSET('PARÁMETROS'!$K$56,MATCH(U181,JC_FI,0),MATCH(T181,CC_FI,0)),
OFFSET('PARÁMETROS'!$K$38,MATCH(U181,JC_L,0),MATCH(T181,CC_L,0))))))))),"")</f>
        <v/>
      </c>
      <c r="W181" s="130"/>
      <c r="X181" s="135"/>
      <c r="Y181" s="136"/>
      <c r="Z181" s="30"/>
      <c r="AA181" s="31" t="str">
        <f>E171</f>
        <v/>
      </c>
    </row>
    <row r="182" ht="87.0" customHeight="1">
      <c r="A182" s="129"/>
      <c r="B182" s="130"/>
      <c r="C182" s="130"/>
      <c r="D182" s="130"/>
      <c r="E182" s="130"/>
      <c r="F182" s="130"/>
      <c r="G182" s="130"/>
      <c r="H182" s="130"/>
      <c r="I182" s="130"/>
      <c r="J182" s="130"/>
      <c r="K182" s="130"/>
      <c r="L182" s="130"/>
      <c r="M182" s="130"/>
      <c r="N182" s="130"/>
      <c r="O182" s="130"/>
      <c r="P182" s="132"/>
      <c r="Q182" s="134"/>
      <c r="R182" s="134"/>
      <c r="S182" s="134"/>
      <c r="T182" s="135"/>
      <c r="U182" s="135"/>
      <c r="V182" s="135" t="str">
        <f>IFERROR(IF(AA182="SEGURIDAD",OFFSET('PARÁMETROS'!$K$2,MATCH(U182,JC_SE,0),MATCH(T182,CC_SE,0)),
IF(OR(AA182="DSRC/Estratégico",AA182="DSRC/Operativo"),OFFSET('PARÁMETROS'!$K$11,MATCH(U182,JC_DS,0),MATCH(T182,CC_DS,0)),
IF(AA182="SALUD",OFFSET('PARÁMETROS'!$K$29,MATCH(U182,JC_SA,0),MATCH(T182,CC_SA,0)),
IF(AA182="MEDIO AMBIENTE",OFFSET('PARÁMETROS'!$K$20,MATCH(U182,JC_MA,0),MATCH(T182,CC_MA,0)),
IF(AA182="Rel. Gubernamentales",OFFSET('PARÁMETROS'!$K$48,MATCH(U182,JC_G,0),MATCH(T182,CC_G,0)),
IF(AA182="OPERACIONAL",OFFSET('PARÁMETROS'!$K$56,MATCH(U182,JC_OP,0),MATCH(T182,CC_OP,0)),
IF(AA182="FINANCIERO",OFFSET('PARÁMETROS'!$K$56,MATCH(U182,JC_FI,0),MATCH(T182,CC_FI,0)),
OFFSET('PARÁMETROS'!$K$38,MATCH(U182,JC_L,0),MATCH(T182,CC_L,0))))))))),"")</f>
        <v/>
      </c>
      <c r="W182" s="130"/>
      <c r="X182" s="135"/>
      <c r="Y182" s="136"/>
      <c r="Z182" s="30"/>
      <c r="AA182" s="31" t="str">
        <f>E171</f>
        <v/>
      </c>
    </row>
    <row r="183" ht="87.0" customHeight="1">
      <c r="A183" s="129"/>
      <c r="B183" s="130"/>
      <c r="C183" s="130"/>
      <c r="D183" s="130"/>
      <c r="E183" s="130"/>
      <c r="F183" s="130"/>
      <c r="G183" s="130"/>
      <c r="H183" s="130"/>
      <c r="I183" s="130"/>
      <c r="J183" s="130"/>
      <c r="K183" s="130"/>
      <c r="L183" s="130"/>
      <c r="M183" s="130"/>
      <c r="N183" s="130"/>
      <c r="O183" s="130"/>
      <c r="P183" s="132"/>
      <c r="Q183" s="134"/>
      <c r="R183" s="134"/>
      <c r="S183" s="134"/>
      <c r="T183" s="135"/>
      <c r="U183" s="135"/>
      <c r="V183" s="135" t="str">
        <f>IFERROR(IF(AA183="SEGURIDAD",OFFSET('PARÁMETROS'!$K$2,MATCH(U183,JC_SE,0),MATCH(T183,CC_SE,0)),
IF(OR(AA183="DSRC/Estratégico",AA183="DSRC/Operativo"),OFFSET('PARÁMETROS'!$K$11,MATCH(U183,JC_DS,0),MATCH(T183,CC_DS,0)),
IF(AA183="SALUD",OFFSET('PARÁMETROS'!$K$29,MATCH(U183,JC_SA,0),MATCH(T183,CC_SA,0)),
IF(AA183="MEDIO AMBIENTE",OFFSET('PARÁMETROS'!$K$20,MATCH(U183,JC_MA,0),MATCH(T183,CC_MA,0)),
IF(AA183="Rel. Gubernamentales",OFFSET('PARÁMETROS'!$K$48,MATCH(U183,JC_G,0),MATCH(T183,CC_G,0)),
IF(AA183="OPERACIONAL",OFFSET('PARÁMETROS'!$K$56,MATCH(U183,JC_OP,0),MATCH(T183,CC_OP,0)),
IF(AA183="FINANCIERO",OFFSET('PARÁMETROS'!$K$56,MATCH(U183,JC_FI,0),MATCH(T183,CC_FI,0)),
OFFSET('PARÁMETROS'!$K$38,MATCH(U183,JC_L,0),MATCH(T183,CC_L,0))))))))),"")</f>
        <v/>
      </c>
      <c r="W183" s="130"/>
      <c r="X183" s="135"/>
      <c r="Y183" s="136"/>
      <c r="Z183" s="30"/>
      <c r="AA183" s="31" t="str">
        <f>E171</f>
        <v/>
      </c>
    </row>
    <row r="184" ht="87.0" customHeight="1">
      <c r="A184" s="129"/>
      <c r="B184" s="130"/>
      <c r="C184" s="130"/>
      <c r="D184" s="130"/>
      <c r="E184" s="130"/>
      <c r="F184" s="130"/>
      <c r="G184" s="130"/>
      <c r="H184" s="130"/>
      <c r="I184" s="130"/>
      <c r="J184" s="130"/>
      <c r="K184" s="130"/>
      <c r="L184" s="130"/>
      <c r="M184" s="130"/>
      <c r="N184" s="130"/>
      <c r="O184" s="130"/>
      <c r="P184" s="132"/>
      <c r="Q184" s="134"/>
      <c r="R184" s="134"/>
      <c r="S184" s="134"/>
      <c r="T184" s="135"/>
      <c r="U184" s="135"/>
      <c r="V184" s="135" t="str">
        <f>IFERROR(IF(AA184="SEGURIDAD",OFFSET('PARÁMETROS'!$K$2,MATCH(U184,JC_SE,0),MATCH(T184,CC_SE,0)),
IF(OR(AA184="DSRC/Estratégico",AA184="DSRC/Operativo"),OFFSET('PARÁMETROS'!$K$11,MATCH(U184,JC_DS,0),MATCH(T184,CC_DS,0)),
IF(AA184="SALUD",OFFSET('PARÁMETROS'!$K$29,MATCH(U184,JC_SA,0),MATCH(T184,CC_SA,0)),
IF(AA184="MEDIO AMBIENTE",OFFSET('PARÁMETROS'!$K$20,MATCH(U184,JC_MA,0),MATCH(T184,CC_MA,0)),
IF(AA184="Rel. Gubernamentales",OFFSET('PARÁMETROS'!$K$48,MATCH(U184,JC_G,0),MATCH(T184,CC_G,0)),
IF(AA184="OPERACIONAL",OFFSET('PARÁMETROS'!$K$56,MATCH(U184,JC_OP,0),MATCH(T184,CC_OP,0)),
IF(AA184="FINANCIERO",OFFSET('PARÁMETROS'!$K$56,MATCH(U184,JC_FI,0),MATCH(T184,CC_FI,0)),
OFFSET('PARÁMETROS'!$K$38,MATCH(U184,JC_L,0),MATCH(T184,CC_L,0))))))))),"")</f>
        <v/>
      </c>
      <c r="W184" s="130"/>
      <c r="X184" s="135"/>
      <c r="Y184" s="136"/>
      <c r="Z184" s="30"/>
      <c r="AA184" s="31" t="str">
        <f>E171</f>
        <v/>
      </c>
    </row>
    <row r="185" ht="87.0" customHeight="1">
      <c r="A185" s="129"/>
      <c r="B185" s="130"/>
      <c r="C185" s="130"/>
      <c r="D185" s="130"/>
      <c r="E185" s="130"/>
      <c r="F185" s="130"/>
      <c r="G185" s="130"/>
      <c r="H185" s="130"/>
      <c r="I185" s="130"/>
      <c r="J185" s="130"/>
      <c r="K185" s="130"/>
      <c r="L185" s="130"/>
      <c r="M185" s="130"/>
      <c r="N185" s="130"/>
      <c r="O185" s="130"/>
      <c r="P185" s="132"/>
      <c r="Q185" s="134"/>
      <c r="R185" s="134"/>
      <c r="S185" s="134"/>
      <c r="T185" s="135"/>
      <c r="U185" s="135"/>
      <c r="V185" s="135" t="str">
        <f>IFERROR(IF(AA185="SEGURIDAD",OFFSET('PARÁMETROS'!$K$2,MATCH(U185,JC_SE,0),MATCH(T185,CC_SE,0)),
IF(OR(AA185="DSRC/Estratégico",AA185="DSRC/Operativo"),OFFSET('PARÁMETROS'!$K$11,MATCH(U185,JC_DS,0),MATCH(T185,CC_DS,0)),
IF(AA185="SALUD",OFFSET('PARÁMETROS'!$K$29,MATCH(U185,JC_SA,0),MATCH(T185,CC_SA,0)),
IF(AA185="MEDIO AMBIENTE",OFFSET('PARÁMETROS'!$K$20,MATCH(U185,JC_MA,0),MATCH(T185,CC_MA,0)),
IF(AA185="Rel. Gubernamentales",OFFSET('PARÁMETROS'!$K$48,MATCH(U185,JC_G,0),MATCH(T185,CC_G,0)),
IF(AA185="OPERACIONAL",OFFSET('PARÁMETROS'!$K$56,MATCH(U185,JC_OP,0),MATCH(T185,CC_OP,0)),
IF(AA185="FINANCIERO",OFFSET('PARÁMETROS'!$K$56,MATCH(U185,JC_FI,0),MATCH(T185,CC_FI,0)),
OFFSET('PARÁMETROS'!$K$38,MATCH(U185,JC_L,0),MATCH(T185,CC_L,0))))))))),"")</f>
        <v/>
      </c>
      <c r="W185" s="130"/>
      <c r="X185" s="135"/>
      <c r="Y185" s="136"/>
      <c r="Z185" s="30"/>
      <c r="AA185" s="31" t="str">
        <f>E171</f>
        <v/>
      </c>
    </row>
    <row r="186" ht="87.0" customHeight="1">
      <c r="A186" s="89"/>
      <c r="B186" s="90"/>
      <c r="C186" s="90"/>
      <c r="D186" s="90"/>
      <c r="E186" s="90"/>
      <c r="F186" s="90"/>
      <c r="G186" s="90"/>
      <c r="H186" s="90"/>
      <c r="I186" s="90"/>
      <c r="J186" s="90"/>
      <c r="K186" s="90"/>
      <c r="L186" s="90"/>
      <c r="M186" s="90"/>
      <c r="N186" s="90"/>
      <c r="O186" s="90"/>
      <c r="P186" s="132"/>
      <c r="Q186" s="134"/>
      <c r="R186" s="145"/>
      <c r="S186" s="145"/>
      <c r="T186" s="135"/>
      <c r="U186" s="135"/>
      <c r="V186" s="135" t="str">
        <f>IFERROR(IF(AA186="SEGURIDAD",OFFSET('PARÁMETROS'!$K$2,MATCH(U186,JC_SE,0),MATCH(T186,CC_SE,0)),
IF(OR(AA186="DSRC/Estratégico",AA186="DSRC/Operativo"),OFFSET('PARÁMETROS'!$K$11,MATCH(U186,JC_DS,0),MATCH(T186,CC_DS,0)),
IF(AA186="SALUD",OFFSET('PARÁMETROS'!$K$29,MATCH(U186,JC_SA,0),MATCH(T186,CC_SA,0)),
IF(AA186="MEDIO AMBIENTE",OFFSET('PARÁMETROS'!$K$20,MATCH(U186,JC_MA,0),MATCH(T186,CC_MA,0)),
IF(AA186="Rel. Gubernamentales",OFFSET('PARÁMETROS'!$K$48,MATCH(U186,JC_G,0),MATCH(T186,CC_G,0)),
IF(AA186="OPERACIONAL",OFFSET('PARÁMETROS'!$K$56,MATCH(U186,JC_OP,0),MATCH(T186,CC_OP,0)),
IF(AA186="FINANCIERO",OFFSET('PARÁMETROS'!$K$56,MATCH(U186,JC_FI,0),MATCH(T186,CC_FI,0)),
OFFSET('PARÁMETROS'!$K$38,MATCH(U186,JC_L,0),MATCH(T186,CC_L,0))))))))),"")</f>
        <v/>
      </c>
      <c r="W186" s="90"/>
      <c r="X186" s="135"/>
      <c r="Y186" s="136"/>
      <c r="Z186" s="30"/>
      <c r="AA186" s="31" t="str">
        <f>E171</f>
        <v/>
      </c>
    </row>
    <row r="187" ht="87.0" customHeight="1">
      <c r="A187" s="102"/>
      <c r="B187" s="103"/>
      <c r="C187" s="103"/>
      <c r="D187" s="103"/>
      <c r="E187" s="103"/>
      <c r="F187" s="103"/>
      <c r="G187" s="105"/>
      <c r="H187" s="103"/>
      <c r="I187" s="105"/>
      <c r="J187" s="103"/>
      <c r="K187" s="103"/>
      <c r="L187" s="103" t="str">
        <f>IF(OR(J187&lt;&gt;"",K187&lt;&gt;""),OFFSET('PARÁMETROS'!$B$2,K187,J187),"")</f>
        <v/>
      </c>
      <c r="M187" s="103"/>
      <c r="N187" s="103">
        <f>IFERROR(L187*M187,"")</f>
        <v>0</v>
      </c>
      <c r="O187" s="108" t="str">
        <f>IF(N187="","",IFERROR(IF(N187&lt;=2,"ACEPTABLE",IF(N187&lt;=6,"BAJA",IF(N187&lt;=10,"ACEPTABLE CON REVISIÓN",IF(N187&lt;=15,"SUSTANCIAL","INACEPTABLE")))),""))</f>
        <v>ACEPTABLE</v>
      </c>
      <c r="P187" s="113"/>
      <c r="Q187" s="114"/>
      <c r="R187" s="114"/>
      <c r="S187" s="114"/>
      <c r="T187" s="115"/>
      <c r="U187" s="115"/>
      <c r="V187" s="115" t="str">
        <f>IFERROR(IF(AA187="SEGURIDAD",OFFSET('PARÁMETROS'!$K$2,MATCH(U187,JC_SE,0),MATCH(T187,CC_SE,0)),
IF(OR(AA187="DSRC/Estratégico",AA187="DSRC/Operativo"),OFFSET('PARÁMETROS'!$K$11,MATCH(U187,JC_DS,0),MATCH(T187,CC_DS,0)),
IF(AA187="SALUD",OFFSET('PARÁMETROS'!$K$29,MATCH(U187,JC_SA,0),MATCH(T187,CC_SA,0)),
IF(AA187="MEDIO AMBIENTE",OFFSET('PARÁMETROS'!$K$20,MATCH(U187,JC_MA,0),MATCH(T187,CC_MA,0)),
IF(AA187="Rel. Gubernamentales",OFFSET('PARÁMETROS'!$K$48,MATCH(U187,JC_G,0),MATCH(T187,CC_G,0)),
IF(AA187="OPERACIONAL",OFFSET('PARÁMETROS'!$K$56,MATCH(U187,JC_OP,0),MATCH(T187,CC_OP,0)),
IF(AA187="FINANCIERO",OFFSET('PARÁMETROS'!$K$56,MATCH(U187,JC_FI,0),MATCH(T187,CC_FI,0)),
OFFSET('PARÁMETROS'!$K$38,MATCH(U187,JC_L,0),MATCH(T187,CC_L,0))))))))),"")</f>
        <v/>
      </c>
      <c r="W187" s="108" t="str">
        <f>IF(E187="","",
IF(COUNTA(V187:V202)-COUNTBLANK(V187:V202)=1,
IF(O187="INACEPTABLE",IF(COUNTIF(V187:V202,"Control/Acción Eficaz")&gt;=1,"SUSTANCIAL","INACEPTABLE"),
IF(O187="SUSTANCIAL",IF(COUNTIF(V187:V202,"Control/Acción Eficaz")&gt;=1,"ACEPTABLE CON REVISIÓN","SUSTANCIAL"),
IF(O187="ACEPTABLE CON REVISIÓN",IF(COUNTIF(V187:V202,"Control/Acción Eficaz")&gt;=1,"BAJA","ACEPTABLE CON REVISIÓN"),
IF(O187="BAJA",IF(COUNTIF(V187:V202,"Control/Acción Eficaz")&gt;=1,"ACEPTABLE","BAJA"),)))),
IF(COUNTA(V187:V202)-COUNTBLANK(V187:V202)=2,
IF(O187="INACEPTABLE",IF(COUNTIF(V187:V202,"Control/Acción Eficaz")=2,"ACEPTABLE CON REVISIÓN",
IF(OR(AND(COUNTIF(V187:V202,"Control/Acción Eficaz")=1,COUNTIF(V187:V202,"Control/Acción Satisfactorio")=1),
AND(COUNTIF(V187:V202,"Control/Acción Eficaz")=1,COUNTIF(V187:V202,"Control/Acción No Eficaz")=1)),"SUSTANCIAL","INACEPTABLE")),
IF(O187="SUSTANCIAL",IF(COUNTIF(V187:V202,"Control/Acción Eficaz")=2,"BAJA",
IF(OR(AND(COUNTIF(V187:V202,"Control/Acción Eficaz")=1,COUNTIF(V187:V202,"Control/Acción Satisfactorio")=1),
AND(COUNTIF(V187:V202,"Control/Acción Eficaz")=1,COUNTIF(V187:V202,"Control/Acción No Eficaz")=1)),"ACEPTABLE CON REVISIÓN ","SUSTANCIAL")),
IF(O187="ACEPTABLE CON REVISIÓN",IF(COUNTIF(V187:V202,"Control/Acción Eficaz")=2,"ACEPTABLE",
IF(OR(AND(COUNTIF(V187:V202,"Control/Acción Eficaz")=1,COUNTIF(V187:V202,"Control/Acción Satisfactorio")=1),
AND(COUNTIF(V187:V202,"Control/Acción Eficaz")=1,COUNTIF(V187:V202,"Control/Acción No Eficaz")=1)),"BAJA","ACEPTABLE CON REVISIÓN")),
IF(O187="BAJA",IF(COUNTIF(V187:V202,"Control/Acción Eficaz")&gt;=2,"ACEPTABLE","BAJA"),)))),
IF(COUNTA(V187:V202)-COUNTBLANK(V187:V202)&gt;=3,
IF(O187="INACEPTABLE",
IF(COUNTBLANK(V187:V202)=COUNTA(V187:V202),"",
IF(COUNTIF(V187:V202,"Control/Acción No Eficaz")&gt;=2,"INACEPTABLE",
IF(AND(COUNTIF(V187:V202,"Control/Acción No Eficaz")=0,COUNTIF(V187:V202,"Control/Acción Eficaz")&gt;=2),"ACEPTABLE CON REVISIÓN ","SUSTANCIAL"))),
IF(O187="SUSTANCIAL",
IF(COUNTBLANK(V187:V202)=COUNTA(V187:V202),"",
IF(COUNTIF(V187:V202,"Control/Acción No Eficaz")&gt;=2,"SUSTANCIAL",
IF(AND(COUNTIF(V187:V202,"Control/Acción No Eficaz")=0,COUNTIF(V187:V202,"Control/Acción Eficaz")&gt;=2),"BAJA","ACEPTABLE CON REVISIÓN"))),
IF(O187="ACEPTABLE CON REVISIÓN",
IF(COUNTBLANK(V187:V202)=COUNTA(V187:V202),"",
IF(COUNTIF(V187:V202,"Control/Acción No Eficaz")&gt;=2,"ACEPTABLE CON REVISIÓN",
IF(AND(COUNTIF(V187:V202,"Control/Acción No Eficaz")=0,COUNTIF(V187:V202,"Control/Acción Eficaz")&gt;=2),"ACEPTABLE","BAJA"))),
IF(O187="BAJA",
IF(COUNTBLANK(V187:V202)=COUNTA(V187:V202),"",
IF(AND(COUNTBLANK(V187:V202)&lt;1,COUNTA(V187:V202)=1),
IF(COUNTIF(V187:V202,"Control/Acción No Eficaz")&gt;=2,"BAJA",
IF(AND(COUNTIF(V187:V202,"Control/Acción No Eficaz")=0,COUNTIF(V187:V202,"Control/Acción Eficaz")&gt;=2),"ACEPTABLE","BAJA")),
IF(COUNTIF(V187:V202,"Control/Acción No Eficaz")&gt;=2,"BAJA",
IF(AND(COUNTIF(V187:V202,"Control/Acción No Eficaz")=0,COUNTIF(V187:V202,"Control/Acción Eficaz")&gt;=2),"ACEPTABLE","BAJA")))),
IF(COUNTIF(V187:V202,"")&gt;=5,"",O187))))),
""))))</f>
        <v/>
      </c>
      <c r="X187" s="115"/>
      <c r="Y187" s="128"/>
      <c r="Z187" s="30"/>
      <c r="AA187" s="31" t="str">
        <f>E187</f>
        <v/>
      </c>
    </row>
    <row r="188" ht="87.0" customHeight="1">
      <c r="A188" s="129"/>
      <c r="B188" s="130"/>
      <c r="C188" s="130"/>
      <c r="D188" s="130"/>
      <c r="E188" s="130"/>
      <c r="F188" s="130"/>
      <c r="G188" s="130"/>
      <c r="H188" s="130"/>
      <c r="I188" s="130"/>
      <c r="J188" s="130"/>
      <c r="K188" s="130"/>
      <c r="L188" s="130"/>
      <c r="M188" s="130"/>
      <c r="N188" s="130"/>
      <c r="O188" s="130"/>
      <c r="P188" s="132"/>
      <c r="Q188" s="134"/>
      <c r="R188" s="134"/>
      <c r="S188" s="134"/>
      <c r="T188" s="135"/>
      <c r="U188" s="135"/>
      <c r="V188" s="135" t="str">
        <f>IFERROR(IF(AA188="SEGURIDAD",OFFSET('PARÁMETROS'!$K$2,MATCH(U188,JC_SE,0),MATCH(T188,CC_SE,0)),
IF(OR(AA188="DSRC/Estratégico",AA188="DSRC/Operativo"),OFFSET('PARÁMETROS'!$K$11,MATCH(U188,JC_DS,0),MATCH(T188,CC_DS,0)),
IF(AA188="SALUD",OFFSET('PARÁMETROS'!$K$29,MATCH(U188,JC_SA,0),MATCH(T188,CC_SA,0)),
IF(AA188="MEDIO AMBIENTE",OFFSET('PARÁMETROS'!$K$20,MATCH(U188,JC_MA,0),MATCH(T188,CC_MA,0)),
IF(AA188="Rel. Gubernamentales",OFFSET('PARÁMETROS'!$K$48,MATCH(U188,JC_G,0),MATCH(T188,CC_G,0)),
IF(AA188="OPERACIONAL",OFFSET('PARÁMETROS'!$K$56,MATCH(U188,JC_OP,0),MATCH(T188,CC_OP,0)),
IF(AA188="FINANCIERO",OFFSET('PARÁMETROS'!$K$56,MATCH(U188,JC_FI,0),MATCH(T188,CC_FI,0)),
OFFSET('PARÁMETROS'!$K$38,MATCH(U188,JC_L,0),MATCH(T188,CC_L,0))))))))),"")</f>
        <v/>
      </c>
      <c r="W188" s="130"/>
      <c r="X188" s="135"/>
      <c r="Y188" s="136"/>
      <c r="Z188" s="30"/>
      <c r="AA188" s="31" t="str">
        <f>E187</f>
        <v/>
      </c>
    </row>
    <row r="189" ht="87.0" customHeight="1">
      <c r="A189" s="129"/>
      <c r="B189" s="130"/>
      <c r="C189" s="130"/>
      <c r="D189" s="130"/>
      <c r="E189" s="130"/>
      <c r="F189" s="130"/>
      <c r="G189" s="130"/>
      <c r="H189" s="130"/>
      <c r="I189" s="130"/>
      <c r="J189" s="130"/>
      <c r="K189" s="130"/>
      <c r="L189" s="130"/>
      <c r="M189" s="130"/>
      <c r="N189" s="130"/>
      <c r="O189" s="130"/>
      <c r="P189" s="132"/>
      <c r="Q189" s="134"/>
      <c r="R189" s="134"/>
      <c r="S189" s="134"/>
      <c r="T189" s="135"/>
      <c r="U189" s="135"/>
      <c r="V189" s="135" t="str">
        <f>IFERROR(IF(AA189="SEGURIDAD",OFFSET('PARÁMETROS'!$K$2,MATCH(U189,JC_SE,0),MATCH(T189,CC_SE,0)),
IF(OR(AA189="DSRC/Estratégico",AA189="DSRC/Operativo"),OFFSET('PARÁMETROS'!$K$11,MATCH(U189,JC_DS,0),MATCH(T189,CC_DS,0)),
IF(AA189="SALUD",OFFSET('PARÁMETROS'!$K$29,MATCH(U189,JC_SA,0),MATCH(T189,CC_SA,0)),
IF(AA189="MEDIO AMBIENTE",OFFSET('PARÁMETROS'!$K$20,MATCH(U189,JC_MA,0),MATCH(T189,CC_MA,0)),
IF(AA189="Rel. Gubernamentales",OFFSET('PARÁMETROS'!$K$48,MATCH(U189,JC_G,0),MATCH(T189,CC_G,0)),
IF(AA189="OPERACIONAL",OFFSET('PARÁMETROS'!$K$56,MATCH(U189,JC_OP,0),MATCH(T189,CC_OP,0)),
IF(AA189="FINANCIERO",OFFSET('PARÁMETROS'!$K$56,MATCH(U189,JC_FI,0),MATCH(T189,CC_FI,0)),
OFFSET('PARÁMETROS'!$K$38,MATCH(U189,JC_L,0),MATCH(T189,CC_L,0))))))))),"")</f>
        <v/>
      </c>
      <c r="W189" s="130"/>
      <c r="X189" s="135"/>
      <c r="Y189" s="136"/>
      <c r="Z189" s="30"/>
      <c r="AA189" s="31" t="str">
        <f>E187</f>
        <v/>
      </c>
    </row>
    <row r="190" ht="87.0" customHeight="1">
      <c r="A190" s="129"/>
      <c r="B190" s="130"/>
      <c r="C190" s="130"/>
      <c r="D190" s="130"/>
      <c r="E190" s="130"/>
      <c r="F190" s="130"/>
      <c r="G190" s="130"/>
      <c r="H190" s="130"/>
      <c r="I190" s="130"/>
      <c r="J190" s="130"/>
      <c r="K190" s="130"/>
      <c r="L190" s="130"/>
      <c r="M190" s="130"/>
      <c r="N190" s="130"/>
      <c r="O190" s="130"/>
      <c r="P190" s="132"/>
      <c r="Q190" s="134"/>
      <c r="R190" s="134"/>
      <c r="S190" s="134"/>
      <c r="T190" s="135"/>
      <c r="U190" s="135"/>
      <c r="V190" s="135" t="str">
        <f>IFERROR(IF(AA190="SEGURIDAD",OFFSET('PARÁMETROS'!$K$2,MATCH(U190,JC_SE,0),MATCH(T190,CC_SE,0)),
IF(OR(AA190="DSRC/Estratégico",AA190="DSRC/Operativo"),OFFSET('PARÁMETROS'!$K$11,MATCH(U190,JC_DS,0),MATCH(T190,CC_DS,0)),
IF(AA190="SALUD",OFFSET('PARÁMETROS'!$K$29,MATCH(U190,JC_SA,0),MATCH(T190,CC_SA,0)),
IF(AA190="MEDIO AMBIENTE",OFFSET('PARÁMETROS'!$K$20,MATCH(U190,JC_MA,0),MATCH(T190,CC_MA,0)),
IF(AA190="Rel. Gubernamentales",OFFSET('PARÁMETROS'!$K$48,MATCH(U190,JC_G,0),MATCH(T190,CC_G,0)),
IF(AA190="OPERACIONAL",OFFSET('PARÁMETROS'!$K$56,MATCH(U190,JC_OP,0),MATCH(T190,CC_OP,0)),
IF(AA190="FINANCIERO",OFFSET('PARÁMETROS'!$K$56,MATCH(U190,JC_FI,0),MATCH(T190,CC_FI,0)),
OFFSET('PARÁMETROS'!$K$38,MATCH(U190,JC_L,0),MATCH(T190,CC_L,0))))))))),"")</f>
        <v/>
      </c>
      <c r="W190" s="130"/>
      <c r="X190" s="135"/>
      <c r="Y190" s="136"/>
      <c r="Z190" s="30"/>
      <c r="AA190" s="31" t="str">
        <f>E187</f>
        <v/>
      </c>
    </row>
    <row r="191" ht="87.0" customHeight="1">
      <c r="A191" s="129"/>
      <c r="B191" s="130"/>
      <c r="C191" s="130"/>
      <c r="D191" s="130"/>
      <c r="E191" s="130"/>
      <c r="F191" s="130"/>
      <c r="G191" s="130"/>
      <c r="H191" s="130"/>
      <c r="I191" s="130"/>
      <c r="J191" s="130"/>
      <c r="K191" s="130"/>
      <c r="L191" s="130"/>
      <c r="M191" s="130"/>
      <c r="N191" s="130"/>
      <c r="O191" s="130"/>
      <c r="P191" s="132"/>
      <c r="Q191" s="134"/>
      <c r="R191" s="134"/>
      <c r="S191" s="134"/>
      <c r="T191" s="135"/>
      <c r="U191" s="135"/>
      <c r="V191" s="135" t="str">
        <f>IFERROR(IF(AA191="SEGURIDAD",OFFSET('PARÁMETROS'!$K$2,MATCH(U191,JC_SE,0),MATCH(T191,CC_SE,0)),
IF(OR(AA191="DSRC/Estratégico",AA191="DSRC/Operativo"),OFFSET('PARÁMETROS'!$K$11,MATCH(U191,JC_DS,0),MATCH(T191,CC_DS,0)),
IF(AA191="SALUD",OFFSET('PARÁMETROS'!$K$29,MATCH(U191,JC_SA,0),MATCH(T191,CC_SA,0)),
IF(AA191="MEDIO AMBIENTE",OFFSET('PARÁMETROS'!$K$20,MATCH(U191,JC_MA,0),MATCH(T191,CC_MA,0)),
IF(AA191="Rel. Gubernamentales",OFFSET('PARÁMETROS'!$K$48,MATCH(U191,JC_G,0),MATCH(T191,CC_G,0)),
IF(AA191="OPERACIONAL",OFFSET('PARÁMETROS'!$K$56,MATCH(U191,JC_OP,0),MATCH(T191,CC_OP,0)),
IF(AA191="FINANCIERO",OFFSET('PARÁMETROS'!$K$56,MATCH(U191,JC_FI,0),MATCH(T191,CC_FI,0)),
OFFSET('PARÁMETROS'!$K$38,MATCH(U191,JC_L,0),MATCH(T191,CC_L,0))))))))),"")</f>
        <v/>
      </c>
      <c r="W191" s="130"/>
      <c r="X191" s="135"/>
      <c r="Y191" s="136"/>
      <c r="Z191" s="30"/>
      <c r="AA191" s="31" t="str">
        <f>E187</f>
        <v/>
      </c>
    </row>
    <row r="192" ht="87.0" customHeight="1">
      <c r="A192" s="129"/>
      <c r="B192" s="130"/>
      <c r="C192" s="130"/>
      <c r="D192" s="130"/>
      <c r="E192" s="130"/>
      <c r="F192" s="130"/>
      <c r="G192" s="130"/>
      <c r="H192" s="130"/>
      <c r="I192" s="130"/>
      <c r="J192" s="130"/>
      <c r="K192" s="130"/>
      <c r="L192" s="130"/>
      <c r="M192" s="130"/>
      <c r="N192" s="130"/>
      <c r="O192" s="130"/>
      <c r="P192" s="132"/>
      <c r="Q192" s="134"/>
      <c r="R192" s="134"/>
      <c r="S192" s="134"/>
      <c r="T192" s="135"/>
      <c r="U192" s="135"/>
      <c r="V192" s="135" t="str">
        <f>IFERROR(IF(AA192="SEGURIDAD",OFFSET('PARÁMETROS'!$K$2,MATCH(U192,JC_SE,0),MATCH(T192,CC_SE,0)),
IF(OR(AA192="DSRC/Estratégico",AA192="DSRC/Operativo"),OFFSET('PARÁMETROS'!$K$11,MATCH(U192,JC_DS,0),MATCH(T192,CC_DS,0)),
IF(AA192="SALUD",OFFSET('PARÁMETROS'!$K$29,MATCH(U192,JC_SA,0),MATCH(T192,CC_SA,0)),
IF(AA192="MEDIO AMBIENTE",OFFSET('PARÁMETROS'!$K$20,MATCH(U192,JC_MA,0),MATCH(T192,CC_MA,0)),
IF(AA192="Rel. Gubernamentales",OFFSET('PARÁMETROS'!$K$48,MATCH(U192,JC_G,0),MATCH(T192,CC_G,0)),
IF(AA192="OPERACIONAL",OFFSET('PARÁMETROS'!$K$56,MATCH(U192,JC_OP,0),MATCH(T192,CC_OP,0)),
IF(AA192="FINANCIERO",OFFSET('PARÁMETROS'!$K$56,MATCH(U192,JC_FI,0),MATCH(T192,CC_FI,0)),
OFFSET('PARÁMETROS'!$K$38,MATCH(U192,JC_L,0),MATCH(T192,CC_L,0))))))))),"")</f>
        <v/>
      </c>
      <c r="W192" s="130"/>
      <c r="X192" s="135"/>
      <c r="Y192" s="136"/>
      <c r="Z192" s="30"/>
      <c r="AA192" s="31" t="str">
        <f>E187</f>
        <v/>
      </c>
    </row>
    <row r="193" ht="87.0" customHeight="1">
      <c r="A193" s="129"/>
      <c r="B193" s="130"/>
      <c r="C193" s="130"/>
      <c r="D193" s="130"/>
      <c r="E193" s="130"/>
      <c r="F193" s="130"/>
      <c r="G193" s="130"/>
      <c r="H193" s="130"/>
      <c r="I193" s="130"/>
      <c r="J193" s="130"/>
      <c r="K193" s="130"/>
      <c r="L193" s="130"/>
      <c r="M193" s="130"/>
      <c r="N193" s="130"/>
      <c r="O193" s="130"/>
      <c r="P193" s="132"/>
      <c r="Q193" s="134"/>
      <c r="R193" s="134"/>
      <c r="S193" s="134"/>
      <c r="T193" s="135"/>
      <c r="U193" s="135"/>
      <c r="V193" s="135" t="str">
        <f>IFERROR(IF(AA193="SEGURIDAD",OFFSET('PARÁMETROS'!$K$2,MATCH(U193,JC_SE,0),MATCH(T193,CC_SE,0)),
IF(OR(AA193="DSRC/Estratégico",AA193="DSRC/Operativo"),OFFSET('PARÁMETROS'!$K$11,MATCH(U193,JC_DS,0),MATCH(T193,CC_DS,0)),
IF(AA193="SALUD",OFFSET('PARÁMETROS'!$K$29,MATCH(U193,JC_SA,0),MATCH(T193,CC_SA,0)),
IF(AA193="MEDIO AMBIENTE",OFFSET('PARÁMETROS'!$K$20,MATCH(U193,JC_MA,0),MATCH(T193,CC_MA,0)),
IF(AA193="Rel. Gubernamentales",OFFSET('PARÁMETROS'!$K$48,MATCH(U193,JC_G,0),MATCH(T193,CC_G,0)),
IF(AA193="OPERACIONAL",OFFSET('PARÁMETROS'!$K$56,MATCH(U193,JC_OP,0),MATCH(T193,CC_OP,0)),
IF(AA193="FINANCIERO",OFFSET('PARÁMETROS'!$K$56,MATCH(U193,JC_FI,0),MATCH(T193,CC_FI,0)),
OFFSET('PARÁMETROS'!$K$38,MATCH(U193,JC_L,0),MATCH(T193,CC_L,0))))))))),"")</f>
        <v/>
      </c>
      <c r="W193" s="130"/>
      <c r="X193" s="135"/>
      <c r="Y193" s="136"/>
      <c r="Z193" s="30"/>
      <c r="AA193" s="31" t="str">
        <f>E187</f>
        <v/>
      </c>
    </row>
    <row r="194" ht="87.0" customHeight="1">
      <c r="A194" s="129"/>
      <c r="B194" s="130"/>
      <c r="C194" s="130"/>
      <c r="D194" s="130"/>
      <c r="E194" s="130"/>
      <c r="F194" s="130"/>
      <c r="G194" s="130"/>
      <c r="H194" s="130"/>
      <c r="I194" s="130"/>
      <c r="J194" s="130"/>
      <c r="K194" s="130"/>
      <c r="L194" s="130"/>
      <c r="M194" s="130"/>
      <c r="N194" s="130"/>
      <c r="O194" s="130"/>
      <c r="P194" s="132"/>
      <c r="Q194" s="134"/>
      <c r="R194" s="134"/>
      <c r="S194" s="134"/>
      <c r="T194" s="135"/>
      <c r="U194" s="135"/>
      <c r="V194" s="135" t="str">
        <f>IFERROR(IF(AA194="SEGURIDAD",OFFSET('PARÁMETROS'!$K$2,MATCH(U194,JC_SE,0),MATCH(T194,CC_SE,0)),
IF(OR(AA194="DSRC/Estratégico",AA194="DSRC/Operativo"),OFFSET('PARÁMETROS'!$K$11,MATCH(U194,JC_DS,0),MATCH(T194,CC_DS,0)),
IF(AA194="SALUD",OFFSET('PARÁMETROS'!$K$29,MATCH(U194,JC_SA,0),MATCH(T194,CC_SA,0)),
IF(AA194="MEDIO AMBIENTE",OFFSET('PARÁMETROS'!$K$20,MATCH(U194,JC_MA,0),MATCH(T194,CC_MA,0)),
IF(AA194="Rel. Gubernamentales",OFFSET('PARÁMETROS'!$K$48,MATCH(U194,JC_G,0),MATCH(T194,CC_G,0)),
IF(AA194="OPERACIONAL",OFFSET('PARÁMETROS'!$K$56,MATCH(U194,JC_OP,0),MATCH(T194,CC_OP,0)),
IF(AA194="FINANCIERO",OFFSET('PARÁMETROS'!$K$56,MATCH(U194,JC_FI,0),MATCH(T194,CC_FI,0)),
OFFSET('PARÁMETROS'!$K$38,MATCH(U194,JC_L,0),MATCH(T194,CC_L,0))))))))),"")</f>
        <v/>
      </c>
      <c r="W194" s="130"/>
      <c r="X194" s="135"/>
      <c r="Y194" s="136"/>
      <c r="Z194" s="30"/>
      <c r="AA194" s="31" t="str">
        <f>E187</f>
        <v/>
      </c>
    </row>
    <row r="195" ht="87.0" customHeight="1">
      <c r="A195" s="129"/>
      <c r="B195" s="130"/>
      <c r="C195" s="130"/>
      <c r="D195" s="130"/>
      <c r="E195" s="130"/>
      <c r="F195" s="130"/>
      <c r="G195" s="130"/>
      <c r="H195" s="130"/>
      <c r="I195" s="130"/>
      <c r="J195" s="130"/>
      <c r="K195" s="130"/>
      <c r="L195" s="130"/>
      <c r="M195" s="130"/>
      <c r="N195" s="130"/>
      <c r="O195" s="130"/>
      <c r="P195" s="132"/>
      <c r="Q195" s="134"/>
      <c r="R195" s="134"/>
      <c r="S195" s="134"/>
      <c r="T195" s="135"/>
      <c r="U195" s="135"/>
      <c r="V195" s="135" t="str">
        <f>IFERROR(IF(AA195="SEGURIDAD",OFFSET('PARÁMETROS'!$K$2,MATCH(U195,JC_SE,0),MATCH(T195,CC_SE,0)),
IF(OR(AA195="DSRC/Estratégico",AA195="DSRC/Operativo"),OFFSET('PARÁMETROS'!$K$11,MATCH(U195,JC_DS,0),MATCH(T195,CC_DS,0)),
IF(AA195="SALUD",OFFSET('PARÁMETROS'!$K$29,MATCH(U195,JC_SA,0),MATCH(T195,CC_SA,0)),
IF(AA195="MEDIO AMBIENTE",OFFSET('PARÁMETROS'!$K$20,MATCH(U195,JC_MA,0),MATCH(T195,CC_MA,0)),
IF(AA195="Rel. Gubernamentales",OFFSET('PARÁMETROS'!$K$48,MATCH(U195,JC_G,0),MATCH(T195,CC_G,0)),
IF(AA195="OPERACIONAL",OFFSET('PARÁMETROS'!$K$56,MATCH(U195,JC_OP,0),MATCH(T195,CC_OP,0)),
IF(AA195="FINANCIERO",OFFSET('PARÁMETROS'!$K$56,MATCH(U195,JC_FI,0),MATCH(T195,CC_FI,0)),
OFFSET('PARÁMETROS'!$K$38,MATCH(U195,JC_L,0),MATCH(T195,CC_L,0))))))))),"")</f>
        <v/>
      </c>
      <c r="W195" s="130"/>
      <c r="X195" s="135"/>
      <c r="Y195" s="136"/>
      <c r="Z195" s="30"/>
      <c r="AA195" s="31" t="str">
        <f>E187</f>
        <v/>
      </c>
    </row>
    <row r="196" ht="87.0" customHeight="1">
      <c r="A196" s="129"/>
      <c r="B196" s="130"/>
      <c r="C196" s="130"/>
      <c r="D196" s="130"/>
      <c r="E196" s="130"/>
      <c r="F196" s="130"/>
      <c r="G196" s="130"/>
      <c r="H196" s="130"/>
      <c r="I196" s="130"/>
      <c r="J196" s="130"/>
      <c r="K196" s="130"/>
      <c r="L196" s="130"/>
      <c r="M196" s="130"/>
      <c r="N196" s="130"/>
      <c r="O196" s="130"/>
      <c r="P196" s="132"/>
      <c r="Q196" s="134"/>
      <c r="R196" s="134"/>
      <c r="S196" s="134"/>
      <c r="T196" s="135"/>
      <c r="U196" s="135"/>
      <c r="V196" s="135" t="str">
        <f>IFERROR(IF(AA196="SEGURIDAD",OFFSET('PARÁMETROS'!$K$2,MATCH(U196,JC_SE,0),MATCH(T196,CC_SE,0)),
IF(OR(AA196="DSRC/Estratégico",AA196="DSRC/Operativo"),OFFSET('PARÁMETROS'!$K$11,MATCH(U196,JC_DS,0),MATCH(T196,CC_DS,0)),
IF(AA196="SALUD",OFFSET('PARÁMETROS'!$K$29,MATCH(U196,JC_SA,0),MATCH(T196,CC_SA,0)),
IF(AA196="MEDIO AMBIENTE",OFFSET('PARÁMETROS'!$K$20,MATCH(U196,JC_MA,0),MATCH(T196,CC_MA,0)),
IF(AA196="Rel. Gubernamentales",OFFSET('PARÁMETROS'!$K$48,MATCH(U196,JC_G,0),MATCH(T196,CC_G,0)),
IF(AA196="OPERACIONAL",OFFSET('PARÁMETROS'!$K$56,MATCH(U196,JC_OP,0),MATCH(T196,CC_OP,0)),
IF(AA196="FINANCIERO",OFFSET('PARÁMETROS'!$K$56,MATCH(U196,JC_FI,0),MATCH(T196,CC_FI,0)),
OFFSET('PARÁMETROS'!$K$38,MATCH(U196,JC_L,0),MATCH(T196,CC_L,0))))))))),"")</f>
        <v/>
      </c>
      <c r="W196" s="130"/>
      <c r="X196" s="135"/>
      <c r="Y196" s="136"/>
      <c r="Z196" s="30"/>
      <c r="AA196" s="31" t="str">
        <f>E187</f>
        <v/>
      </c>
    </row>
    <row r="197" ht="87.0" customHeight="1">
      <c r="A197" s="129"/>
      <c r="B197" s="130"/>
      <c r="C197" s="130"/>
      <c r="D197" s="130"/>
      <c r="E197" s="130"/>
      <c r="F197" s="130"/>
      <c r="G197" s="130"/>
      <c r="H197" s="130"/>
      <c r="I197" s="130"/>
      <c r="J197" s="130"/>
      <c r="K197" s="130"/>
      <c r="L197" s="130"/>
      <c r="M197" s="130"/>
      <c r="N197" s="130"/>
      <c r="O197" s="130"/>
      <c r="P197" s="132"/>
      <c r="Q197" s="134"/>
      <c r="R197" s="134"/>
      <c r="S197" s="134"/>
      <c r="T197" s="135"/>
      <c r="U197" s="135"/>
      <c r="V197" s="135" t="str">
        <f>IFERROR(IF(AA197="SEGURIDAD",OFFSET('PARÁMETROS'!$K$2,MATCH(U197,JC_SE,0),MATCH(T197,CC_SE,0)),
IF(OR(AA197="DSRC/Estratégico",AA197="DSRC/Operativo"),OFFSET('PARÁMETROS'!$K$11,MATCH(U197,JC_DS,0),MATCH(T197,CC_DS,0)),
IF(AA197="SALUD",OFFSET('PARÁMETROS'!$K$29,MATCH(U197,JC_SA,0),MATCH(T197,CC_SA,0)),
IF(AA197="MEDIO AMBIENTE",OFFSET('PARÁMETROS'!$K$20,MATCH(U197,JC_MA,0),MATCH(T197,CC_MA,0)),
IF(AA197="Rel. Gubernamentales",OFFSET('PARÁMETROS'!$K$48,MATCH(U197,JC_G,0),MATCH(T197,CC_G,0)),
IF(AA197="OPERACIONAL",OFFSET('PARÁMETROS'!$K$56,MATCH(U197,JC_OP,0),MATCH(T197,CC_OP,0)),
IF(AA197="FINANCIERO",OFFSET('PARÁMETROS'!$K$56,MATCH(U197,JC_FI,0),MATCH(T197,CC_FI,0)),
OFFSET('PARÁMETROS'!$K$38,MATCH(U197,JC_L,0),MATCH(T197,CC_L,0))))))))),"")</f>
        <v/>
      </c>
      <c r="W197" s="130"/>
      <c r="X197" s="135"/>
      <c r="Y197" s="136"/>
      <c r="Z197" s="30"/>
      <c r="AA197" s="31" t="str">
        <f>E187</f>
        <v/>
      </c>
    </row>
    <row r="198" ht="87.0" customHeight="1">
      <c r="A198" s="129"/>
      <c r="B198" s="130"/>
      <c r="C198" s="130"/>
      <c r="D198" s="130"/>
      <c r="E198" s="130"/>
      <c r="F198" s="130"/>
      <c r="G198" s="130"/>
      <c r="H198" s="130"/>
      <c r="I198" s="130"/>
      <c r="J198" s="130"/>
      <c r="K198" s="130"/>
      <c r="L198" s="130"/>
      <c r="M198" s="130"/>
      <c r="N198" s="130"/>
      <c r="O198" s="130"/>
      <c r="P198" s="132"/>
      <c r="Q198" s="134"/>
      <c r="R198" s="134"/>
      <c r="S198" s="134"/>
      <c r="T198" s="135"/>
      <c r="U198" s="135"/>
      <c r="V198" s="135" t="str">
        <f>IFERROR(IF(AA198="SEGURIDAD",OFFSET('PARÁMETROS'!$K$2,MATCH(U198,JC_SE,0),MATCH(T198,CC_SE,0)),
IF(OR(AA198="DSRC/Estratégico",AA198="DSRC/Operativo"),OFFSET('PARÁMETROS'!$K$11,MATCH(U198,JC_DS,0),MATCH(T198,CC_DS,0)),
IF(AA198="SALUD",OFFSET('PARÁMETROS'!$K$29,MATCH(U198,JC_SA,0),MATCH(T198,CC_SA,0)),
IF(AA198="MEDIO AMBIENTE",OFFSET('PARÁMETROS'!$K$20,MATCH(U198,JC_MA,0),MATCH(T198,CC_MA,0)),
IF(AA198="Rel. Gubernamentales",OFFSET('PARÁMETROS'!$K$48,MATCH(U198,JC_G,0),MATCH(T198,CC_G,0)),
IF(AA198="OPERACIONAL",OFFSET('PARÁMETROS'!$K$56,MATCH(U198,JC_OP,0),MATCH(T198,CC_OP,0)),
IF(AA198="FINANCIERO",OFFSET('PARÁMETROS'!$K$56,MATCH(U198,JC_FI,0),MATCH(T198,CC_FI,0)),
OFFSET('PARÁMETROS'!$K$38,MATCH(U198,JC_L,0),MATCH(T198,CC_L,0))))))))),"")</f>
        <v/>
      </c>
      <c r="W198" s="130"/>
      <c r="X198" s="135"/>
      <c r="Y198" s="136"/>
      <c r="Z198" s="30"/>
      <c r="AA198" s="31" t="str">
        <f>E187</f>
        <v/>
      </c>
    </row>
    <row r="199" ht="87.0" customHeight="1">
      <c r="A199" s="129"/>
      <c r="B199" s="130"/>
      <c r="C199" s="130"/>
      <c r="D199" s="130"/>
      <c r="E199" s="130"/>
      <c r="F199" s="130"/>
      <c r="G199" s="130"/>
      <c r="H199" s="130"/>
      <c r="I199" s="130"/>
      <c r="J199" s="130"/>
      <c r="K199" s="130"/>
      <c r="L199" s="130"/>
      <c r="M199" s="130"/>
      <c r="N199" s="130"/>
      <c r="O199" s="130"/>
      <c r="P199" s="132"/>
      <c r="Q199" s="134"/>
      <c r="R199" s="134"/>
      <c r="S199" s="134"/>
      <c r="T199" s="135"/>
      <c r="U199" s="135"/>
      <c r="V199" s="135" t="str">
        <f>IFERROR(IF(AA199="SEGURIDAD",OFFSET('PARÁMETROS'!$K$2,MATCH(U199,JC_SE,0),MATCH(T199,CC_SE,0)),
IF(OR(AA199="DSRC/Estratégico",AA199="DSRC/Operativo"),OFFSET('PARÁMETROS'!$K$11,MATCH(U199,JC_DS,0),MATCH(T199,CC_DS,0)),
IF(AA199="SALUD",OFFSET('PARÁMETROS'!$K$29,MATCH(U199,JC_SA,0),MATCH(T199,CC_SA,0)),
IF(AA199="MEDIO AMBIENTE",OFFSET('PARÁMETROS'!$K$20,MATCH(U199,JC_MA,0),MATCH(T199,CC_MA,0)),
IF(AA199="Rel. Gubernamentales",OFFSET('PARÁMETROS'!$K$48,MATCH(U199,JC_G,0),MATCH(T199,CC_G,0)),
IF(AA199="OPERACIONAL",OFFSET('PARÁMETROS'!$K$56,MATCH(U199,JC_OP,0),MATCH(T199,CC_OP,0)),
IF(AA199="FINANCIERO",OFFSET('PARÁMETROS'!$K$56,MATCH(U199,JC_FI,0),MATCH(T199,CC_FI,0)),
OFFSET('PARÁMETROS'!$K$38,MATCH(U199,JC_L,0),MATCH(T199,CC_L,0))))))))),"")</f>
        <v/>
      </c>
      <c r="W199" s="130"/>
      <c r="X199" s="135"/>
      <c r="Y199" s="136"/>
      <c r="Z199" s="30"/>
      <c r="AA199" s="31" t="str">
        <f>E187</f>
        <v/>
      </c>
    </row>
    <row r="200" ht="87.0" customHeight="1">
      <c r="A200" s="129"/>
      <c r="B200" s="130"/>
      <c r="C200" s="130"/>
      <c r="D200" s="130"/>
      <c r="E200" s="130"/>
      <c r="F200" s="130"/>
      <c r="G200" s="130"/>
      <c r="H200" s="130"/>
      <c r="I200" s="130"/>
      <c r="J200" s="130"/>
      <c r="K200" s="130"/>
      <c r="L200" s="130"/>
      <c r="M200" s="130"/>
      <c r="N200" s="130"/>
      <c r="O200" s="130"/>
      <c r="P200" s="132"/>
      <c r="Q200" s="134"/>
      <c r="R200" s="134"/>
      <c r="S200" s="134"/>
      <c r="T200" s="135"/>
      <c r="U200" s="135"/>
      <c r="V200" s="135" t="str">
        <f>IFERROR(IF(AA200="SEGURIDAD",OFFSET('PARÁMETROS'!$K$2,MATCH(U200,JC_SE,0),MATCH(T200,CC_SE,0)),
IF(OR(AA200="DSRC/Estratégico",AA200="DSRC/Operativo"),OFFSET('PARÁMETROS'!$K$11,MATCH(U200,JC_DS,0),MATCH(T200,CC_DS,0)),
IF(AA200="SALUD",OFFSET('PARÁMETROS'!$K$29,MATCH(U200,JC_SA,0),MATCH(T200,CC_SA,0)),
IF(AA200="MEDIO AMBIENTE",OFFSET('PARÁMETROS'!$K$20,MATCH(U200,JC_MA,0),MATCH(T200,CC_MA,0)),
IF(AA200="Rel. Gubernamentales",OFFSET('PARÁMETROS'!$K$48,MATCH(U200,JC_G,0),MATCH(T200,CC_G,0)),
IF(AA200="OPERACIONAL",OFFSET('PARÁMETROS'!$K$56,MATCH(U200,JC_OP,0),MATCH(T200,CC_OP,0)),
IF(AA200="FINANCIERO",OFFSET('PARÁMETROS'!$K$56,MATCH(U200,JC_FI,0),MATCH(T200,CC_FI,0)),
OFFSET('PARÁMETROS'!$K$38,MATCH(U200,JC_L,0),MATCH(T200,CC_L,0))))))))),"")</f>
        <v/>
      </c>
      <c r="W200" s="130"/>
      <c r="X200" s="135"/>
      <c r="Y200" s="136"/>
      <c r="Z200" s="30"/>
      <c r="AA200" s="31" t="str">
        <f>E187</f>
        <v/>
      </c>
    </row>
    <row r="201" ht="87.0" customHeight="1">
      <c r="A201" s="129"/>
      <c r="B201" s="130"/>
      <c r="C201" s="130"/>
      <c r="D201" s="130"/>
      <c r="E201" s="130"/>
      <c r="F201" s="130"/>
      <c r="G201" s="130"/>
      <c r="H201" s="130"/>
      <c r="I201" s="130"/>
      <c r="J201" s="130"/>
      <c r="K201" s="130"/>
      <c r="L201" s="130"/>
      <c r="M201" s="130"/>
      <c r="N201" s="130"/>
      <c r="O201" s="130"/>
      <c r="P201" s="132"/>
      <c r="Q201" s="134"/>
      <c r="R201" s="134"/>
      <c r="S201" s="134"/>
      <c r="T201" s="135"/>
      <c r="U201" s="135"/>
      <c r="V201" s="135" t="str">
        <f>IFERROR(IF(AA201="SEGURIDAD",OFFSET('PARÁMETROS'!$K$2,MATCH(U201,JC_SE,0),MATCH(T201,CC_SE,0)),
IF(OR(AA201="DSRC/Estratégico",AA201="DSRC/Operativo"),OFFSET('PARÁMETROS'!$K$11,MATCH(U201,JC_DS,0),MATCH(T201,CC_DS,0)),
IF(AA201="SALUD",OFFSET('PARÁMETROS'!$K$29,MATCH(U201,JC_SA,0),MATCH(T201,CC_SA,0)),
IF(AA201="MEDIO AMBIENTE",OFFSET('PARÁMETROS'!$K$20,MATCH(U201,JC_MA,0),MATCH(T201,CC_MA,0)),
IF(AA201="Rel. Gubernamentales",OFFSET('PARÁMETROS'!$K$48,MATCH(U201,JC_G,0),MATCH(T201,CC_G,0)),
IF(AA201="OPERACIONAL",OFFSET('PARÁMETROS'!$K$56,MATCH(U201,JC_OP,0),MATCH(T201,CC_OP,0)),
IF(AA201="FINANCIERO",OFFSET('PARÁMETROS'!$K$56,MATCH(U201,JC_FI,0),MATCH(T201,CC_FI,0)),
OFFSET('PARÁMETROS'!$K$38,MATCH(U201,JC_L,0),MATCH(T201,CC_L,0))))))))),"")</f>
        <v/>
      </c>
      <c r="W201" s="130"/>
      <c r="X201" s="135"/>
      <c r="Y201" s="136"/>
      <c r="Z201" s="30"/>
      <c r="AA201" s="31" t="str">
        <f>E187</f>
        <v/>
      </c>
    </row>
    <row r="202" ht="87.0" customHeight="1">
      <c r="A202" s="89"/>
      <c r="B202" s="90"/>
      <c r="C202" s="90"/>
      <c r="D202" s="157"/>
      <c r="E202" s="157"/>
      <c r="F202" s="157"/>
      <c r="G202" s="157"/>
      <c r="H202" s="157"/>
      <c r="I202" s="90"/>
      <c r="J202" s="90"/>
      <c r="K202" s="90"/>
      <c r="L202" s="90"/>
      <c r="M202" s="90"/>
      <c r="N202" s="90"/>
      <c r="O202" s="90"/>
      <c r="P202" s="132"/>
      <c r="Q202" s="134"/>
      <c r="R202" s="145"/>
      <c r="S202" s="145"/>
      <c r="T202" s="135"/>
      <c r="U202" s="135"/>
      <c r="V202" s="135" t="str">
        <f>IFERROR(IF(AA202="SEGURIDAD",OFFSET('PARÁMETROS'!$K$2,MATCH(U202,JC_SE,0),MATCH(T202,CC_SE,0)),
IF(OR(AA202="DSRC/Estratégico",AA202="DSRC/Operativo"),OFFSET('PARÁMETROS'!$K$11,MATCH(U202,JC_DS,0),MATCH(T202,CC_DS,0)),
IF(AA202="SALUD",OFFSET('PARÁMETROS'!$K$29,MATCH(U202,JC_SA,0),MATCH(T202,CC_SA,0)),
IF(AA202="MEDIO AMBIENTE",OFFSET('PARÁMETROS'!$K$20,MATCH(U202,JC_MA,0),MATCH(T202,CC_MA,0)),
IF(AA202="Rel. Gubernamentales",OFFSET('PARÁMETROS'!$K$48,MATCH(U202,JC_G,0),MATCH(T202,CC_G,0)),
IF(AA202="OPERACIONAL",OFFSET('PARÁMETROS'!$K$56,MATCH(U202,JC_OP,0),MATCH(T202,CC_OP,0)),
IF(AA202="FINANCIERO",OFFSET('PARÁMETROS'!$K$56,MATCH(U202,JC_FI,0),MATCH(T202,CC_FI,0)),
OFFSET('PARÁMETROS'!$K$38,MATCH(U202,JC_L,0),MATCH(T202,CC_L,0))))))))),"")</f>
        <v/>
      </c>
      <c r="W202" s="90"/>
      <c r="X202" s="135"/>
      <c r="Y202" s="136"/>
      <c r="Z202" s="30"/>
      <c r="AA202" s="31" t="str">
        <f>E187</f>
        <v/>
      </c>
    </row>
    <row r="203" ht="87.0" customHeight="1">
      <c r="A203" s="102"/>
      <c r="B203" s="103"/>
      <c r="C203" s="103"/>
      <c r="D203" s="103"/>
      <c r="E203" s="103"/>
      <c r="F203" s="103"/>
      <c r="G203" s="105"/>
      <c r="H203" s="103"/>
      <c r="I203" s="105"/>
      <c r="J203" s="103"/>
      <c r="K203" s="103"/>
      <c r="L203" s="103" t="str">
        <f>IF(OR(J203&lt;&gt;"",K203&lt;&gt;""),OFFSET('PARÁMETROS'!$B$2,K203,J203),"")</f>
        <v/>
      </c>
      <c r="M203" s="103"/>
      <c r="N203" s="103">
        <f>IFERROR(L203*M203,"")</f>
        <v>0</v>
      </c>
      <c r="O203" s="108" t="str">
        <f>IF(N203="","",IFERROR(IF(N203&lt;=2,"ACEPTABLE",IF(N203&lt;=6,"BAJA",IF(N203&lt;=10,"ACEPTABLE CON REVISIÓN",IF(N203&lt;=15,"SUSTANCIAL","INACEPTABLE")))),""))</f>
        <v>ACEPTABLE</v>
      </c>
      <c r="P203" s="113"/>
      <c r="Q203" s="114"/>
      <c r="R203" s="114"/>
      <c r="S203" s="114"/>
      <c r="T203" s="115"/>
      <c r="U203" s="115"/>
      <c r="V203" s="115" t="str">
        <f>IFERROR(IF(AA203="SEGURIDAD",OFFSET('PARÁMETROS'!$K$2,MATCH(U203,JC_SE,0),MATCH(T203,CC_SE,0)),
IF(OR(AA203="DSRC/Estratégico",AA203="DSRC/Operativo"),OFFSET('PARÁMETROS'!$K$11,MATCH(U203,JC_DS,0),MATCH(T203,CC_DS,0)),
IF(AA203="SALUD",OFFSET('PARÁMETROS'!$K$29,MATCH(U203,JC_SA,0),MATCH(T203,CC_SA,0)),
IF(AA203="MEDIO AMBIENTE",OFFSET('PARÁMETROS'!$K$20,MATCH(U203,JC_MA,0),MATCH(T203,CC_MA,0)),
IF(AA203="Rel. Gubernamentales",OFFSET('PARÁMETROS'!$K$48,MATCH(U203,JC_G,0),MATCH(T203,CC_G,0)),
IF(AA203="OPERACIONAL",OFFSET('PARÁMETROS'!$K$56,MATCH(U203,JC_OP,0),MATCH(T203,CC_OP,0)),
IF(AA203="FINANCIERO",OFFSET('PARÁMETROS'!$K$56,MATCH(U203,JC_FI,0),MATCH(T203,CC_FI,0)),
OFFSET('PARÁMETROS'!$K$38,MATCH(U203,JC_L,0),MATCH(T203,CC_L,0))))))))),"")</f>
        <v/>
      </c>
      <c r="W203" s="108" t="str">
        <f>IF(E203="","",
IF(COUNTA(V203:V218)-COUNTBLANK(V203:V218)=1,
IF(O203="INACEPTABLE",IF(COUNTIF(V203:V218,"Control/Acción Eficaz")&gt;=1,"SUSTANCIAL","INACEPTABLE"),
IF(O203="SUSTANCIAL",IF(COUNTIF(V203:V218,"Control/Acción Eficaz")&gt;=1,"ACEPTABLE CON REVISIÓN","SUSTANCIAL"),
IF(O203="ACEPTABLE CON REVISIÓN",IF(COUNTIF(V203:V218,"Control/Acción Eficaz")&gt;=1,"BAJA","ACEPTABLE CON REVISIÓN"),
IF(O203="BAJA",IF(COUNTIF(V203:V218,"Control/Acción Eficaz")&gt;=1,"ACEPTABLE","BAJA"),)))),
IF(COUNTA(V203:V218)-COUNTBLANK(V203:V218)=2,
IF(O203="INACEPTABLE",IF(COUNTIF(V203:V218,"Control/Acción Eficaz")=2,"ACEPTABLE CON REVISIÓN",
IF(OR(AND(COUNTIF(V203:V218,"Control/Acción Eficaz")=1,COUNTIF(V203:V218,"Control/Acción Satisfactorio")=1),
AND(COUNTIF(V203:V218,"Control/Acción Eficaz")=1,COUNTIF(V203:V218,"Control/Acción No Eficaz")=1)),"SUSTANCIAL","INACEPTABLE")),
IF(O203="SUSTANCIAL",IF(COUNTIF(V203:V218,"Control/Acción Eficaz")=2,"BAJA",
IF(OR(AND(COUNTIF(V203:V218,"Control/Acción Eficaz")=1,COUNTIF(V203:V218,"Control/Acción Satisfactorio")=1),
AND(COUNTIF(V203:V218,"Control/Acción Eficaz")=1,COUNTIF(V203:V218,"Control/Acción No Eficaz")=1)),"ACEPTABLE CON REVISIÓN ","SUSTANCIAL")),
IF(O203="ACEPTABLE CON REVISIÓN",IF(COUNTIF(V203:V218,"Control/Acción Eficaz")=2,"ACEPTABLE",
IF(OR(AND(COUNTIF(V203:V218,"Control/Acción Eficaz")=1,COUNTIF(V203:V218,"Control/Acción Satisfactorio")=1),
AND(COUNTIF(V203:V218,"Control/Acción Eficaz")=1,COUNTIF(V203:V218,"Control/Acción No Eficaz")=1)),"BAJA","ACEPTABLE CON REVISIÓN")),
IF(O203="BAJA",IF(COUNTIF(V203:V218,"Control/Acción Eficaz")&gt;=2,"ACEPTABLE","BAJA"),)))),
IF(COUNTA(V203:V218)-COUNTBLANK(V203:V218)&gt;=3,
IF(O203="INACEPTABLE",
IF(COUNTBLANK(V203:V218)=COUNTA(V203:V218),"",
IF(COUNTIF(V203:V218,"Control/Acción No Eficaz")&gt;=2,"INACEPTABLE",
IF(AND(COUNTIF(V203:V218,"Control/Acción No Eficaz")=0,COUNTIF(V203:V218,"Control/Acción Eficaz")&gt;=2),"ACEPTABLE CON REVISIÓN ","SUSTANCIAL"))),
IF(O203="SUSTANCIAL",
IF(COUNTBLANK(V203:V218)=COUNTA(V203:V218),"",
IF(COUNTIF(V203:V218,"Control/Acción No Eficaz")&gt;=2,"SUSTANCIAL",
IF(AND(COUNTIF(V203:V218,"Control/Acción No Eficaz")=0,COUNTIF(V203:V218,"Control/Acción Eficaz")&gt;=2),"BAJA","ACEPTABLE CON REVISIÓN"))),
IF(O203="ACEPTABLE CON REVISIÓN",
IF(COUNTBLANK(V203:V218)=COUNTA(V203:V218),"",
IF(COUNTIF(V203:V218,"Control/Acción No Eficaz")&gt;=2,"ACEPTABLE CON REVISIÓN",
IF(AND(COUNTIF(V203:V218,"Control/Acción No Eficaz")=0,COUNTIF(V203:V218,"Control/Acción Eficaz")&gt;=2),"ACEPTABLE","BAJA"))),
IF(O203="BAJA",
IF(COUNTBLANK(V203:V218)=COUNTA(V203:V218),"",
IF(AND(COUNTBLANK(V203:V218)&lt;1,COUNTA(V203:V218)=1),
IF(COUNTIF(V203:V218,"Control/Acción No Eficaz")&gt;=2,"BAJA",
IF(AND(COUNTIF(V203:V218,"Control/Acción No Eficaz")=0,COUNTIF(V203:V218,"Control/Acción Eficaz")&gt;=2),"ACEPTABLE","BAJA")),
IF(COUNTIF(V203:V218,"Control/Acción No Eficaz")&gt;=2,"BAJA",
IF(AND(COUNTIF(V203:V218,"Control/Acción No Eficaz")=0,COUNTIF(V203:V218,"Control/Acción Eficaz")&gt;=2),"ACEPTABLE","BAJA")))),
IF(COUNTIF(V203:V218,"")&gt;=5,"",O203))))),
""))))</f>
        <v/>
      </c>
      <c r="X203" s="115"/>
      <c r="Y203" s="128"/>
      <c r="Z203" s="30"/>
      <c r="AA203" s="31" t="str">
        <f>E203</f>
        <v/>
      </c>
    </row>
    <row r="204" ht="87.0" customHeight="1">
      <c r="A204" s="129"/>
      <c r="B204" s="130"/>
      <c r="C204" s="130"/>
      <c r="D204" s="130"/>
      <c r="E204" s="130"/>
      <c r="F204" s="130"/>
      <c r="G204" s="130"/>
      <c r="H204" s="130"/>
      <c r="I204" s="130"/>
      <c r="J204" s="130"/>
      <c r="K204" s="130"/>
      <c r="L204" s="130"/>
      <c r="M204" s="130"/>
      <c r="N204" s="130"/>
      <c r="O204" s="130"/>
      <c r="P204" s="132"/>
      <c r="Q204" s="134"/>
      <c r="R204" s="134"/>
      <c r="S204" s="134"/>
      <c r="T204" s="135"/>
      <c r="U204" s="135"/>
      <c r="V204" s="135" t="str">
        <f>IFERROR(IF(AA204="SEGURIDAD",OFFSET('PARÁMETROS'!$K$2,MATCH(U204,JC_SE,0),MATCH(T204,CC_SE,0)),
IF(OR(AA204="DSRC/Estratégico",AA204="DSRC/Operativo"),OFFSET('PARÁMETROS'!$K$11,MATCH(U204,JC_DS,0),MATCH(T204,CC_DS,0)),
IF(AA204="SALUD",OFFSET('PARÁMETROS'!$K$29,MATCH(U204,JC_SA,0),MATCH(T204,CC_SA,0)),
IF(AA204="MEDIO AMBIENTE",OFFSET('PARÁMETROS'!$K$20,MATCH(U204,JC_MA,0),MATCH(T204,CC_MA,0)),
IF(AA204="Rel. Gubernamentales",OFFSET('PARÁMETROS'!$K$48,MATCH(U204,JC_G,0),MATCH(T204,CC_G,0)),
IF(AA204="OPERACIONAL",OFFSET('PARÁMETROS'!$K$56,MATCH(U204,JC_OP,0),MATCH(T204,CC_OP,0)),
IF(AA204="FINANCIERO",OFFSET('PARÁMETROS'!$K$56,MATCH(U204,JC_FI,0),MATCH(T204,CC_FI,0)),
OFFSET('PARÁMETROS'!$K$38,MATCH(U204,JC_L,0),MATCH(T204,CC_L,0))))))))),"")</f>
        <v/>
      </c>
      <c r="W204" s="130"/>
      <c r="X204" s="135"/>
      <c r="Y204" s="136"/>
      <c r="Z204" s="30"/>
      <c r="AA204" s="31" t="str">
        <f>E203</f>
        <v/>
      </c>
    </row>
    <row r="205" ht="87.0" customHeight="1">
      <c r="A205" s="129"/>
      <c r="B205" s="130"/>
      <c r="C205" s="130"/>
      <c r="D205" s="130"/>
      <c r="E205" s="130"/>
      <c r="F205" s="130"/>
      <c r="G205" s="130"/>
      <c r="H205" s="130"/>
      <c r="I205" s="130"/>
      <c r="J205" s="130"/>
      <c r="K205" s="130"/>
      <c r="L205" s="130"/>
      <c r="M205" s="130"/>
      <c r="N205" s="130"/>
      <c r="O205" s="130"/>
      <c r="P205" s="132"/>
      <c r="Q205" s="134"/>
      <c r="R205" s="134"/>
      <c r="S205" s="134"/>
      <c r="T205" s="135"/>
      <c r="U205" s="135"/>
      <c r="V205" s="135" t="str">
        <f>IFERROR(IF(AA205="SEGURIDAD",OFFSET('PARÁMETROS'!$K$2,MATCH(U205,JC_SE,0),MATCH(T205,CC_SE,0)),
IF(OR(AA205="DSRC/Estratégico",AA205="DSRC/Operativo"),OFFSET('PARÁMETROS'!$K$11,MATCH(U205,JC_DS,0),MATCH(T205,CC_DS,0)),
IF(AA205="SALUD",OFFSET('PARÁMETROS'!$K$29,MATCH(U205,JC_SA,0),MATCH(T205,CC_SA,0)),
IF(AA205="MEDIO AMBIENTE",OFFSET('PARÁMETROS'!$K$20,MATCH(U205,JC_MA,0),MATCH(T205,CC_MA,0)),
IF(AA205="Rel. Gubernamentales",OFFSET('PARÁMETROS'!$K$48,MATCH(U205,JC_G,0),MATCH(T205,CC_G,0)),
IF(AA205="OPERACIONAL",OFFSET('PARÁMETROS'!$K$56,MATCH(U205,JC_OP,0),MATCH(T205,CC_OP,0)),
IF(AA205="FINANCIERO",OFFSET('PARÁMETROS'!$K$56,MATCH(U205,JC_FI,0),MATCH(T205,CC_FI,0)),
OFFSET('PARÁMETROS'!$K$38,MATCH(U205,JC_L,0),MATCH(T205,CC_L,0))))))))),"")</f>
        <v/>
      </c>
      <c r="W205" s="130"/>
      <c r="X205" s="135"/>
      <c r="Y205" s="136"/>
      <c r="Z205" s="30"/>
      <c r="AA205" s="31" t="str">
        <f>E203</f>
        <v/>
      </c>
    </row>
    <row r="206" ht="87.0" customHeight="1">
      <c r="A206" s="129"/>
      <c r="B206" s="130"/>
      <c r="C206" s="130"/>
      <c r="D206" s="130"/>
      <c r="E206" s="130"/>
      <c r="F206" s="130"/>
      <c r="G206" s="130"/>
      <c r="H206" s="130"/>
      <c r="I206" s="130"/>
      <c r="J206" s="130"/>
      <c r="K206" s="130"/>
      <c r="L206" s="130"/>
      <c r="M206" s="130"/>
      <c r="N206" s="130"/>
      <c r="O206" s="130"/>
      <c r="P206" s="132"/>
      <c r="Q206" s="134"/>
      <c r="R206" s="134"/>
      <c r="S206" s="134"/>
      <c r="T206" s="135"/>
      <c r="U206" s="135"/>
      <c r="V206" s="135" t="str">
        <f>IFERROR(IF(AA206="SEGURIDAD",OFFSET('PARÁMETROS'!$K$2,MATCH(U206,JC_SE,0),MATCH(T206,CC_SE,0)),
IF(OR(AA206="DSRC/Estratégico",AA206="DSRC/Operativo"),OFFSET('PARÁMETROS'!$K$11,MATCH(U206,JC_DS,0),MATCH(T206,CC_DS,0)),
IF(AA206="SALUD",OFFSET('PARÁMETROS'!$K$29,MATCH(U206,JC_SA,0),MATCH(T206,CC_SA,0)),
IF(AA206="MEDIO AMBIENTE",OFFSET('PARÁMETROS'!$K$20,MATCH(U206,JC_MA,0),MATCH(T206,CC_MA,0)),
IF(AA206="Rel. Gubernamentales",OFFSET('PARÁMETROS'!$K$48,MATCH(U206,JC_G,0),MATCH(T206,CC_G,0)),
IF(AA206="OPERACIONAL",OFFSET('PARÁMETROS'!$K$56,MATCH(U206,JC_OP,0),MATCH(T206,CC_OP,0)),
IF(AA206="FINANCIERO",OFFSET('PARÁMETROS'!$K$56,MATCH(U206,JC_FI,0),MATCH(T206,CC_FI,0)),
OFFSET('PARÁMETROS'!$K$38,MATCH(U206,JC_L,0),MATCH(T206,CC_L,0))))))))),"")</f>
        <v/>
      </c>
      <c r="W206" s="130"/>
      <c r="X206" s="135"/>
      <c r="Y206" s="136"/>
      <c r="Z206" s="30"/>
      <c r="AA206" s="31" t="str">
        <f>E203</f>
        <v/>
      </c>
    </row>
    <row r="207" ht="87.0" customHeight="1">
      <c r="A207" s="129"/>
      <c r="B207" s="130"/>
      <c r="C207" s="130"/>
      <c r="D207" s="130"/>
      <c r="E207" s="130"/>
      <c r="F207" s="130"/>
      <c r="G207" s="130"/>
      <c r="H207" s="130"/>
      <c r="I207" s="130"/>
      <c r="J207" s="130"/>
      <c r="K207" s="130"/>
      <c r="L207" s="130"/>
      <c r="M207" s="130"/>
      <c r="N207" s="130"/>
      <c r="O207" s="130"/>
      <c r="P207" s="132"/>
      <c r="Q207" s="134"/>
      <c r="R207" s="134"/>
      <c r="S207" s="134"/>
      <c r="T207" s="135"/>
      <c r="U207" s="135"/>
      <c r="V207" s="135" t="str">
        <f>IFERROR(IF(AA207="SEGURIDAD",OFFSET('PARÁMETROS'!$K$2,MATCH(U207,JC_SE,0),MATCH(T207,CC_SE,0)),
IF(OR(AA207="DSRC/Estratégico",AA207="DSRC/Operativo"),OFFSET('PARÁMETROS'!$K$11,MATCH(U207,JC_DS,0),MATCH(T207,CC_DS,0)),
IF(AA207="SALUD",OFFSET('PARÁMETROS'!$K$29,MATCH(U207,JC_SA,0),MATCH(T207,CC_SA,0)),
IF(AA207="MEDIO AMBIENTE",OFFSET('PARÁMETROS'!$K$20,MATCH(U207,JC_MA,0),MATCH(T207,CC_MA,0)),
IF(AA207="Rel. Gubernamentales",OFFSET('PARÁMETROS'!$K$48,MATCH(U207,JC_G,0),MATCH(T207,CC_G,0)),
IF(AA207="OPERACIONAL",OFFSET('PARÁMETROS'!$K$56,MATCH(U207,JC_OP,0),MATCH(T207,CC_OP,0)),
IF(AA207="FINANCIERO",OFFSET('PARÁMETROS'!$K$56,MATCH(U207,JC_FI,0),MATCH(T207,CC_FI,0)),
OFFSET('PARÁMETROS'!$K$38,MATCH(U207,JC_L,0),MATCH(T207,CC_L,0))))))))),"")</f>
        <v/>
      </c>
      <c r="W207" s="130"/>
      <c r="X207" s="135"/>
      <c r="Y207" s="136"/>
      <c r="Z207" s="30"/>
      <c r="AA207" s="31" t="str">
        <f>E203</f>
        <v/>
      </c>
    </row>
    <row r="208" ht="87.0" customHeight="1">
      <c r="A208" s="129"/>
      <c r="B208" s="130"/>
      <c r="C208" s="130"/>
      <c r="D208" s="130"/>
      <c r="E208" s="130"/>
      <c r="F208" s="130"/>
      <c r="G208" s="130"/>
      <c r="H208" s="130"/>
      <c r="I208" s="130"/>
      <c r="J208" s="130"/>
      <c r="K208" s="130"/>
      <c r="L208" s="130"/>
      <c r="M208" s="130"/>
      <c r="N208" s="130"/>
      <c r="O208" s="130"/>
      <c r="P208" s="132"/>
      <c r="Q208" s="134"/>
      <c r="R208" s="134"/>
      <c r="S208" s="134"/>
      <c r="T208" s="135"/>
      <c r="U208" s="135"/>
      <c r="V208" s="135" t="str">
        <f>IFERROR(IF(AA208="SEGURIDAD",OFFSET('PARÁMETROS'!$K$2,MATCH(U208,JC_SE,0),MATCH(T208,CC_SE,0)),
IF(OR(AA208="DSRC/Estratégico",AA208="DSRC/Operativo"),OFFSET('PARÁMETROS'!$K$11,MATCH(U208,JC_DS,0),MATCH(T208,CC_DS,0)),
IF(AA208="SALUD",OFFSET('PARÁMETROS'!$K$29,MATCH(U208,JC_SA,0),MATCH(T208,CC_SA,0)),
IF(AA208="MEDIO AMBIENTE",OFFSET('PARÁMETROS'!$K$20,MATCH(U208,JC_MA,0),MATCH(T208,CC_MA,0)),
IF(AA208="Rel. Gubernamentales",OFFSET('PARÁMETROS'!$K$48,MATCH(U208,JC_G,0),MATCH(T208,CC_G,0)),
IF(AA208="OPERACIONAL",OFFSET('PARÁMETROS'!$K$56,MATCH(U208,JC_OP,0),MATCH(T208,CC_OP,0)),
IF(AA208="FINANCIERO",OFFSET('PARÁMETROS'!$K$56,MATCH(U208,JC_FI,0),MATCH(T208,CC_FI,0)),
OFFSET('PARÁMETROS'!$K$38,MATCH(U208,JC_L,0),MATCH(T208,CC_L,0))))))))),"")</f>
        <v/>
      </c>
      <c r="W208" s="130"/>
      <c r="X208" s="135"/>
      <c r="Y208" s="136"/>
      <c r="Z208" s="30"/>
      <c r="AA208" s="31" t="str">
        <f>E203</f>
        <v/>
      </c>
    </row>
    <row r="209" ht="87.0" customHeight="1">
      <c r="A209" s="129"/>
      <c r="B209" s="130"/>
      <c r="C209" s="130"/>
      <c r="D209" s="130"/>
      <c r="E209" s="130"/>
      <c r="F209" s="130"/>
      <c r="G209" s="130"/>
      <c r="H209" s="130"/>
      <c r="I209" s="130"/>
      <c r="J209" s="130"/>
      <c r="K209" s="130"/>
      <c r="L209" s="130"/>
      <c r="M209" s="130"/>
      <c r="N209" s="130"/>
      <c r="O209" s="130"/>
      <c r="P209" s="132"/>
      <c r="Q209" s="134"/>
      <c r="R209" s="134"/>
      <c r="S209" s="134"/>
      <c r="T209" s="135"/>
      <c r="U209" s="135"/>
      <c r="V209" s="135" t="str">
        <f>IFERROR(IF(AA209="SEGURIDAD",OFFSET('PARÁMETROS'!$K$2,MATCH(U209,JC_SE,0),MATCH(T209,CC_SE,0)),
IF(OR(AA209="DSRC/Estratégico",AA209="DSRC/Operativo"),OFFSET('PARÁMETROS'!$K$11,MATCH(U209,JC_DS,0),MATCH(T209,CC_DS,0)),
IF(AA209="SALUD",OFFSET('PARÁMETROS'!$K$29,MATCH(U209,JC_SA,0),MATCH(T209,CC_SA,0)),
IF(AA209="MEDIO AMBIENTE",OFFSET('PARÁMETROS'!$K$20,MATCH(U209,JC_MA,0),MATCH(T209,CC_MA,0)),
IF(AA209="Rel. Gubernamentales",OFFSET('PARÁMETROS'!$K$48,MATCH(U209,JC_G,0),MATCH(T209,CC_G,0)),
IF(AA209="OPERACIONAL",OFFSET('PARÁMETROS'!$K$56,MATCH(U209,JC_OP,0),MATCH(T209,CC_OP,0)),
IF(AA209="FINANCIERO",OFFSET('PARÁMETROS'!$K$56,MATCH(U209,JC_FI,0),MATCH(T209,CC_FI,0)),
OFFSET('PARÁMETROS'!$K$38,MATCH(U209,JC_L,0),MATCH(T209,CC_L,0))))))))),"")</f>
        <v/>
      </c>
      <c r="W209" s="130"/>
      <c r="X209" s="135"/>
      <c r="Y209" s="136"/>
      <c r="Z209" s="30"/>
      <c r="AA209" s="31" t="str">
        <f>E203</f>
        <v/>
      </c>
    </row>
    <row r="210" ht="87.0" customHeight="1">
      <c r="A210" s="129"/>
      <c r="B210" s="130"/>
      <c r="C210" s="130"/>
      <c r="D210" s="130"/>
      <c r="E210" s="130"/>
      <c r="F210" s="130"/>
      <c r="G210" s="130"/>
      <c r="H210" s="130"/>
      <c r="I210" s="130"/>
      <c r="J210" s="130"/>
      <c r="K210" s="130"/>
      <c r="L210" s="130"/>
      <c r="M210" s="130"/>
      <c r="N210" s="130"/>
      <c r="O210" s="130"/>
      <c r="P210" s="132"/>
      <c r="Q210" s="134"/>
      <c r="R210" s="134"/>
      <c r="S210" s="134"/>
      <c r="T210" s="135"/>
      <c r="U210" s="135"/>
      <c r="V210" s="135" t="str">
        <f>IFERROR(IF(AA210="SEGURIDAD",OFFSET('PARÁMETROS'!$K$2,MATCH(U210,JC_SE,0),MATCH(T210,CC_SE,0)),
IF(OR(AA210="DSRC/Estratégico",AA210="DSRC/Operativo"),OFFSET('PARÁMETROS'!$K$11,MATCH(U210,JC_DS,0),MATCH(T210,CC_DS,0)),
IF(AA210="SALUD",OFFSET('PARÁMETROS'!$K$29,MATCH(U210,JC_SA,0),MATCH(T210,CC_SA,0)),
IF(AA210="MEDIO AMBIENTE",OFFSET('PARÁMETROS'!$K$20,MATCH(U210,JC_MA,0),MATCH(T210,CC_MA,0)),
IF(AA210="Rel. Gubernamentales",OFFSET('PARÁMETROS'!$K$48,MATCH(U210,JC_G,0),MATCH(T210,CC_G,0)),
IF(AA210="OPERACIONAL",OFFSET('PARÁMETROS'!$K$56,MATCH(U210,JC_OP,0),MATCH(T210,CC_OP,0)),
IF(AA210="FINANCIERO",OFFSET('PARÁMETROS'!$K$56,MATCH(U210,JC_FI,0),MATCH(T210,CC_FI,0)),
OFFSET('PARÁMETROS'!$K$38,MATCH(U210,JC_L,0),MATCH(T210,CC_L,0))))))))),"")</f>
        <v/>
      </c>
      <c r="W210" s="130"/>
      <c r="X210" s="135"/>
      <c r="Y210" s="136"/>
      <c r="Z210" s="30"/>
      <c r="AA210" s="31" t="str">
        <f>E203</f>
        <v/>
      </c>
    </row>
    <row r="211" ht="87.0" customHeight="1">
      <c r="A211" s="129"/>
      <c r="B211" s="130"/>
      <c r="C211" s="130"/>
      <c r="D211" s="130"/>
      <c r="E211" s="130"/>
      <c r="F211" s="130"/>
      <c r="G211" s="130"/>
      <c r="H211" s="130"/>
      <c r="I211" s="130"/>
      <c r="J211" s="130"/>
      <c r="K211" s="130"/>
      <c r="L211" s="130"/>
      <c r="M211" s="130"/>
      <c r="N211" s="130"/>
      <c r="O211" s="130"/>
      <c r="P211" s="132"/>
      <c r="Q211" s="134"/>
      <c r="R211" s="134"/>
      <c r="S211" s="134"/>
      <c r="T211" s="135"/>
      <c r="U211" s="135"/>
      <c r="V211" s="135" t="str">
        <f>IFERROR(IF(AA211="SEGURIDAD",OFFSET('PARÁMETROS'!$K$2,MATCH(U211,JC_SE,0),MATCH(T211,CC_SE,0)),
IF(OR(AA211="DSRC/Estratégico",AA211="DSRC/Operativo"),OFFSET('PARÁMETROS'!$K$11,MATCH(U211,JC_DS,0),MATCH(T211,CC_DS,0)),
IF(AA211="SALUD",OFFSET('PARÁMETROS'!$K$29,MATCH(U211,JC_SA,0),MATCH(T211,CC_SA,0)),
IF(AA211="MEDIO AMBIENTE",OFFSET('PARÁMETROS'!$K$20,MATCH(U211,JC_MA,0),MATCH(T211,CC_MA,0)),
IF(AA211="Rel. Gubernamentales",OFFSET('PARÁMETROS'!$K$48,MATCH(U211,JC_G,0),MATCH(T211,CC_G,0)),
IF(AA211="OPERACIONAL",OFFSET('PARÁMETROS'!$K$56,MATCH(U211,JC_OP,0),MATCH(T211,CC_OP,0)),
IF(AA211="FINANCIERO",OFFSET('PARÁMETROS'!$K$56,MATCH(U211,JC_FI,0),MATCH(T211,CC_FI,0)),
OFFSET('PARÁMETROS'!$K$38,MATCH(U211,JC_L,0),MATCH(T211,CC_L,0))))))))),"")</f>
        <v/>
      </c>
      <c r="W211" s="130"/>
      <c r="X211" s="135"/>
      <c r="Y211" s="136"/>
      <c r="Z211" s="30"/>
      <c r="AA211" s="31" t="str">
        <f>E203</f>
        <v/>
      </c>
    </row>
    <row r="212" ht="87.0" customHeight="1">
      <c r="A212" s="129"/>
      <c r="B212" s="130"/>
      <c r="C212" s="130"/>
      <c r="D212" s="130"/>
      <c r="E212" s="130"/>
      <c r="F212" s="130"/>
      <c r="G212" s="130"/>
      <c r="H212" s="130"/>
      <c r="I212" s="130"/>
      <c r="J212" s="130"/>
      <c r="K212" s="130"/>
      <c r="L212" s="130"/>
      <c r="M212" s="130"/>
      <c r="N212" s="130"/>
      <c r="O212" s="130"/>
      <c r="P212" s="132"/>
      <c r="Q212" s="134"/>
      <c r="R212" s="134"/>
      <c r="S212" s="134"/>
      <c r="T212" s="135"/>
      <c r="U212" s="135"/>
      <c r="V212" s="135" t="str">
        <f>IFERROR(IF(AA212="SEGURIDAD",OFFSET('PARÁMETROS'!$K$2,MATCH(U212,JC_SE,0),MATCH(T212,CC_SE,0)),
IF(OR(AA212="DSRC/Estratégico",AA212="DSRC/Operativo"),OFFSET('PARÁMETROS'!$K$11,MATCH(U212,JC_DS,0),MATCH(T212,CC_DS,0)),
IF(AA212="SALUD",OFFSET('PARÁMETROS'!$K$29,MATCH(U212,JC_SA,0),MATCH(T212,CC_SA,0)),
IF(AA212="MEDIO AMBIENTE",OFFSET('PARÁMETROS'!$K$20,MATCH(U212,JC_MA,0),MATCH(T212,CC_MA,0)),
IF(AA212="Rel. Gubernamentales",OFFSET('PARÁMETROS'!$K$48,MATCH(U212,JC_G,0),MATCH(T212,CC_G,0)),
IF(AA212="OPERACIONAL",OFFSET('PARÁMETROS'!$K$56,MATCH(U212,JC_OP,0),MATCH(T212,CC_OP,0)),
IF(AA212="FINANCIERO",OFFSET('PARÁMETROS'!$K$56,MATCH(U212,JC_FI,0),MATCH(T212,CC_FI,0)),
OFFSET('PARÁMETROS'!$K$38,MATCH(U212,JC_L,0),MATCH(T212,CC_L,0))))))))),"")</f>
        <v/>
      </c>
      <c r="W212" s="130"/>
      <c r="X212" s="135"/>
      <c r="Y212" s="136"/>
      <c r="Z212" s="30"/>
      <c r="AA212" s="31" t="str">
        <f>E203</f>
        <v/>
      </c>
    </row>
    <row r="213" ht="87.0" customHeight="1">
      <c r="A213" s="129"/>
      <c r="B213" s="130"/>
      <c r="C213" s="130"/>
      <c r="D213" s="130"/>
      <c r="E213" s="130"/>
      <c r="F213" s="130"/>
      <c r="G213" s="130"/>
      <c r="H213" s="130"/>
      <c r="I213" s="130"/>
      <c r="J213" s="130"/>
      <c r="K213" s="130"/>
      <c r="L213" s="130"/>
      <c r="M213" s="130"/>
      <c r="N213" s="130"/>
      <c r="O213" s="130"/>
      <c r="P213" s="132"/>
      <c r="Q213" s="134"/>
      <c r="R213" s="134"/>
      <c r="S213" s="134"/>
      <c r="T213" s="135"/>
      <c r="U213" s="135"/>
      <c r="V213" s="135" t="str">
        <f>IFERROR(IF(AA213="SEGURIDAD",OFFSET('PARÁMETROS'!$K$2,MATCH(U213,JC_SE,0),MATCH(T213,CC_SE,0)),
IF(OR(AA213="DSRC/Estratégico",AA213="DSRC/Operativo"),OFFSET('PARÁMETROS'!$K$11,MATCH(U213,JC_DS,0),MATCH(T213,CC_DS,0)),
IF(AA213="SALUD",OFFSET('PARÁMETROS'!$K$29,MATCH(U213,JC_SA,0),MATCH(T213,CC_SA,0)),
IF(AA213="MEDIO AMBIENTE",OFFSET('PARÁMETROS'!$K$20,MATCH(U213,JC_MA,0),MATCH(T213,CC_MA,0)),
IF(AA213="Rel. Gubernamentales",OFFSET('PARÁMETROS'!$K$48,MATCH(U213,JC_G,0),MATCH(T213,CC_G,0)),
IF(AA213="OPERACIONAL",OFFSET('PARÁMETROS'!$K$56,MATCH(U213,JC_OP,0),MATCH(T213,CC_OP,0)),
IF(AA213="FINANCIERO",OFFSET('PARÁMETROS'!$K$56,MATCH(U213,JC_FI,0),MATCH(T213,CC_FI,0)),
OFFSET('PARÁMETROS'!$K$38,MATCH(U213,JC_L,0),MATCH(T213,CC_L,0))))))))),"")</f>
        <v/>
      </c>
      <c r="W213" s="130"/>
      <c r="X213" s="135"/>
      <c r="Y213" s="136"/>
      <c r="Z213" s="30"/>
      <c r="AA213" s="31" t="str">
        <f>E203</f>
        <v/>
      </c>
    </row>
    <row r="214" ht="87.0" customHeight="1">
      <c r="A214" s="129"/>
      <c r="B214" s="130"/>
      <c r="C214" s="130"/>
      <c r="D214" s="130"/>
      <c r="E214" s="130"/>
      <c r="F214" s="130"/>
      <c r="G214" s="130"/>
      <c r="H214" s="130"/>
      <c r="I214" s="130"/>
      <c r="J214" s="130"/>
      <c r="K214" s="130"/>
      <c r="L214" s="130"/>
      <c r="M214" s="130"/>
      <c r="N214" s="130"/>
      <c r="O214" s="130"/>
      <c r="P214" s="132"/>
      <c r="Q214" s="134"/>
      <c r="R214" s="134"/>
      <c r="S214" s="134"/>
      <c r="T214" s="135"/>
      <c r="U214" s="135"/>
      <c r="V214" s="135" t="str">
        <f>IFERROR(IF(AA214="SEGURIDAD",OFFSET('PARÁMETROS'!$K$2,MATCH(U214,JC_SE,0),MATCH(T214,CC_SE,0)),
IF(OR(AA214="DSRC/Estratégico",AA214="DSRC/Operativo"),OFFSET('PARÁMETROS'!$K$11,MATCH(U214,JC_DS,0),MATCH(T214,CC_DS,0)),
IF(AA214="SALUD",OFFSET('PARÁMETROS'!$K$29,MATCH(U214,JC_SA,0),MATCH(T214,CC_SA,0)),
IF(AA214="MEDIO AMBIENTE",OFFSET('PARÁMETROS'!$K$20,MATCH(U214,JC_MA,0),MATCH(T214,CC_MA,0)),
IF(AA214="Rel. Gubernamentales",OFFSET('PARÁMETROS'!$K$48,MATCH(U214,JC_G,0),MATCH(T214,CC_G,0)),
IF(AA214="OPERACIONAL",OFFSET('PARÁMETROS'!$K$56,MATCH(U214,JC_OP,0),MATCH(T214,CC_OP,0)),
IF(AA214="FINANCIERO",OFFSET('PARÁMETROS'!$K$56,MATCH(U214,JC_FI,0),MATCH(T214,CC_FI,0)),
OFFSET('PARÁMETROS'!$K$38,MATCH(U214,JC_L,0),MATCH(T214,CC_L,0))))))))),"")</f>
        <v/>
      </c>
      <c r="W214" s="130"/>
      <c r="X214" s="135"/>
      <c r="Y214" s="136"/>
      <c r="Z214" s="30"/>
      <c r="AA214" s="31" t="str">
        <f>E203</f>
        <v/>
      </c>
    </row>
    <row r="215" ht="87.0" customHeight="1">
      <c r="A215" s="129"/>
      <c r="B215" s="130"/>
      <c r="C215" s="130"/>
      <c r="D215" s="130"/>
      <c r="E215" s="130"/>
      <c r="F215" s="130"/>
      <c r="G215" s="130"/>
      <c r="H215" s="130"/>
      <c r="I215" s="130"/>
      <c r="J215" s="130"/>
      <c r="K215" s="130"/>
      <c r="L215" s="130"/>
      <c r="M215" s="130"/>
      <c r="N215" s="130"/>
      <c r="O215" s="130"/>
      <c r="P215" s="132"/>
      <c r="Q215" s="134"/>
      <c r="R215" s="134"/>
      <c r="S215" s="134"/>
      <c r="T215" s="135"/>
      <c r="U215" s="135"/>
      <c r="V215" s="135" t="str">
        <f>IFERROR(IF(AA215="SEGURIDAD",OFFSET('PARÁMETROS'!$K$2,MATCH(U215,JC_SE,0),MATCH(T215,CC_SE,0)),
IF(OR(AA215="DSRC/Estratégico",AA215="DSRC/Operativo"),OFFSET('PARÁMETROS'!$K$11,MATCH(U215,JC_DS,0),MATCH(T215,CC_DS,0)),
IF(AA215="SALUD",OFFSET('PARÁMETROS'!$K$29,MATCH(U215,JC_SA,0),MATCH(T215,CC_SA,0)),
IF(AA215="MEDIO AMBIENTE",OFFSET('PARÁMETROS'!$K$20,MATCH(U215,JC_MA,0),MATCH(T215,CC_MA,0)),
IF(AA215="Rel. Gubernamentales",OFFSET('PARÁMETROS'!$K$48,MATCH(U215,JC_G,0),MATCH(T215,CC_G,0)),
IF(AA215="OPERACIONAL",OFFSET('PARÁMETROS'!$K$56,MATCH(U215,JC_OP,0),MATCH(T215,CC_OP,0)),
IF(AA215="FINANCIERO",OFFSET('PARÁMETROS'!$K$56,MATCH(U215,JC_FI,0),MATCH(T215,CC_FI,0)),
OFFSET('PARÁMETROS'!$K$38,MATCH(U215,JC_L,0),MATCH(T215,CC_L,0))))))))),"")</f>
        <v/>
      </c>
      <c r="W215" s="130"/>
      <c r="X215" s="135"/>
      <c r="Y215" s="136"/>
      <c r="Z215" s="30"/>
      <c r="AA215" s="31" t="str">
        <f>E203</f>
        <v/>
      </c>
    </row>
    <row r="216" ht="87.0" customHeight="1">
      <c r="A216" s="129"/>
      <c r="B216" s="130"/>
      <c r="C216" s="130"/>
      <c r="D216" s="130"/>
      <c r="E216" s="130"/>
      <c r="F216" s="130"/>
      <c r="G216" s="130"/>
      <c r="H216" s="130"/>
      <c r="I216" s="130"/>
      <c r="J216" s="130"/>
      <c r="K216" s="130"/>
      <c r="L216" s="130"/>
      <c r="M216" s="130"/>
      <c r="N216" s="130"/>
      <c r="O216" s="130"/>
      <c r="P216" s="132"/>
      <c r="Q216" s="134"/>
      <c r="R216" s="134"/>
      <c r="S216" s="134"/>
      <c r="T216" s="135"/>
      <c r="U216" s="135"/>
      <c r="V216" s="135" t="str">
        <f>IFERROR(IF(AA216="SEGURIDAD",OFFSET('PARÁMETROS'!$K$2,MATCH(U216,JC_SE,0),MATCH(T216,CC_SE,0)),
IF(OR(AA216="DSRC/Estratégico",AA216="DSRC/Operativo"),OFFSET('PARÁMETROS'!$K$11,MATCH(U216,JC_DS,0),MATCH(T216,CC_DS,0)),
IF(AA216="SALUD",OFFSET('PARÁMETROS'!$K$29,MATCH(U216,JC_SA,0),MATCH(T216,CC_SA,0)),
IF(AA216="MEDIO AMBIENTE",OFFSET('PARÁMETROS'!$K$20,MATCH(U216,JC_MA,0),MATCH(T216,CC_MA,0)),
IF(AA216="Rel. Gubernamentales",OFFSET('PARÁMETROS'!$K$48,MATCH(U216,JC_G,0),MATCH(T216,CC_G,0)),
IF(AA216="OPERACIONAL",OFFSET('PARÁMETROS'!$K$56,MATCH(U216,JC_OP,0),MATCH(T216,CC_OP,0)),
IF(AA216="FINANCIERO",OFFSET('PARÁMETROS'!$K$56,MATCH(U216,JC_FI,0),MATCH(T216,CC_FI,0)),
OFFSET('PARÁMETROS'!$K$38,MATCH(U216,JC_L,0),MATCH(T216,CC_L,0))))))))),"")</f>
        <v/>
      </c>
      <c r="W216" s="130"/>
      <c r="X216" s="135"/>
      <c r="Y216" s="136"/>
      <c r="Z216" s="30"/>
      <c r="AA216" s="31" t="str">
        <f>E203</f>
        <v/>
      </c>
    </row>
    <row r="217" ht="87.0" customHeight="1">
      <c r="A217" s="129"/>
      <c r="B217" s="130"/>
      <c r="C217" s="130"/>
      <c r="D217" s="130"/>
      <c r="E217" s="130"/>
      <c r="F217" s="130"/>
      <c r="G217" s="130"/>
      <c r="H217" s="130"/>
      <c r="I217" s="130"/>
      <c r="J217" s="130"/>
      <c r="K217" s="130"/>
      <c r="L217" s="130"/>
      <c r="M217" s="130"/>
      <c r="N217" s="130"/>
      <c r="O217" s="130"/>
      <c r="P217" s="132"/>
      <c r="Q217" s="134"/>
      <c r="R217" s="134"/>
      <c r="S217" s="134"/>
      <c r="T217" s="135"/>
      <c r="U217" s="135"/>
      <c r="V217" s="135" t="str">
        <f>IFERROR(IF(AA217="SEGURIDAD",OFFSET('PARÁMETROS'!$K$2,MATCH(U217,JC_SE,0),MATCH(T217,CC_SE,0)),
IF(OR(AA217="DSRC/Estratégico",AA217="DSRC/Operativo"),OFFSET('PARÁMETROS'!$K$11,MATCH(U217,JC_DS,0),MATCH(T217,CC_DS,0)),
IF(AA217="SALUD",OFFSET('PARÁMETROS'!$K$29,MATCH(U217,JC_SA,0),MATCH(T217,CC_SA,0)),
IF(AA217="MEDIO AMBIENTE",OFFSET('PARÁMETROS'!$K$20,MATCH(U217,JC_MA,0),MATCH(T217,CC_MA,0)),
IF(AA217="Rel. Gubernamentales",OFFSET('PARÁMETROS'!$K$48,MATCH(U217,JC_G,0),MATCH(T217,CC_G,0)),
IF(AA217="OPERACIONAL",OFFSET('PARÁMETROS'!$K$56,MATCH(U217,JC_OP,0),MATCH(T217,CC_OP,0)),
IF(AA217="FINANCIERO",OFFSET('PARÁMETROS'!$K$56,MATCH(U217,JC_FI,0),MATCH(T217,CC_FI,0)),
OFFSET('PARÁMETROS'!$K$38,MATCH(U217,JC_L,0),MATCH(T217,CC_L,0))))))))),"")</f>
        <v/>
      </c>
      <c r="W217" s="130"/>
      <c r="X217" s="135"/>
      <c r="Y217" s="136"/>
      <c r="Z217" s="30"/>
      <c r="AA217" s="31" t="str">
        <f>E203</f>
        <v/>
      </c>
    </row>
    <row r="218" ht="87.0" customHeight="1">
      <c r="A218" s="89"/>
      <c r="B218" s="90"/>
      <c r="C218" s="90"/>
      <c r="D218" s="157"/>
      <c r="E218" s="157"/>
      <c r="F218" s="157"/>
      <c r="G218" s="157"/>
      <c r="H218" s="157"/>
      <c r="I218" s="90"/>
      <c r="J218" s="90"/>
      <c r="K218" s="90"/>
      <c r="L218" s="90"/>
      <c r="M218" s="90"/>
      <c r="N218" s="90"/>
      <c r="O218" s="90"/>
      <c r="P218" s="132"/>
      <c r="Q218" s="134"/>
      <c r="R218" s="145"/>
      <c r="S218" s="145"/>
      <c r="T218" s="135"/>
      <c r="U218" s="135"/>
      <c r="V218" s="135" t="str">
        <f>IFERROR(IF(AA218="SEGURIDAD",OFFSET('PARÁMETROS'!$K$2,MATCH(U218,JC_SE,0),MATCH(T218,CC_SE,0)),
IF(OR(AA218="DSRC/Estratégico",AA218="DSRC/Operativo"),OFFSET('PARÁMETROS'!$K$11,MATCH(U218,JC_DS,0),MATCH(T218,CC_DS,0)),
IF(AA218="SALUD",OFFSET('PARÁMETROS'!$K$29,MATCH(U218,JC_SA,0),MATCH(T218,CC_SA,0)),
IF(AA218="MEDIO AMBIENTE",OFFSET('PARÁMETROS'!$K$20,MATCH(U218,JC_MA,0),MATCH(T218,CC_MA,0)),
IF(AA218="Rel. Gubernamentales",OFFSET('PARÁMETROS'!$K$48,MATCH(U218,JC_G,0),MATCH(T218,CC_G,0)),
IF(AA218="OPERACIONAL",OFFSET('PARÁMETROS'!$K$56,MATCH(U218,JC_OP,0),MATCH(T218,CC_OP,0)),
IF(AA218="FINANCIERO",OFFSET('PARÁMETROS'!$K$56,MATCH(U218,JC_FI,0),MATCH(T218,CC_FI,0)),
OFFSET('PARÁMETROS'!$K$38,MATCH(U218,JC_L,0),MATCH(T218,CC_L,0))))))))),"")</f>
        <v/>
      </c>
      <c r="W218" s="90"/>
      <c r="X218" s="135"/>
      <c r="Y218" s="136"/>
      <c r="Z218" s="30"/>
      <c r="AA218" s="31" t="str">
        <f>E203</f>
        <v/>
      </c>
    </row>
    <row r="219" ht="87.0" customHeight="1">
      <c r="A219" s="102"/>
      <c r="B219" s="103"/>
      <c r="C219" s="103"/>
      <c r="D219" s="103"/>
      <c r="E219" s="103"/>
      <c r="F219" s="103"/>
      <c r="G219" s="105"/>
      <c r="H219" s="103"/>
      <c r="I219" s="105"/>
      <c r="J219" s="103"/>
      <c r="K219" s="103"/>
      <c r="L219" s="103" t="str">
        <f>IF(OR(J219&lt;&gt;"",K219&lt;&gt;""),OFFSET('PARÁMETROS'!$B$2,K219,J219),"")</f>
        <v/>
      </c>
      <c r="M219" s="103"/>
      <c r="N219" s="103">
        <f>IFERROR(L219*M219,"")</f>
        <v>0</v>
      </c>
      <c r="O219" s="108" t="str">
        <f>IF(N219="","",IFERROR(IF(N219&lt;=2,"ACEPTABLE",IF(N219&lt;=6,"BAJA",IF(N219&lt;=10,"ACEPTABLE CON REVISIÓN",IF(N219&lt;=15,"SUSTANCIAL","INACEPTABLE")))),""))</f>
        <v>ACEPTABLE</v>
      </c>
      <c r="P219" s="113"/>
      <c r="Q219" s="114"/>
      <c r="R219" s="114"/>
      <c r="S219" s="114"/>
      <c r="T219" s="115"/>
      <c r="U219" s="115"/>
      <c r="V219" s="115" t="str">
        <f>IFERROR(IF(AA219="SEGURIDAD",OFFSET('PARÁMETROS'!$K$2,MATCH(U219,JC_SE,0),MATCH(T219,CC_SE,0)),
IF(OR(AA219="DSRC/Estratégico",AA219="DSRC/Operativo"),OFFSET('PARÁMETROS'!$K$11,MATCH(U219,JC_DS,0),MATCH(T219,CC_DS,0)),
IF(AA219="SALUD",OFFSET('PARÁMETROS'!$K$29,MATCH(U219,JC_SA,0),MATCH(T219,CC_SA,0)),
IF(AA219="MEDIO AMBIENTE",OFFSET('PARÁMETROS'!$K$20,MATCH(U219,JC_MA,0),MATCH(T219,CC_MA,0)),
IF(AA219="Rel. Gubernamentales",OFFSET('PARÁMETROS'!$K$48,MATCH(U219,JC_G,0),MATCH(T219,CC_G,0)),
IF(AA219="OPERACIONAL",OFFSET('PARÁMETROS'!$K$56,MATCH(U219,JC_OP,0),MATCH(T219,CC_OP,0)),
IF(AA219="FINANCIERO",OFFSET('PARÁMETROS'!$K$56,MATCH(U219,JC_FI,0),MATCH(T219,CC_FI,0)),
OFFSET('PARÁMETROS'!$K$38,MATCH(U219,JC_L,0),MATCH(T219,CC_L,0))))))))),"")</f>
        <v/>
      </c>
      <c r="W219" s="108" t="str">
        <f>IF(E219="","",
IF(COUNTA(V219:V234)-COUNTBLANK(V219:V234)=1,
IF(O219="INACEPTABLE",IF(COUNTIF(V219:V234,"Control/Acción Eficaz")&gt;=1,"SUSTANCIAL","INACEPTABLE"),
IF(O219="SUSTANCIAL",IF(COUNTIF(V219:V234,"Control/Acción Eficaz")&gt;=1,"ACEPTABLE CON REVISIÓN","SUSTANCIAL"),
IF(O219="ACEPTABLE CON REVISIÓN",IF(COUNTIF(V219:V234,"Control/Acción Eficaz")&gt;=1,"BAJA","ACEPTABLE CON REVISIÓN"),
IF(O219="BAJA",IF(COUNTIF(V219:V234,"Control/Acción Eficaz")&gt;=1,"ACEPTABLE","BAJA"),)))),
IF(COUNTA(V219:V234)-COUNTBLANK(V219:V234)=2,
IF(O219="INACEPTABLE",IF(COUNTIF(V219:V234,"Control/Acción Eficaz")=2,"ACEPTABLE CON REVISIÓN",
IF(OR(AND(COUNTIF(V219:V234,"Control/Acción Eficaz")=1,COUNTIF(V219:V234,"Control/Acción Satisfactorio")=1),
AND(COUNTIF(V219:V234,"Control/Acción Eficaz")=1,COUNTIF(V219:V234,"Control/Acción No Eficaz")=1)),"SUSTANCIAL","INACEPTABLE")),
IF(O219="SUSTANCIAL",IF(COUNTIF(V219:V234,"Control/Acción Eficaz")=2,"BAJA",
IF(OR(AND(COUNTIF(V219:V234,"Control/Acción Eficaz")=1,COUNTIF(V219:V234,"Control/Acción Satisfactorio")=1),
AND(COUNTIF(V219:V234,"Control/Acción Eficaz")=1,COUNTIF(V219:V234,"Control/Acción No Eficaz")=1)),"ACEPTABLE CON REVISIÓN ","SUSTANCIAL")),
IF(O219="ACEPTABLE CON REVISIÓN",IF(COUNTIF(V219:V234,"Control/Acción Eficaz")=2,"ACEPTABLE",
IF(OR(AND(COUNTIF(V219:V234,"Control/Acción Eficaz")=1,COUNTIF(V219:V234,"Control/Acción Satisfactorio")=1),
AND(COUNTIF(V219:V234,"Control/Acción Eficaz")=1,COUNTIF(V219:V234,"Control/Acción No Eficaz")=1)),"BAJA","ACEPTABLE CON REVISIÓN")),
IF(O219="BAJA",IF(COUNTIF(V219:V234,"Control/Acción Eficaz")&gt;=2,"ACEPTABLE","BAJA"),)))),
IF(COUNTA(V219:V234)-COUNTBLANK(V219:V234)&gt;=3,
IF(O219="INACEPTABLE",
IF(COUNTBLANK(V219:V234)=COUNTA(V219:V234),"",
IF(COUNTIF(V219:V234,"Control/Acción No Eficaz")&gt;=2,"INACEPTABLE",
IF(AND(COUNTIF(V219:V234,"Control/Acción No Eficaz")=0,COUNTIF(V219:V234,"Control/Acción Eficaz")&gt;=2),"ACEPTABLE CON REVISIÓN ","SUSTANCIAL"))),
IF(O219="SUSTANCIAL",
IF(COUNTBLANK(V219:V234)=COUNTA(V219:V234),"",
IF(COUNTIF(V219:V234,"Control/Acción No Eficaz")&gt;=2,"SUSTANCIAL",
IF(AND(COUNTIF(V219:V234,"Control/Acción No Eficaz")=0,COUNTIF(V219:V234,"Control/Acción Eficaz")&gt;=2),"BAJA","ACEPTABLE CON REVISIÓN"))),
IF(O219="ACEPTABLE CON REVISIÓN",
IF(COUNTBLANK(V219:V234)=COUNTA(V219:V234),"",
IF(COUNTIF(V219:V234,"Control/Acción No Eficaz")&gt;=2,"ACEPTABLE CON REVISIÓN",
IF(AND(COUNTIF(V219:V234,"Control/Acción No Eficaz")=0,COUNTIF(V219:V234,"Control/Acción Eficaz")&gt;=2),"ACEPTABLE","BAJA"))),
IF(O219="BAJA",
IF(COUNTBLANK(V219:V234)=COUNTA(V219:V234),"",
IF(AND(COUNTBLANK(V219:V234)&lt;1,COUNTA(V219:V234)=1),
IF(COUNTIF(V219:V234,"Control/Acción No Eficaz")&gt;=2,"BAJA",
IF(AND(COUNTIF(V219:V234,"Control/Acción No Eficaz")=0,COUNTIF(V219:V234,"Control/Acción Eficaz")&gt;=2),"ACEPTABLE","BAJA")),
IF(COUNTIF(V219:V234,"Control/Acción No Eficaz")&gt;=2,"BAJA",
IF(AND(COUNTIF(V219:V234,"Control/Acción No Eficaz")=0,COUNTIF(V219:V234,"Control/Acción Eficaz")&gt;=2),"ACEPTABLE","BAJA")))),
IF(COUNTIF(V219:V234,"")&gt;=5,"",O219))))),
""))))</f>
        <v/>
      </c>
      <c r="X219" s="115"/>
      <c r="Y219" s="128"/>
      <c r="Z219" s="30"/>
      <c r="AA219" s="31" t="str">
        <f>E219</f>
        <v/>
      </c>
    </row>
    <row r="220" ht="87.0" customHeight="1">
      <c r="A220" s="129"/>
      <c r="B220" s="130"/>
      <c r="C220" s="130"/>
      <c r="D220" s="130"/>
      <c r="E220" s="130"/>
      <c r="F220" s="130"/>
      <c r="G220" s="130"/>
      <c r="H220" s="130"/>
      <c r="I220" s="130"/>
      <c r="J220" s="130"/>
      <c r="K220" s="130"/>
      <c r="L220" s="130"/>
      <c r="M220" s="130"/>
      <c r="N220" s="130"/>
      <c r="O220" s="130"/>
      <c r="P220" s="132"/>
      <c r="Q220" s="134"/>
      <c r="R220" s="134"/>
      <c r="S220" s="134"/>
      <c r="T220" s="135"/>
      <c r="U220" s="135"/>
      <c r="V220" s="135" t="str">
        <f>IFERROR(IF(AA220="SEGURIDAD",OFFSET('PARÁMETROS'!$K$2,MATCH(U220,JC_SE,0),MATCH(T220,CC_SE,0)),
IF(OR(AA220="DSRC/Estratégico",AA220="DSRC/Operativo"),OFFSET('PARÁMETROS'!$K$11,MATCH(U220,JC_DS,0),MATCH(T220,CC_DS,0)),
IF(AA220="SALUD",OFFSET('PARÁMETROS'!$K$29,MATCH(U220,JC_SA,0),MATCH(T220,CC_SA,0)),
IF(AA220="MEDIO AMBIENTE",OFFSET('PARÁMETROS'!$K$20,MATCH(U220,JC_MA,0),MATCH(T220,CC_MA,0)),
IF(AA220="Rel. Gubernamentales",OFFSET('PARÁMETROS'!$K$48,MATCH(U220,JC_G,0),MATCH(T220,CC_G,0)),
IF(AA220="OPERACIONAL",OFFSET('PARÁMETROS'!$K$56,MATCH(U220,JC_OP,0),MATCH(T220,CC_OP,0)),
IF(AA220="FINANCIERO",OFFSET('PARÁMETROS'!$K$56,MATCH(U220,JC_FI,0),MATCH(T220,CC_FI,0)),
OFFSET('PARÁMETROS'!$K$38,MATCH(U220,JC_L,0),MATCH(T220,CC_L,0))))))))),"")</f>
        <v/>
      </c>
      <c r="W220" s="130"/>
      <c r="X220" s="135"/>
      <c r="Y220" s="136"/>
      <c r="Z220" s="30"/>
      <c r="AA220" s="31" t="str">
        <f>E219</f>
        <v/>
      </c>
    </row>
    <row r="221" ht="87.0" customHeight="1">
      <c r="A221" s="129"/>
      <c r="B221" s="130"/>
      <c r="C221" s="130"/>
      <c r="D221" s="130"/>
      <c r="E221" s="130"/>
      <c r="F221" s="130"/>
      <c r="G221" s="130"/>
      <c r="H221" s="130"/>
      <c r="I221" s="130"/>
      <c r="J221" s="130"/>
      <c r="K221" s="130"/>
      <c r="L221" s="130"/>
      <c r="M221" s="130"/>
      <c r="N221" s="130"/>
      <c r="O221" s="130"/>
      <c r="P221" s="132"/>
      <c r="Q221" s="134"/>
      <c r="R221" s="134"/>
      <c r="S221" s="134"/>
      <c r="T221" s="135"/>
      <c r="U221" s="135"/>
      <c r="V221" s="135" t="str">
        <f>IFERROR(IF(AA221="SEGURIDAD",OFFSET('PARÁMETROS'!$K$2,MATCH(U221,JC_SE,0),MATCH(T221,CC_SE,0)),
IF(OR(AA221="DSRC/Estratégico",AA221="DSRC/Operativo"),OFFSET('PARÁMETROS'!$K$11,MATCH(U221,JC_DS,0),MATCH(T221,CC_DS,0)),
IF(AA221="SALUD",OFFSET('PARÁMETROS'!$K$29,MATCH(U221,JC_SA,0),MATCH(T221,CC_SA,0)),
IF(AA221="MEDIO AMBIENTE",OFFSET('PARÁMETROS'!$K$20,MATCH(U221,JC_MA,0),MATCH(T221,CC_MA,0)),
IF(AA221="Rel. Gubernamentales",OFFSET('PARÁMETROS'!$K$48,MATCH(U221,JC_G,0),MATCH(T221,CC_G,0)),
IF(AA221="OPERACIONAL",OFFSET('PARÁMETROS'!$K$56,MATCH(U221,JC_OP,0),MATCH(T221,CC_OP,0)),
IF(AA221="FINANCIERO",OFFSET('PARÁMETROS'!$K$56,MATCH(U221,JC_FI,0),MATCH(T221,CC_FI,0)),
OFFSET('PARÁMETROS'!$K$38,MATCH(U221,JC_L,0),MATCH(T221,CC_L,0))))))))),"")</f>
        <v/>
      </c>
      <c r="W221" s="130"/>
      <c r="X221" s="135"/>
      <c r="Y221" s="136"/>
      <c r="Z221" s="30"/>
      <c r="AA221" s="31" t="str">
        <f>E219</f>
        <v/>
      </c>
    </row>
    <row r="222" ht="87.0" customHeight="1">
      <c r="A222" s="129"/>
      <c r="B222" s="130"/>
      <c r="C222" s="130"/>
      <c r="D222" s="130"/>
      <c r="E222" s="130"/>
      <c r="F222" s="130"/>
      <c r="G222" s="130"/>
      <c r="H222" s="130"/>
      <c r="I222" s="130"/>
      <c r="J222" s="130"/>
      <c r="K222" s="130"/>
      <c r="L222" s="130"/>
      <c r="M222" s="130"/>
      <c r="N222" s="130"/>
      <c r="O222" s="130"/>
      <c r="P222" s="132"/>
      <c r="Q222" s="134"/>
      <c r="R222" s="134"/>
      <c r="S222" s="134"/>
      <c r="T222" s="135"/>
      <c r="U222" s="135"/>
      <c r="V222" s="135" t="str">
        <f>IFERROR(IF(AA222="SEGURIDAD",OFFSET('PARÁMETROS'!$K$2,MATCH(U222,JC_SE,0),MATCH(T222,CC_SE,0)),
IF(OR(AA222="DSRC/Estratégico",AA222="DSRC/Operativo"),OFFSET('PARÁMETROS'!$K$11,MATCH(U222,JC_DS,0),MATCH(T222,CC_DS,0)),
IF(AA222="SALUD",OFFSET('PARÁMETROS'!$K$29,MATCH(U222,JC_SA,0),MATCH(T222,CC_SA,0)),
IF(AA222="MEDIO AMBIENTE",OFFSET('PARÁMETROS'!$K$20,MATCH(U222,JC_MA,0),MATCH(T222,CC_MA,0)),
IF(AA222="Rel. Gubernamentales",OFFSET('PARÁMETROS'!$K$48,MATCH(U222,JC_G,0),MATCH(T222,CC_G,0)),
IF(AA222="OPERACIONAL",OFFSET('PARÁMETROS'!$K$56,MATCH(U222,JC_OP,0),MATCH(T222,CC_OP,0)),
IF(AA222="FINANCIERO",OFFSET('PARÁMETROS'!$K$56,MATCH(U222,JC_FI,0),MATCH(T222,CC_FI,0)),
OFFSET('PARÁMETROS'!$K$38,MATCH(U222,JC_L,0),MATCH(T222,CC_L,0))))))))),"")</f>
        <v/>
      </c>
      <c r="W222" s="130"/>
      <c r="X222" s="135"/>
      <c r="Y222" s="136"/>
      <c r="Z222" s="30"/>
      <c r="AA222" s="31" t="str">
        <f>E219</f>
        <v/>
      </c>
    </row>
    <row r="223" ht="87.0" customHeight="1">
      <c r="A223" s="129"/>
      <c r="B223" s="130"/>
      <c r="C223" s="130"/>
      <c r="D223" s="130"/>
      <c r="E223" s="130"/>
      <c r="F223" s="130"/>
      <c r="G223" s="130"/>
      <c r="H223" s="130"/>
      <c r="I223" s="130"/>
      <c r="J223" s="130"/>
      <c r="K223" s="130"/>
      <c r="L223" s="130"/>
      <c r="M223" s="130"/>
      <c r="N223" s="130"/>
      <c r="O223" s="130"/>
      <c r="P223" s="132"/>
      <c r="Q223" s="134"/>
      <c r="R223" s="134"/>
      <c r="S223" s="134"/>
      <c r="T223" s="135"/>
      <c r="U223" s="135"/>
      <c r="V223" s="135" t="str">
        <f>IFERROR(IF(AA223="SEGURIDAD",OFFSET('PARÁMETROS'!$K$2,MATCH(U223,JC_SE,0),MATCH(T223,CC_SE,0)),
IF(OR(AA223="DSRC/Estratégico",AA223="DSRC/Operativo"),OFFSET('PARÁMETROS'!$K$11,MATCH(U223,JC_DS,0),MATCH(T223,CC_DS,0)),
IF(AA223="SALUD",OFFSET('PARÁMETROS'!$K$29,MATCH(U223,JC_SA,0),MATCH(T223,CC_SA,0)),
IF(AA223="MEDIO AMBIENTE",OFFSET('PARÁMETROS'!$K$20,MATCH(U223,JC_MA,0),MATCH(T223,CC_MA,0)),
IF(AA223="Rel. Gubernamentales",OFFSET('PARÁMETROS'!$K$48,MATCH(U223,JC_G,0),MATCH(T223,CC_G,0)),
IF(AA223="OPERACIONAL",OFFSET('PARÁMETROS'!$K$56,MATCH(U223,JC_OP,0),MATCH(T223,CC_OP,0)),
IF(AA223="FINANCIERO",OFFSET('PARÁMETROS'!$K$56,MATCH(U223,JC_FI,0),MATCH(T223,CC_FI,0)),
OFFSET('PARÁMETROS'!$K$38,MATCH(U223,JC_L,0),MATCH(T223,CC_L,0))))))))),"")</f>
        <v/>
      </c>
      <c r="W223" s="130"/>
      <c r="X223" s="135"/>
      <c r="Y223" s="136"/>
      <c r="Z223" s="30"/>
      <c r="AA223" s="31" t="str">
        <f>E219</f>
        <v/>
      </c>
    </row>
    <row r="224" ht="87.0" customHeight="1">
      <c r="A224" s="129"/>
      <c r="B224" s="130"/>
      <c r="C224" s="130"/>
      <c r="D224" s="130"/>
      <c r="E224" s="130"/>
      <c r="F224" s="130"/>
      <c r="G224" s="130"/>
      <c r="H224" s="130"/>
      <c r="I224" s="130"/>
      <c r="J224" s="130"/>
      <c r="K224" s="130"/>
      <c r="L224" s="130"/>
      <c r="M224" s="130"/>
      <c r="N224" s="130"/>
      <c r="O224" s="130"/>
      <c r="P224" s="132"/>
      <c r="Q224" s="134"/>
      <c r="R224" s="134"/>
      <c r="S224" s="134"/>
      <c r="T224" s="135"/>
      <c r="U224" s="135"/>
      <c r="V224" s="135" t="str">
        <f>IFERROR(IF(AA224="SEGURIDAD",OFFSET('PARÁMETROS'!$K$2,MATCH(U224,JC_SE,0),MATCH(T224,CC_SE,0)),
IF(OR(AA224="DSRC/Estratégico",AA224="DSRC/Operativo"),OFFSET('PARÁMETROS'!$K$11,MATCH(U224,JC_DS,0),MATCH(T224,CC_DS,0)),
IF(AA224="SALUD",OFFSET('PARÁMETROS'!$K$29,MATCH(U224,JC_SA,0),MATCH(T224,CC_SA,0)),
IF(AA224="MEDIO AMBIENTE",OFFSET('PARÁMETROS'!$K$20,MATCH(U224,JC_MA,0),MATCH(T224,CC_MA,0)),
IF(AA224="Rel. Gubernamentales",OFFSET('PARÁMETROS'!$K$48,MATCH(U224,JC_G,0),MATCH(T224,CC_G,0)),
IF(AA224="OPERACIONAL",OFFSET('PARÁMETROS'!$K$56,MATCH(U224,JC_OP,0),MATCH(T224,CC_OP,0)),
IF(AA224="FINANCIERO",OFFSET('PARÁMETROS'!$K$56,MATCH(U224,JC_FI,0),MATCH(T224,CC_FI,0)),
OFFSET('PARÁMETROS'!$K$38,MATCH(U224,JC_L,0),MATCH(T224,CC_L,0))))))))),"")</f>
        <v/>
      </c>
      <c r="W224" s="130"/>
      <c r="X224" s="135"/>
      <c r="Y224" s="136"/>
      <c r="Z224" s="30"/>
      <c r="AA224" s="31" t="str">
        <f>E219</f>
        <v/>
      </c>
    </row>
    <row r="225" ht="87.0" customHeight="1">
      <c r="A225" s="129"/>
      <c r="B225" s="130"/>
      <c r="C225" s="130"/>
      <c r="D225" s="130"/>
      <c r="E225" s="130"/>
      <c r="F225" s="130"/>
      <c r="G225" s="130"/>
      <c r="H225" s="130"/>
      <c r="I225" s="130"/>
      <c r="J225" s="130"/>
      <c r="K225" s="130"/>
      <c r="L225" s="130"/>
      <c r="M225" s="130"/>
      <c r="N225" s="130"/>
      <c r="O225" s="130"/>
      <c r="P225" s="132"/>
      <c r="Q225" s="134"/>
      <c r="R225" s="134"/>
      <c r="S225" s="134"/>
      <c r="T225" s="135"/>
      <c r="U225" s="135"/>
      <c r="V225" s="135" t="str">
        <f>IFERROR(IF(AA225="SEGURIDAD",OFFSET('PARÁMETROS'!$K$2,MATCH(U225,JC_SE,0),MATCH(T225,CC_SE,0)),
IF(OR(AA225="DSRC/Estratégico",AA225="DSRC/Operativo"),OFFSET('PARÁMETROS'!$K$11,MATCH(U225,JC_DS,0),MATCH(T225,CC_DS,0)),
IF(AA225="SALUD",OFFSET('PARÁMETROS'!$K$29,MATCH(U225,JC_SA,0),MATCH(T225,CC_SA,0)),
IF(AA225="MEDIO AMBIENTE",OFFSET('PARÁMETROS'!$K$20,MATCH(U225,JC_MA,0),MATCH(T225,CC_MA,0)),
IF(AA225="Rel. Gubernamentales",OFFSET('PARÁMETROS'!$K$48,MATCH(U225,JC_G,0),MATCH(T225,CC_G,0)),
IF(AA225="OPERACIONAL",OFFSET('PARÁMETROS'!$K$56,MATCH(U225,JC_OP,0),MATCH(T225,CC_OP,0)),
IF(AA225="FINANCIERO",OFFSET('PARÁMETROS'!$K$56,MATCH(U225,JC_FI,0),MATCH(T225,CC_FI,0)),
OFFSET('PARÁMETROS'!$K$38,MATCH(U225,JC_L,0),MATCH(T225,CC_L,0))))))))),"")</f>
        <v/>
      </c>
      <c r="W225" s="130"/>
      <c r="X225" s="135"/>
      <c r="Y225" s="136"/>
      <c r="Z225" s="30"/>
      <c r="AA225" s="31" t="str">
        <f>E219</f>
        <v/>
      </c>
    </row>
    <row r="226" ht="87.0" customHeight="1">
      <c r="A226" s="129"/>
      <c r="B226" s="130"/>
      <c r="C226" s="130"/>
      <c r="D226" s="130"/>
      <c r="E226" s="130"/>
      <c r="F226" s="130"/>
      <c r="G226" s="130"/>
      <c r="H226" s="130"/>
      <c r="I226" s="130"/>
      <c r="J226" s="130"/>
      <c r="K226" s="130"/>
      <c r="L226" s="130"/>
      <c r="M226" s="130"/>
      <c r="N226" s="130"/>
      <c r="O226" s="130"/>
      <c r="P226" s="132"/>
      <c r="Q226" s="134"/>
      <c r="R226" s="134"/>
      <c r="S226" s="134"/>
      <c r="T226" s="135"/>
      <c r="U226" s="135"/>
      <c r="V226" s="135" t="str">
        <f>IFERROR(IF(AA226="SEGURIDAD",OFFSET('PARÁMETROS'!$K$2,MATCH(U226,JC_SE,0),MATCH(T226,CC_SE,0)),
IF(OR(AA226="DSRC/Estratégico",AA226="DSRC/Operativo"),OFFSET('PARÁMETROS'!$K$11,MATCH(U226,JC_DS,0),MATCH(T226,CC_DS,0)),
IF(AA226="SALUD",OFFSET('PARÁMETROS'!$K$29,MATCH(U226,JC_SA,0),MATCH(T226,CC_SA,0)),
IF(AA226="MEDIO AMBIENTE",OFFSET('PARÁMETROS'!$K$20,MATCH(U226,JC_MA,0),MATCH(T226,CC_MA,0)),
IF(AA226="Rel. Gubernamentales",OFFSET('PARÁMETROS'!$K$48,MATCH(U226,JC_G,0),MATCH(T226,CC_G,0)),
IF(AA226="OPERACIONAL",OFFSET('PARÁMETROS'!$K$56,MATCH(U226,JC_OP,0),MATCH(T226,CC_OP,0)),
IF(AA226="FINANCIERO",OFFSET('PARÁMETROS'!$K$56,MATCH(U226,JC_FI,0),MATCH(T226,CC_FI,0)),
OFFSET('PARÁMETROS'!$K$38,MATCH(U226,JC_L,0),MATCH(T226,CC_L,0))))))))),"")</f>
        <v/>
      </c>
      <c r="W226" s="130"/>
      <c r="X226" s="135"/>
      <c r="Y226" s="136"/>
      <c r="Z226" s="30"/>
      <c r="AA226" s="31" t="str">
        <f>E219</f>
        <v/>
      </c>
    </row>
    <row r="227" ht="87.0" customHeight="1">
      <c r="A227" s="129"/>
      <c r="B227" s="130"/>
      <c r="C227" s="130"/>
      <c r="D227" s="130"/>
      <c r="E227" s="130"/>
      <c r="F227" s="130"/>
      <c r="G227" s="130"/>
      <c r="H227" s="130"/>
      <c r="I227" s="130"/>
      <c r="J227" s="130"/>
      <c r="K227" s="130"/>
      <c r="L227" s="130"/>
      <c r="M227" s="130"/>
      <c r="N227" s="130"/>
      <c r="O227" s="130"/>
      <c r="P227" s="132"/>
      <c r="Q227" s="134"/>
      <c r="R227" s="134"/>
      <c r="S227" s="134"/>
      <c r="T227" s="135"/>
      <c r="U227" s="135"/>
      <c r="V227" s="135" t="str">
        <f>IFERROR(IF(AA227="SEGURIDAD",OFFSET('PARÁMETROS'!$K$2,MATCH(U227,JC_SE,0),MATCH(T227,CC_SE,0)),
IF(OR(AA227="DSRC/Estratégico",AA227="DSRC/Operativo"),OFFSET('PARÁMETROS'!$K$11,MATCH(U227,JC_DS,0),MATCH(T227,CC_DS,0)),
IF(AA227="SALUD",OFFSET('PARÁMETROS'!$K$29,MATCH(U227,JC_SA,0),MATCH(T227,CC_SA,0)),
IF(AA227="MEDIO AMBIENTE",OFFSET('PARÁMETROS'!$K$20,MATCH(U227,JC_MA,0),MATCH(T227,CC_MA,0)),
IF(AA227="Rel. Gubernamentales",OFFSET('PARÁMETROS'!$K$48,MATCH(U227,JC_G,0),MATCH(T227,CC_G,0)),
IF(AA227="OPERACIONAL",OFFSET('PARÁMETROS'!$K$56,MATCH(U227,JC_OP,0),MATCH(T227,CC_OP,0)),
IF(AA227="FINANCIERO",OFFSET('PARÁMETROS'!$K$56,MATCH(U227,JC_FI,0),MATCH(T227,CC_FI,0)),
OFFSET('PARÁMETROS'!$K$38,MATCH(U227,JC_L,0),MATCH(T227,CC_L,0))))))))),"")</f>
        <v/>
      </c>
      <c r="W227" s="130"/>
      <c r="X227" s="135"/>
      <c r="Y227" s="136"/>
      <c r="Z227" s="30"/>
      <c r="AA227" s="31" t="str">
        <f>E219</f>
        <v/>
      </c>
    </row>
    <row r="228" ht="87.0" customHeight="1">
      <c r="A228" s="129"/>
      <c r="B228" s="130"/>
      <c r="C228" s="130"/>
      <c r="D228" s="130"/>
      <c r="E228" s="130"/>
      <c r="F228" s="130"/>
      <c r="G228" s="130"/>
      <c r="H228" s="130"/>
      <c r="I228" s="130"/>
      <c r="J228" s="130"/>
      <c r="K228" s="130"/>
      <c r="L228" s="130"/>
      <c r="M228" s="130"/>
      <c r="N228" s="130"/>
      <c r="O228" s="130"/>
      <c r="P228" s="132"/>
      <c r="Q228" s="134"/>
      <c r="R228" s="134"/>
      <c r="S228" s="134"/>
      <c r="T228" s="135"/>
      <c r="U228" s="135"/>
      <c r="V228" s="135" t="str">
        <f>IFERROR(IF(AA228="SEGURIDAD",OFFSET('PARÁMETROS'!$K$2,MATCH(U228,JC_SE,0),MATCH(T228,CC_SE,0)),
IF(OR(AA228="DSRC/Estratégico",AA228="DSRC/Operativo"),OFFSET('PARÁMETROS'!$K$11,MATCH(U228,JC_DS,0),MATCH(T228,CC_DS,0)),
IF(AA228="SALUD",OFFSET('PARÁMETROS'!$K$29,MATCH(U228,JC_SA,0),MATCH(T228,CC_SA,0)),
IF(AA228="MEDIO AMBIENTE",OFFSET('PARÁMETROS'!$K$20,MATCH(U228,JC_MA,0),MATCH(T228,CC_MA,0)),
IF(AA228="Rel. Gubernamentales",OFFSET('PARÁMETROS'!$K$48,MATCH(U228,JC_G,0),MATCH(T228,CC_G,0)),
IF(AA228="OPERACIONAL",OFFSET('PARÁMETROS'!$K$56,MATCH(U228,JC_OP,0),MATCH(T228,CC_OP,0)),
IF(AA228="FINANCIERO",OFFSET('PARÁMETROS'!$K$56,MATCH(U228,JC_FI,0),MATCH(T228,CC_FI,0)),
OFFSET('PARÁMETROS'!$K$38,MATCH(U228,JC_L,0),MATCH(T228,CC_L,0))))))))),"")</f>
        <v/>
      </c>
      <c r="W228" s="130"/>
      <c r="X228" s="135"/>
      <c r="Y228" s="136"/>
      <c r="Z228" s="30"/>
      <c r="AA228" s="31" t="str">
        <f>E219</f>
        <v/>
      </c>
    </row>
    <row r="229" ht="87.0" customHeight="1">
      <c r="A229" s="129"/>
      <c r="B229" s="130"/>
      <c r="C229" s="130"/>
      <c r="D229" s="130"/>
      <c r="E229" s="130"/>
      <c r="F229" s="130"/>
      <c r="G229" s="130"/>
      <c r="H229" s="130"/>
      <c r="I229" s="130"/>
      <c r="J229" s="130"/>
      <c r="K229" s="130"/>
      <c r="L229" s="130"/>
      <c r="M229" s="130"/>
      <c r="N229" s="130"/>
      <c r="O229" s="130"/>
      <c r="P229" s="132"/>
      <c r="Q229" s="134"/>
      <c r="R229" s="134"/>
      <c r="S229" s="134"/>
      <c r="T229" s="135"/>
      <c r="U229" s="135"/>
      <c r="V229" s="135" t="str">
        <f>IFERROR(IF(AA229="SEGURIDAD",OFFSET('PARÁMETROS'!$K$2,MATCH(U229,JC_SE,0),MATCH(T229,CC_SE,0)),
IF(OR(AA229="DSRC/Estratégico",AA229="DSRC/Operativo"),OFFSET('PARÁMETROS'!$K$11,MATCH(U229,JC_DS,0),MATCH(T229,CC_DS,0)),
IF(AA229="SALUD",OFFSET('PARÁMETROS'!$K$29,MATCH(U229,JC_SA,0),MATCH(T229,CC_SA,0)),
IF(AA229="MEDIO AMBIENTE",OFFSET('PARÁMETROS'!$K$20,MATCH(U229,JC_MA,0),MATCH(T229,CC_MA,0)),
IF(AA229="Rel. Gubernamentales",OFFSET('PARÁMETROS'!$K$48,MATCH(U229,JC_G,0),MATCH(T229,CC_G,0)),
IF(AA229="OPERACIONAL",OFFSET('PARÁMETROS'!$K$56,MATCH(U229,JC_OP,0),MATCH(T229,CC_OP,0)),
IF(AA229="FINANCIERO",OFFSET('PARÁMETROS'!$K$56,MATCH(U229,JC_FI,0),MATCH(T229,CC_FI,0)),
OFFSET('PARÁMETROS'!$K$38,MATCH(U229,JC_L,0),MATCH(T229,CC_L,0))))))))),"")</f>
        <v/>
      </c>
      <c r="W229" s="130"/>
      <c r="X229" s="135"/>
      <c r="Y229" s="136"/>
      <c r="Z229" s="30"/>
      <c r="AA229" s="31" t="str">
        <f>E219</f>
        <v/>
      </c>
    </row>
    <row r="230" ht="87.0" customHeight="1">
      <c r="A230" s="129"/>
      <c r="B230" s="130"/>
      <c r="C230" s="130"/>
      <c r="D230" s="130"/>
      <c r="E230" s="130"/>
      <c r="F230" s="130"/>
      <c r="G230" s="130"/>
      <c r="H230" s="130"/>
      <c r="I230" s="130"/>
      <c r="J230" s="130"/>
      <c r="K230" s="130"/>
      <c r="L230" s="130"/>
      <c r="M230" s="130"/>
      <c r="N230" s="130"/>
      <c r="O230" s="130"/>
      <c r="P230" s="132"/>
      <c r="Q230" s="134"/>
      <c r="R230" s="134"/>
      <c r="S230" s="134"/>
      <c r="T230" s="135"/>
      <c r="U230" s="135"/>
      <c r="V230" s="135" t="str">
        <f>IFERROR(IF(AA230="SEGURIDAD",OFFSET('PARÁMETROS'!$K$2,MATCH(U230,JC_SE,0),MATCH(T230,CC_SE,0)),
IF(OR(AA230="DSRC/Estratégico",AA230="DSRC/Operativo"),OFFSET('PARÁMETROS'!$K$11,MATCH(U230,JC_DS,0),MATCH(T230,CC_DS,0)),
IF(AA230="SALUD",OFFSET('PARÁMETROS'!$K$29,MATCH(U230,JC_SA,0),MATCH(T230,CC_SA,0)),
IF(AA230="MEDIO AMBIENTE",OFFSET('PARÁMETROS'!$K$20,MATCH(U230,JC_MA,0),MATCH(T230,CC_MA,0)),
IF(AA230="Rel. Gubernamentales",OFFSET('PARÁMETROS'!$K$48,MATCH(U230,JC_G,0),MATCH(T230,CC_G,0)),
IF(AA230="OPERACIONAL",OFFSET('PARÁMETROS'!$K$56,MATCH(U230,JC_OP,0),MATCH(T230,CC_OP,0)),
IF(AA230="FINANCIERO",OFFSET('PARÁMETROS'!$K$56,MATCH(U230,JC_FI,0),MATCH(T230,CC_FI,0)),
OFFSET('PARÁMETROS'!$K$38,MATCH(U230,JC_L,0),MATCH(T230,CC_L,0))))))))),"")</f>
        <v/>
      </c>
      <c r="W230" s="130"/>
      <c r="X230" s="135"/>
      <c r="Y230" s="136"/>
      <c r="Z230" s="30"/>
      <c r="AA230" s="31" t="str">
        <f>E219</f>
        <v/>
      </c>
    </row>
    <row r="231" ht="87.0" customHeight="1">
      <c r="A231" s="129"/>
      <c r="B231" s="130"/>
      <c r="C231" s="130"/>
      <c r="D231" s="130"/>
      <c r="E231" s="130"/>
      <c r="F231" s="130"/>
      <c r="G231" s="130"/>
      <c r="H231" s="130"/>
      <c r="I231" s="130"/>
      <c r="J231" s="130"/>
      <c r="K231" s="130"/>
      <c r="L231" s="130"/>
      <c r="M231" s="130"/>
      <c r="N231" s="130"/>
      <c r="O231" s="130"/>
      <c r="P231" s="132"/>
      <c r="Q231" s="134"/>
      <c r="R231" s="134"/>
      <c r="S231" s="134"/>
      <c r="T231" s="135"/>
      <c r="U231" s="135"/>
      <c r="V231" s="135" t="str">
        <f>IFERROR(IF(AA231="SEGURIDAD",OFFSET('PARÁMETROS'!$K$2,MATCH(U231,JC_SE,0),MATCH(T231,CC_SE,0)),
IF(OR(AA231="DSRC/Estratégico",AA231="DSRC/Operativo"),OFFSET('PARÁMETROS'!$K$11,MATCH(U231,JC_DS,0),MATCH(T231,CC_DS,0)),
IF(AA231="SALUD",OFFSET('PARÁMETROS'!$K$29,MATCH(U231,JC_SA,0),MATCH(T231,CC_SA,0)),
IF(AA231="MEDIO AMBIENTE",OFFSET('PARÁMETROS'!$K$20,MATCH(U231,JC_MA,0),MATCH(T231,CC_MA,0)),
IF(AA231="Rel. Gubernamentales",OFFSET('PARÁMETROS'!$K$48,MATCH(U231,JC_G,0),MATCH(T231,CC_G,0)),
IF(AA231="OPERACIONAL",OFFSET('PARÁMETROS'!$K$56,MATCH(U231,JC_OP,0),MATCH(T231,CC_OP,0)),
IF(AA231="FINANCIERO",OFFSET('PARÁMETROS'!$K$56,MATCH(U231,JC_FI,0),MATCH(T231,CC_FI,0)),
OFFSET('PARÁMETROS'!$K$38,MATCH(U231,JC_L,0),MATCH(T231,CC_L,0))))))))),"")</f>
        <v/>
      </c>
      <c r="W231" s="130"/>
      <c r="X231" s="135"/>
      <c r="Y231" s="136"/>
      <c r="Z231" s="30"/>
      <c r="AA231" s="31" t="str">
        <f>E219</f>
        <v/>
      </c>
    </row>
    <row r="232" ht="87.0" customHeight="1">
      <c r="A232" s="129"/>
      <c r="B232" s="130"/>
      <c r="C232" s="130"/>
      <c r="D232" s="130"/>
      <c r="E232" s="130"/>
      <c r="F232" s="130"/>
      <c r="G232" s="130"/>
      <c r="H232" s="130"/>
      <c r="I232" s="130"/>
      <c r="J232" s="130"/>
      <c r="K232" s="130"/>
      <c r="L232" s="130"/>
      <c r="M232" s="130"/>
      <c r="N232" s="130"/>
      <c r="O232" s="130"/>
      <c r="P232" s="132"/>
      <c r="Q232" s="134"/>
      <c r="R232" s="134"/>
      <c r="S232" s="134"/>
      <c r="T232" s="135"/>
      <c r="U232" s="135"/>
      <c r="V232" s="135" t="str">
        <f>IFERROR(IF(AA232="SEGURIDAD",OFFSET('PARÁMETROS'!$K$2,MATCH(U232,JC_SE,0),MATCH(T232,CC_SE,0)),
IF(OR(AA232="DSRC/Estratégico",AA232="DSRC/Operativo"),OFFSET('PARÁMETROS'!$K$11,MATCH(U232,JC_DS,0),MATCH(T232,CC_DS,0)),
IF(AA232="SALUD",OFFSET('PARÁMETROS'!$K$29,MATCH(U232,JC_SA,0),MATCH(T232,CC_SA,0)),
IF(AA232="MEDIO AMBIENTE",OFFSET('PARÁMETROS'!$K$20,MATCH(U232,JC_MA,0),MATCH(T232,CC_MA,0)),
IF(AA232="Rel. Gubernamentales",OFFSET('PARÁMETROS'!$K$48,MATCH(U232,JC_G,0),MATCH(T232,CC_G,0)),
IF(AA232="OPERACIONAL",OFFSET('PARÁMETROS'!$K$56,MATCH(U232,JC_OP,0),MATCH(T232,CC_OP,0)),
IF(AA232="FINANCIERO",OFFSET('PARÁMETROS'!$K$56,MATCH(U232,JC_FI,0),MATCH(T232,CC_FI,0)),
OFFSET('PARÁMETROS'!$K$38,MATCH(U232,JC_L,0),MATCH(T232,CC_L,0))))))))),"")</f>
        <v/>
      </c>
      <c r="W232" s="130"/>
      <c r="X232" s="135"/>
      <c r="Y232" s="136"/>
      <c r="Z232" s="30"/>
      <c r="AA232" s="31" t="str">
        <f>E219</f>
        <v/>
      </c>
    </row>
    <row r="233" ht="87.0" customHeight="1">
      <c r="A233" s="129"/>
      <c r="B233" s="130"/>
      <c r="C233" s="130"/>
      <c r="D233" s="130"/>
      <c r="E233" s="130"/>
      <c r="F233" s="130"/>
      <c r="G233" s="130"/>
      <c r="H233" s="130"/>
      <c r="I233" s="130"/>
      <c r="J233" s="130"/>
      <c r="K233" s="130"/>
      <c r="L233" s="130"/>
      <c r="M233" s="130"/>
      <c r="N233" s="130"/>
      <c r="O233" s="130"/>
      <c r="P233" s="132"/>
      <c r="Q233" s="134"/>
      <c r="R233" s="134"/>
      <c r="S233" s="134"/>
      <c r="T233" s="135"/>
      <c r="U233" s="135"/>
      <c r="V233" s="135" t="str">
        <f>IFERROR(IF(AA233="SEGURIDAD",OFFSET('PARÁMETROS'!$K$2,MATCH(U233,JC_SE,0),MATCH(T233,CC_SE,0)),
IF(OR(AA233="DSRC/Estratégico",AA233="DSRC/Operativo"),OFFSET('PARÁMETROS'!$K$11,MATCH(U233,JC_DS,0),MATCH(T233,CC_DS,0)),
IF(AA233="SALUD",OFFSET('PARÁMETROS'!$K$29,MATCH(U233,JC_SA,0),MATCH(T233,CC_SA,0)),
IF(AA233="MEDIO AMBIENTE",OFFSET('PARÁMETROS'!$K$20,MATCH(U233,JC_MA,0),MATCH(T233,CC_MA,0)),
IF(AA233="Rel. Gubernamentales",OFFSET('PARÁMETROS'!$K$48,MATCH(U233,JC_G,0),MATCH(T233,CC_G,0)),
IF(AA233="OPERACIONAL",OFFSET('PARÁMETROS'!$K$56,MATCH(U233,JC_OP,0),MATCH(T233,CC_OP,0)),
IF(AA233="FINANCIERO",OFFSET('PARÁMETROS'!$K$56,MATCH(U233,JC_FI,0),MATCH(T233,CC_FI,0)),
OFFSET('PARÁMETROS'!$K$38,MATCH(U233,JC_L,0),MATCH(T233,CC_L,0))))))))),"")</f>
        <v/>
      </c>
      <c r="W233" s="130"/>
      <c r="X233" s="135"/>
      <c r="Y233" s="136"/>
      <c r="Z233" s="30"/>
      <c r="AA233" s="31" t="str">
        <f>E219</f>
        <v/>
      </c>
    </row>
    <row r="234" ht="87.0" customHeight="1">
      <c r="A234" s="89"/>
      <c r="B234" s="90"/>
      <c r="C234" s="90"/>
      <c r="D234" s="157"/>
      <c r="E234" s="157"/>
      <c r="F234" s="157"/>
      <c r="G234" s="157"/>
      <c r="H234" s="157"/>
      <c r="I234" s="90"/>
      <c r="J234" s="90"/>
      <c r="K234" s="90"/>
      <c r="L234" s="90"/>
      <c r="M234" s="90"/>
      <c r="N234" s="90"/>
      <c r="O234" s="90"/>
      <c r="P234" s="132"/>
      <c r="Q234" s="134"/>
      <c r="R234" s="145"/>
      <c r="S234" s="145"/>
      <c r="T234" s="135"/>
      <c r="U234" s="135"/>
      <c r="V234" s="135" t="str">
        <f>IFERROR(IF(AA234="SEGURIDAD",OFFSET('PARÁMETROS'!$K$2,MATCH(U234,JC_SE,0),MATCH(T234,CC_SE,0)),
IF(OR(AA234="DSRC/Estratégico",AA234="DSRC/Operativo"),OFFSET('PARÁMETROS'!$K$11,MATCH(U234,JC_DS,0),MATCH(T234,CC_DS,0)),
IF(AA234="SALUD",OFFSET('PARÁMETROS'!$K$29,MATCH(U234,JC_SA,0),MATCH(T234,CC_SA,0)),
IF(AA234="MEDIO AMBIENTE",OFFSET('PARÁMETROS'!$K$20,MATCH(U234,JC_MA,0),MATCH(T234,CC_MA,0)),
IF(AA234="Rel. Gubernamentales",OFFSET('PARÁMETROS'!$K$48,MATCH(U234,JC_G,0),MATCH(T234,CC_G,0)),
IF(AA234="OPERACIONAL",OFFSET('PARÁMETROS'!$K$56,MATCH(U234,JC_OP,0),MATCH(T234,CC_OP,0)),
IF(AA234="FINANCIERO",OFFSET('PARÁMETROS'!$K$56,MATCH(U234,JC_FI,0),MATCH(T234,CC_FI,0)),
OFFSET('PARÁMETROS'!$K$38,MATCH(U234,JC_L,0),MATCH(T234,CC_L,0))))))))),"")</f>
        <v/>
      </c>
      <c r="W234" s="90"/>
      <c r="X234" s="135"/>
      <c r="Y234" s="136"/>
      <c r="Z234" s="30"/>
      <c r="AA234" s="31" t="str">
        <f>E219</f>
        <v/>
      </c>
    </row>
    <row r="235" ht="87.0" customHeight="1">
      <c r="A235" s="102"/>
      <c r="B235" s="103"/>
      <c r="C235" s="103"/>
      <c r="D235" s="103"/>
      <c r="E235" s="103"/>
      <c r="F235" s="103"/>
      <c r="G235" s="105"/>
      <c r="H235" s="103"/>
      <c r="I235" s="105"/>
      <c r="J235" s="103"/>
      <c r="K235" s="103"/>
      <c r="L235" s="103" t="str">
        <f>IF(OR(J235&lt;&gt;"",K235&lt;&gt;""),OFFSET('PARÁMETROS'!$B$2,K235,J235),"")</f>
        <v/>
      </c>
      <c r="M235" s="103"/>
      <c r="N235" s="103">
        <f>IFERROR(L235*M235,"")</f>
        <v>0</v>
      </c>
      <c r="O235" s="108" t="str">
        <f>IF(N235="","",IFERROR(IF(N235&lt;=2,"ACEPTABLE",IF(N235&lt;=6,"BAJA",IF(N235&lt;=10,"ACEPTABLE CON REVISIÓN",IF(N235&lt;=15,"SUSTANCIAL","INACEPTABLE")))),""))</f>
        <v>ACEPTABLE</v>
      </c>
      <c r="P235" s="113"/>
      <c r="Q235" s="114"/>
      <c r="R235" s="114"/>
      <c r="S235" s="114"/>
      <c r="T235" s="115"/>
      <c r="U235" s="115"/>
      <c r="V235" s="115" t="str">
        <f>IFERROR(IF(AA235="SEGURIDAD",OFFSET('PARÁMETROS'!$K$2,MATCH(U235,JC_SE,0),MATCH(T235,CC_SE,0)),
IF(OR(AA235="DSRC/Estratégico",AA235="DSRC/Operativo"),OFFSET('PARÁMETROS'!$K$11,MATCH(U235,JC_DS,0),MATCH(T235,CC_DS,0)),
IF(AA235="SALUD",OFFSET('PARÁMETROS'!$K$29,MATCH(U235,JC_SA,0),MATCH(T235,CC_SA,0)),
IF(AA235="MEDIO AMBIENTE",OFFSET('PARÁMETROS'!$K$20,MATCH(U235,JC_MA,0),MATCH(T235,CC_MA,0)),
IF(AA235="Rel. Gubernamentales",OFFSET('PARÁMETROS'!$K$48,MATCH(U235,JC_G,0),MATCH(T235,CC_G,0)),
IF(AA235="OPERACIONAL",OFFSET('PARÁMETROS'!$K$56,MATCH(U235,JC_OP,0),MATCH(T235,CC_OP,0)),
IF(AA235="FINANCIERO",OFFSET('PARÁMETROS'!$K$56,MATCH(U235,JC_FI,0),MATCH(T235,CC_FI,0)),
OFFSET('PARÁMETROS'!$K$38,MATCH(U235,JC_L,0),MATCH(T235,CC_L,0))))))))),"")</f>
        <v/>
      </c>
      <c r="W235" s="108" t="str">
        <f>IF(E235="","",
IF(COUNTA(V235:V250)-COUNTBLANK(V235:V250)=1,
IF(O235="INACEPTABLE",IF(COUNTIF(V235:V250,"Control/Acción Eficaz")&gt;=1,"SUSTANCIAL","INACEPTABLE"),
IF(O235="SUSTANCIAL",IF(COUNTIF(V235:V250,"Control/Acción Eficaz")&gt;=1,"ACEPTABLE CON REVISIÓN","SUSTANCIAL"),
IF(O235="ACEPTABLE CON REVISIÓN",IF(COUNTIF(V235:V250,"Control/Acción Eficaz")&gt;=1,"BAJA","ACEPTABLE CON REVISIÓN"),
IF(O235="BAJA",IF(COUNTIF(V235:V250,"Control/Acción Eficaz")&gt;=1,"ACEPTABLE","BAJA"),)))),
IF(COUNTA(V235:V250)-COUNTBLANK(V235:V250)=2,
IF(O235="INACEPTABLE",IF(COUNTIF(V235:V250,"Control/Acción Eficaz")=2,"ACEPTABLE CON REVISIÓN",
IF(OR(AND(COUNTIF(V235:V250,"Control/Acción Eficaz")=1,COUNTIF(V235:V250,"Control/Acción Satisfactorio")=1),
AND(COUNTIF(V235:V250,"Control/Acción Eficaz")=1,COUNTIF(V235:V250,"Control/Acción No Eficaz")=1)),"SUSTANCIAL","INACEPTABLE")),
IF(O235="SUSTANCIAL",IF(COUNTIF(V235:V250,"Control/Acción Eficaz")=2,"BAJA",
IF(OR(AND(COUNTIF(V235:V250,"Control/Acción Eficaz")=1,COUNTIF(V235:V250,"Control/Acción Satisfactorio")=1),
AND(COUNTIF(V235:V250,"Control/Acción Eficaz")=1,COUNTIF(V235:V250,"Control/Acción No Eficaz")=1)),"ACEPTABLE CON REVISIÓN ","SUSTANCIAL")),
IF(O235="ACEPTABLE CON REVISIÓN",IF(COUNTIF(V235:V250,"Control/Acción Eficaz")=2,"ACEPTABLE",
IF(OR(AND(COUNTIF(V235:V250,"Control/Acción Eficaz")=1,COUNTIF(V235:V250,"Control/Acción Satisfactorio")=1),
AND(COUNTIF(V235:V250,"Control/Acción Eficaz")=1,COUNTIF(V235:V250,"Control/Acción No Eficaz")=1)),"BAJA","ACEPTABLE CON REVISIÓN")),
IF(O235="BAJA",IF(COUNTIF(V235:V250,"Control/Acción Eficaz")&gt;=2,"ACEPTABLE","BAJA"),)))),
IF(COUNTA(V235:V250)-COUNTBLANK(V235:V250)&gt;=3,
IF(O235="INACEPTABLE",
IF(COUNTBLANK(V235:V250)=COUNTA(V235:V250),"",
IF(COUNTIF(V235:V250,"Control/Acción No Eficaz")&gt;=2,"INACEPTABLE",
IF(AND(COUNTIF(V235:V250,"Control/Acción No Eficaz")=0,COUNTIF(V235:V250,"Control/Acción Eficaz")&gt;=2),"ACEPTABLE CON REVISIÓN ","SUSTANCIAL"))),
IF(O235="SUSTANCIAL",
IF(COUNTBLANK(V235:V250)=COUNTA(V235:V250),"",
IF(COUNTIF(V235:V250,"Control/Acción No Eficaz")&gt;=2,"SUSTANCIAL",
IF(AND(COUNTIF(V235:V250,"Control/Acción No Eficaz")=0,COUNTIF(V235:V250,"Control/Acción Eficaz")&gt;=2),"BAJA","ACEPTABLE CON REVISIÓN"))),
IF(O235="ACEPTABLE CON REVISIÓN",
IF(COUNTBLANK(V235:V250)=COUNTA(V235:V250),"",
IF(COUNTIF(V235:V250,"Control/Acción No Eficaz")&gt;=2,"ACEPTABLE CON REVISIÓN",
IF(AND(COUNTIF(V235:V250,"Control/Acción No Eficaz")=0,COUNTIF(V235:V250,"Control/Acción Eficaz")&gt;=2),"ACEPTABLE","BAJA"))),
IF(O235="BAJA",
IF(COUNTBLANK(V235:V250)=COUNTA(V235:V250),"",
IF(AND(COUNTBLANK(V235:V250)&lt;1,COUNTA(V235:V250)=1),
IF(COUNTIF(V235:V250,"Control/Acción No Eficaz")&gt;=2,"BAJA",
IF(AND(COUNTIF(V235:V250,"Control/Acción No Eficaz")=0,COUNTIF(V235:V250,"Control/Acción Eficaz")&gt;=2),"ACEPTABLE","BAJA")),
IF(COUNTIF(V235:V250,"Control/Acción No Eficaz")&gt;=2,"BAJA",
IF(AND(COUNTIF(V235:V250,"Control/Acción No Eficaz")=0,COUNTIF(V235:V250,"Control/Acción Eficaz")&gt;=2),"ACEPTABLE","BAJA")))),
IF(COUNTIF(V235:V250,"")&gt;=5,"",O235))))),
""))))</f>
        <v/>
      </c>
      <c r="X235" s="115"/>
      <c r="Y235" s="128"/>
      <c r="Z235" s="30"/>
      <c r="AA235" s="31" t="str">
        <f>E235</f>
        <v/>
      </c>
    </row>
    <row r="236" ht="87.0" customHeight="1">
      <c r="A236" s="129"/>
      <c r="B236" s="130"/>
      <c r="C236" s="130"/>
      <c r="D236" s="130"/>
      <c r="E236" s="130"/>
      <c r="F236" s="130"/>
      <c r="G236" s="130"/>
      <c r="H236" s="130"/>
      <c r="I236" s="130"/>
      <c r="J236" s="130"/>
      <c r="K236" s="130"/>
      <c r="L236" s="130"/>
      <c r="M236" s="130"/>
      <c r="N236" s="130"/>
      <c r="O236" s="130"/>
      <c r="P236" s="132"/>
      <c r="Q236" s="134"/>
      <c r="R236" s="134"/>
      <c r="S236" s="134"/>
      <c r="T236" s="135"/>
      <c r="U236" s="135"/>
      <c r="V236" s="135" t="str">
        <f>IFERROR(IF(AA236="SEGURIDAD",OFFSET('PARÁMETROS'!$K$2,MATCH(U236,JC_SE,0),MATCH(T236,CC_SE,0)),
IF(OR(AA236="DSRC/Estratégico",AA236="DSRC/Operativo"),OFFSET('PARÁMETROS'!$K$11,MATCH(U236,JC_DS,0),MATCH(T236,CC_DS,0)),
IF(AA236="SALUD",OFFSET('PARÁMETROS'!$K$29,MATCH(U236,JC_SA,0),MATCH(T236,CC_SA,0)),
IF(AA236="MEDIO AMBIENTE",OFFSET('PARÁMETROS'!$K$20,MATCH(U236,JC_MA,0),MATCH(T236,CC_MA,0)),
IF(AA236="Rel. Gubernamentales",OFFSET('PARÁMETROS'!$K$48,MATCH(U236,JC_G,0),MATCH(T236,CC_G,0)),
IF(AA236="OPERACIONAL",OFFSET('PARÁMETROS'!$K$56,MATCH(U236,JC_OP,0),MATCH(T236,CC_OP,0)),
IF(AA236="FINANCIERO",OFFSET('PARÁMETROS'!$K$56,MATCH(U236,JC_FI,0),MATCH(T236,CC_FI,0)),
OFFSET('PARÁMETROS'!$K$38,MATCH(U236,JC_L,0),MATCH(T236,CC_L,0))))))))),"")</f>
        <v/>
      </c>
      <c r="W236" s="130"/>
      <c r="X236" s="135"/>
      <c r="Y236" s="136"/>
      <c r="Z236" s="30"/>
      <c r="AA236" s="31" t="str">
        <f>E235</f>
        <v/>
      </c>
    </row>
    <row r="237" ht="87.0" customHeight="1">
      <c r="A237" s="129"/>
      <c r="B237" s="130"/>
      <c r="C237" s="130"/>
      <c r="D237" s="130"/>
      <c r="E237" s="130"/>
      <c r="F237" s="130"/>
      <c r="G237" s="130"/>
      <c r="H237" s="130"/>
      <c r="I237" s="130"/>
      <c r="J237" s="130"/>
      <c r="K237" s="130"/>
      <c r="L237" s="130"/>
      <c r="M237" s="130"/>
      <c r="N237" s="130"/>
      <c r="O237" s="130"/>
      <c r="P237" s="132"/>
      <c r="Q237" s="134"/>
      <c r="R237" s="134"/>
      <c r="S237" s="134"/>
      <c r="T237" s="135"/>
      <c r="U237" s="135"/>
      <c r="V237" s="135" t="str">
        <f>IFERROR(IF(AA237="SEGURIDAD",OFFSET('PARÁMETROS'!$K$2,MATCH(U237,JC_SE,0),MATCH(T237,CC_SE,0)),
IF(OR(AA237="DSRC/Estratégico",AA237="DSRC/Operativo"),OFFSET('PARÁMETROS'!$K$11,MATCH(U237,JC_DS,0),MATCH(T237,CC_DS,0)),
IF(AA237="SALUD",OFFSET('PARÁMETROS'!$K$29,MATCH(U237,JC_SA,0),MATCH(T237,CC_SA,0)),
IF(AA237="MEDIO AMBIENTE",OFFSET('PARÁMETROS'!$K$20,MATCH(U237,JC_MA,0),MATCH(T237,CC_MA,0)),
IF(AA237="Rel. Gubernamentales",OFFSET('PARÁMETROS'!$K$48,MATCH(U237,JC_G,0),MATCH(T237,CC_G,0)),
IF(AA237="OPERACIONAL",OFFSET('PARÁMETROS'!$K$56,MATCH(U237,JC_OP,0),MATCH(T237,CC_OP,0)),
IF(AA237="FINANCIERO",OFFSET('PARÁMETROS'!$K$56,MATCH(U237,JC_FI,0),MATCH(T237,CC_FI,0)),
OFFSET('PARÁMETROS'!$K$38,MATCH(U237,JC_L,0),MATCH(T237,CC_L,0))))))))),"")</f>
        <v/>
      </c>
      <c r="W237" s="130"/>
      <c r="X237" s="135"/>
      <c r="Y237" s="136"/>
      <c r="Z237" s="30"/>
      <c r="AA237" s="31" t="str">
        <f>E235</f>
        <v/>
      </c>
    </row>
    <row r="238" ht="87.0" customHeight="1">
      <c r="A238" s="129"/>
      <c r="B238" s="130"/>
      <c r="C238" s="130"/>
      <c r="D238" s="130"/>
      <c r="E238" s="130"/>
      <c r="F238" s="130"/>
      <c r="G238" s="130"/>
      <c r="H238" s="130"/>
      <c r="I238" s="130"/>
      <c r="J238" s="130"/>
      <c r="K238" s="130"/>
      <c r="L238" s="130"/>
      <c r="M238" s="130"/>
      <c r="N238" s="130"/>
      <c r="O238" s="130"/>
      <c r="P238" s="132"/>
      <c r="Q238" s="134"/>
      <c r="R238" s="134"/>
      <c r="S238" s="134"/>
      <c r="T238" s="135"/>
      <c r="U238" s="135"/>
      <c r="V238" s="135" t="str">
        <f>IFERROR(IF(AA238="SEGURIDAD",OFFSET('PARÁMETROS'!$K$2,MATCH(U238,JC_SE,0),MATCH(T238,CC_SE,0)),
IF(OR(AA238="DSRC/Estratégico",AA238="DSRC/Operativo"),OFFSET('PARÁMETROS'!$K$11,MATCH(U238,JC_DS,0),MATCH(T238,CC_DS,0)),
IF(AA238="SALUD",OFFSET('PARÁMETROS'!$K$29,MATCH(U238,JC_SA,0),MATCH(T238,CC_SA,0)),
IF(AA238="MEDIO AMBIENTE",OFFSET('PARÁMETROS'!$K$20,MATCH(U238,JC_MA,0),MATCH(T238,CC_MA,0)),
IF(AA238="Rel. Gubernamentales",OFFSET('PARÁMETROS'!$K$48,MATCH(U238,JC_G,0),MATCH(T238,CC_G,0)),
IF(AA238="OPERACIONAL",OFFSET('PARÁMETROS'!$K$56,MATCH(U238,JC_OP,0),MATCH(T238,CC_OP,0)),
IF(AA238="FINANCIERO",OFFSET('PARÁMETROS'!$K$56,MATCH(U238,JC_FI,0),MATCH(T238,CC_FI,0)),
OFFSET('PARÁMETROS'!$K$38,MATCH(U238,JC_L,0),MATCH(T238,CC_L,0))))))))),"")</f>
        <v/>
      </c>
      <c r="W238" s="130"/>
      <c r="X238" s="135"/>
      <c r="Y238" s="136"/>
      <c r="Z238" s="30"/>
      <c r="AA238" s="31" t="str">
        <f>E235</f>
        <v/>
      </c>
    </row>
    <row r="239" ht="87.0" customHeight="1">
      <c r="A239" s="129"/>
      <c r="B239" s="130"/>
      <c r="C239" s="130"/>
      <c r="D239" s="130"/>
      <c r="E239" s="130"/>
      <c r="F239" s="130"/>
      <c r="G239" s="130"/>
      <c r="H239" s="130"/>
      <c r="I239" s="130"/>
      <c r="J239" s="130"/>
      <c r="K239" s="130"/>
      <c r="L239" s="130"/>
      <c r="M239" s="130"/>
      <c r="N239" s="130"/>
      <c r="O239" s="130"/>
      <c r="P239" s="132"/>
      <c r="Q239" s="134"/>
      <c r="R239" s="134"/>
      <c r="S239" s="134"/>
      <c r="T239" s="135"/>
      <c r="U239" s="135"/>
      <c r="V239" s="135" t="str">
        <f>IFERROR(IF(AA239="SEGURIDAD",OFFSET('PARÁMETROS'!$K$2,MATCH(U239,JC_SE,0),MATCH(T239,CC_SE,0)),
IF(OR(AA239="DSRC/Estratégico",AA239="DSRC/Operativo"),OFFSET('PARÁMETROS'!$K$11,MATCH(U239,JC_DS,0),MATCH(T239,CC_DS,0)),
IF(AA239="SALUD",OFFSET('PARÁMETROS'!$K$29,MATCH(U239,JC_SA,0),MATCH(T239,CC_SA,0)),
IF(AA239="MEDIO AMBIENTE",OFFSET('PARÁMETROS'!$K$20,MATCH(U239,JC_MA,0),MATCH(T239,CC_MA,0)),
IF(AA239="Rel. Gubernamentales",OFFSET('PARÁMETROS'!$K$48,MATCH(U239,JC_G,0),MATCH(T239,CC_G,0)),
IF(AA239="OPERACIONAL",OFFSET('PARÁMETROS'!$K$56,MATCH(U239,JC_OP,0),MATCH(T239,CC_OP,0)),
IF(AA239="FINANCIERO",OFFSET('PARÁMETROS'!$K$56,MATCH(U239,JC_FI,0),MATCH(T239,CC_FI,0)),
OFFSET('PARÁMETROS'!$K$38,MATCH(U239,JC_L,0),MATCH(T239,CC_L,0))))))))),"")</f>
        <v/>
      </c>
      <c r="W239" s="130"/>
      <c r="X239" s="135"/>
      <c r="Y239" s="136"/>
      <c r="Z239" s="30"/>
      <c r="AA239" s="31" t="str">
        <f>E235</f>
        <v/>
      </c>
    </row>
    <row r="240" ht="87.0" customHeight="1">
      <c r="A240" s="129"/>
      <c r="B240" s="130"/>
      <c r="C240" s="130"/>
      <c r="D240" s="130"/>
      <c r="E240" s="130"/>
      <c r="F240" s="130"/>
      <c r="G240" s="130"/>
      <c r="H240" s="130"/>
      <c r="I240" s="130"/>
      <c r="J240" s="130"/>
      <c r="K240" s="130"/>
      <c r="L240" s="130"/>
      <c r="M240" s="130"/>
      <c r="N240" s="130"/>
      <c r="O240" s="130"/>
      <c r="P240" s="132"/>
      <c r="Q240" s="134"/>
      <c r="R240" s="134"/>
      <c r="S240" s="134"/>
      <c r="T240" s="135"/>
      <c r="U240" s="135"/>
      <c r="V240" s="135" t="str">
        <f>IFERROR(IF(AA240="SEGURIDAD",OFFSET('PARÁMETROS'!$K$2,MATCH(U240,JC_SE,0),MATCH(T240,CC_SE,0)),
IF(OR(AA240="DSRC/Estratégico",AA240="DSRC/Operativo"),OFFSET('PARÁMETROS'!$K$11,MATCH(U240,JC_DS,0),MATCH(T240,CC_DS,0)),
IF(AA240="SALUD",OFFSET('PARÁMETROS'!$K$29,MATCH(U240,JC_SA,0),MATCH(T240,CC_SA,0)),
IF(AA240="MEDIO AMBIENTE",OFFSET('PARÁMETROS'!$K$20,MATCH(U240,JC_MA,0),MATCH(T240,CC_MA,0)),
IF(AA240="Rel. Gubernamentales",OFFSET('PARÁMETROS'!$K$48,MATCH(U240,JC_G,0),MATCH(T240,CC_G,0)),
IF(AA240="OPERACIONAL",OFFSET('PARÁMETROS'!$K$56,MATCH(U240,JC_OP,0),MATCH(T240,CC_OP,0)),
IF(AA240="FINANCIERO",OFFSET('PARÁMETROS'!$K$56,MATCH(U240,JC_FI,0),MATCH(T240,CC_FI,0)),
OFFSET('PARÁMETROS'!$K$38,MATCH(U240,JC_L,0),MATCH(T240,CC_L,0))))))))),"")</f>
        <v/>
      </c>
      <c r="W240" s="130"/>
      <c r="X240" s="135"/>
      <c r="Y240" s="136"/>
      <c r="Z240" s="30"/>
      <c r="AA240" s="31" t="str">
        <f>E235</f>
        <v/>
      </c>
    </row>
    <row r="241" ht="87.0" customHeight="1">
      <c r="A241" s="129"/>
      <c r="B241" s="130"/>
      <c r="C241" s="130"/>
      <c r="D241" s="130"/>
      <c r="E241" s="130"/>
      <c r="F241" s="130"/>
      <c r="G241" s="130"/>
      <c r="H241" s="130"/>
      <c r="I241" s="130"/>
      <c r="J241" s="130"/>
      <c r="K241" s="130"/>
      <c r="L241" s="130"/>
      <c r="M241" s="130"/>
      <c r="N241" s="130"/>
      <c r="O241" s="130"/>
      <c r="P241" s="132"/>
      <c r="Q241" s="134"/>
      <c r="R241" s="134"/>
      <c r="S241" s="134"/>
      <c r="T241" s="135"/>
      <c r="U241" s="135"/>
      <c r="V241" s="135" t="str">
        <f>IFERROR(IF(AA241="SEGURIDAD",OFFSET('PARÁMETROS'!$K$2,MATCH(U241,JC_SE,0),MATCH(T241,CC_SE,0)),
IF(OR(AA241="DSRC/Estratégico",AA241="DSRC/Operativo"),OFFSET('PARÁMETROS'!$K$11,MATCH(U241,JC_DS,0),MATCH(T241,CC_DS,0)),
IF(AA241="SALUD",OFFSET('PARÁMETROS'!$K$29,MATCH(U241,JC_SA,0),MATCH(T241,CC_SA,0)),
IF(AA241="MEDIO AMBIENTE",OFFSET('PARÁMETROS'!$K$20,MATCH(U241,JC_MA,0),MATCH(T241,CC_MA,0)),
IF(AA241="Rel. Gubernamentales",OFFSET('PARÁMETROS'!$K$48,MATCH(U241,JC_G,0),MATCH(T241,CC_G,0)),
IF(AA241="OPERACIONAL",OFFSET('PARÁMETROS'!$K$56,MATCH(U241,JC_OP,0),MATCH(T241,CC_OP,0)),
IF(AA241="FINANCIERO",OFFSET('PARÁMETROS'!$K$56,MATCH(U241,JC_FI,0),MATCH(T241,CC_FI,0)),
OFFSET('PARÁMETROS'!$K$38,MATCH(U241,JC_L,0),MATCH(T241,CC_L,0))))))))),"")</f>
        <v/>
      </c>
      <c r="W241" s="130"/>
      <c r="X241" s="135"/>
      <c r="Y241" s="136"/>
      <c r="Z241" s="30"/>
      <c r="AA241" s="31" t="str">
        <f>E235</f>
        <v/>
      </c>
    </row>
    <row r="242" ht="87.0" customHeight="1">
      <c r="A242" s="129"/>
      <c r="B242" s="130"/>
      <c r="C242" s="130"/>
      <c r="D242" s="130"/>
      <c r="E242" s="130"/>
      <c r="F242" s="130"/>
      <c r="G242" s="130"/>
      <c r="H242" s="130"/>
      <c r="I242" s="130"/>
      <c r="J242" s="130"/>
      <c r="K242" s="130"/>
      <c r="L242" s="130"/>
      <c r="M242" s="130"/>
      <c r="N242" s="130"/>
      <c r="O242" s="130"/>
      <c r="P242" s="132"/>
      <c r="Q242" s="134"/>
      <c r="R242" s="134"/>
      <c r="S242" s="134"/>
      <c r="T242" s="135"/>
      <c r="U242" s="135"/>
      <c r="V242" s="135" t="str">
        <f>IFERROR(IF(AA242="SEGURIDAD",OFFSET('PARÁMETROS'!$K$2,MATCH(U242,JC_SE,0),MATCH(T242,CC_SE,0)),
IF(OR(AA242="DSRC/Estratégico",AA242="DSRC/Operativo"),OFFSET('PARÁMETROS'!$K$11,MATCH(U242,JC_DS,0),MATCH(T242,CC_DS,0)),
IF(AA242="SALUD",OFFSET('PARÁMETROS'!$K$29,MATCH(U242,JC_SA,0),MATCH(T242,CC_SA,0)),
IF(AA242="MEDIO AMBIENTE",OFFSET('PARÁMETROS'!$K$20,MATCH(U242,JC_MA,0),MATCH(T242,CC_MA,0)),
IF(AA242="Rel. Gubernamentales",OFFSET('PARÁMETROS'!$K$48,MATCH(U242,JC_G,0),MATCH(T242,CC_G,0)),
IF(AA242="OPERACIONAL",OFFSET('PARÁMETROS'!$K$56,MATCH(U242,JC_OP,0),MATCH(T242,CC_OP,0)),
IF(AA242="FINANCIERO",OFFSET('PARÁMETROS'!$K$56,MATCH(U242,JC_FI,0),MATCH(T242,CC_FI,0)),
OFFSET('PARÁMETROS'!$K$38,MATCH(U242,JC_L,0),MATCH(T242,CC_L,0))))))))),"")</f>
        <v/>
      </c>
      <c r="W242" s="130"/>
      <c r="X242" s="135"/>
      <c r="Y242" s="136"/>
      <c r="Z242" s="30"/>
      <c r="AA242" s="31" t="str">
        <f>E235</f>
        <v/>
      </c>
    </row>
    <row r="243" ht="87.0" customHeight="1">
      <c r="A243" s="129"/>
      <c r="B243" s="130"/>
      <c r="C243" s="130"/>
      <c r="D243" s="130"/>
      <c r="E243" s="130"/>
      <c r="F243" s="130"/>
      <c r="G243" s="130"/>
      <c r="H243" s="130"/>
      <c r="I243" s="130"/>
      <c r="J243" s="130"/>
      <c r="K243" s="130"/>
      <c r="L243" s="130"/>
      <c r="M243" s="130"/>
      <c r="N243" s="130"/>
      <c r="O243" s="130"/>
      <c r="P243" s="132"/>
      <c r="Q243" s="134"/>
      <c r="R243" s="134"/>
      <c r="S243" s="134"/>
      <c r="T243" s="135"/>
      <c r="U243" s="135"/>
      <c r="V243" s="135" t="str">
        <f>IFERROR(IF(AA243="SEGURIDAD",OFFSET('PARÁMETROS'!$K$2,MATCH(U243,JC_SE,0),MATCH(T243,CC_SE,0)),
IF(OR(AA243="DSRC/Estratégico",AA243="DSRC/Operativo"),OFFSET('PARÁMETROS'!$K$11,MATCH(U243,JC_DS,0),MATCH(T243,CC_DS,0)),
IF(AA243="SALUD",OFFSET('PARÁMETROS'!$K$29,MATCH(U243,JC_SA,0),MATCH(T243,CC_SA,0)),
IF(AA243="MEDIO AMBIENTE",OFFSET('PARÁMETROS'!$K$20,MATCH(U243,JC_MA,0),MATCH(T243,CC_MA,0)),
IF(AA243="Rel. Gubernamentales",OFFSET('PARÁMETROS'!$K$48,MATCH(U243,JC_G,0),MATCH(T243,CC_G,0)),
IF(AA243="OPERACIONAL",OFFSET('PARÁMETROS'!$K$56,MATCH(U243,JC_OP,0),MATCH(T243,CC_OP,0)),
IF(AA243="FINANCIERO",OFFSET('PARÁMETROS'!$K$56,MATCH(U243,JC_FI,0),MATCH(T243,CC_FI,0)),
OFFSET('PARÁMETROS'!$K$38,MATCH(U243,JC_L,0),MATCH(T243,CC_L,0))))))))),"")</f>
        <v/>
      </c>
      <c r="W243" s="130"/>
      <c r="X243" s="135"/>
      <c r="Y243" s="136"/>
      <c r="Z243" s="30"/>
      <c r="AA243" s="31" t="str">
        <f>E235</f>
        <v/>
      </c>
    </row>
    <row r="244" ht="87.0" customHeight="1">
      <c r="A244" s="129"/>
      <c r="B244" s="130"/>
      <c r="C244" s="130"/>
      <c r="D244" s="130"/>
      <c r="E244" s="130"/>
      <c r="F244" s="130"/>
      <c r="G244" s="130"/>
      <c r="H244" s="130"/>
      <c r="I244" s="130"/>
      <c r="J244" s="130"/>
      <c r="K244" s="130"/>
      <c r="L244" s="130"/>
      <c r="M244" s="130"/>
      <c r="N244" s="130"/>
      <c r="O244" s="130"/>
      <c r="P244" s="132"/>
      <c r="Q244" s="134"/>
      <c r="R244" s="134"/>
      <c r="S244" s="134"/>
      <c r="T244" s="135"/>
      <c r="U244" s="135"/>
      <c r="V244" s="135" t="str">
        <f>IFERROR(IF(AA244="SEGURIDAD",OFFSET('PARÁMETROS'!$K$2,MATCH(U244,JC_SE,0),MATCH(T244,CC_SE,0)),
IF(OR(AA244="DSRC/Estratégico",AA244="DSRC/Operativo"),OFFSET('PARÁMETROS'!$K$11,MATCH(U244,JC_DS,0),MATCH(T244,CC_DS,0)),
IF(AA244="SALUD",OFFSET('PARÁMETROS'!$K$29,MATCH(U244,JC_SA,0),MATCH(T244,CC_SA,0)),
IF(AA244="MEDIO AMBIENTE",OFFSET('PARÁMETROS'!$K$20,MATCH(U244,JC_MA,0),MATCH(T244,CC_MA,0)),
IF(AA244="Rel. Gubernamentales",OFFSET('PARÁMETROS'!$K$48,MATCH(U244,JC_G,0),MATCH(T244,CC_G,0)),
IF(AA244="OPERACIONAL",OFFSET('PARÁMETROS'!$K$56,MATCH(U244,JC_OP,0),MATCH(T244,CC_OP,0)),
IF(AA244="FINANCIERO",OFFSET('PARÁMETROS'!$K$56,MATCH(U244,JC_FI,0),MATCH(T244,CC_FI,0)),
OFFSET('PARÁMETROS'!$K$38,MATCH(U244,JC_L,0),MATCH(T244,CC_L,0))))))))),"")</f>
        <v/>
      </c>
      <c r="W244" s="130"/>
      <c r="X244" s="135"/>
      <c r="Y244" s="136"/>
      <c r="Z244" s="30"/>
      <c r="AA244" s="31" t="str">
        <f>E235</f>
        <v/>
      </c>
    </row>
    <row r="245" ht="87.0" customHeight="1">
      <c r="A245" s="129"/>
      <c r="B245" s="130"/>
      <c r="C245" s="130"/>
      <c r="D245" s="130"/>
      <c r="E245" s="130"/>
      <c r="F245" s="130"/>
      <c r="G245" s="130"/>
      <c r="H245" s="130"/>
      <c r="I245" s="130"/>
      <c r="J245" s="130"/>
      <c r="K245" s="130"/>
      <c r="L245" s="130"/>
      <c r="M245" s="130"/>
      <c r="N245" s="130"/>
      <c r="O245" s="130"/>
      <c r="P245" s="132"/>
      <c r="Q245" s="134"/>
      <c r="R245" s="134"/>
      <c r="S245" s="134"/>
      <c r="T245" s="135"/>
      <c r="U245" s="135"/>
      <c r="V245" s="135" t="str">
        <f>IFERROR(IF(AA245="SEGURIDAD",OFFSET('PARÁMETROS'!$K$2,MATCH(U245,JC_SE,0),MATCH(T245,CC_SE,0)),
IF(OR(AA245="DSRC/Estratégico",AA245="DSRC/Operativo"),OFFSET('PARÁMETROS'!$K$11,MATCH(U245,JC_DS,0),MATCH(T245,CC_DS,0)),
IF(AA245="SALUD",OFFSET('PARÁMETROS'!$K$29,MATCH(U245,JC_SA,0),MATCH(T245,CC_SA,0)),
IF(AA245="MEDIO AMBIENTE",OFFSET('PARÁMETROS'!$K$20,MATCH(U245,JC_MA,0),MATCH(T245,CC_MA,0)),
IF(AA245="Rel. Gubernamentales",OFFSET('PARÁMETROS'!$K$48,MATCH(U245,JC_G,0),MATCH(T245,CC_G,0)),
IF(AA245="OPERACIONAL",OFFSET('PARÁMETROS'!$K$56,MATCH(U245,JC_OP,0),MATCH(T245,CC_OP,0)),
IF(AA245="FINANCIERO",OFFSET('PARÁMETROS'!$K$56,MATCH(U245,JC_FI,0),MATCH(T245,CC_FI,0)),
OFFSET('PARÁMETROS'!$K$38,MATCH(U245,JC_L,0),MATCH(T245,CC_L,0))))))))),"")</f>
        <v/>
      </c>
      <c r="W245" s="130"/>
      <c r="X245" s="135"/>
      <c r="Y245" s="136"/>
      <c r="Z245" s="30"/>
      <c r="AA245" s="31" t="str">
        <f>E235</f>
        <v/>
      </c>
    </row>
    <row r="246" ht="87.0" customHeight="1">
      <c r="A246" s="129"/>
      <c r="B246" s="130"/>
      <c r="C246" s="130"/>
      <c r="D246" s="130"/>
      <c r="E246" s="130"/>
      <c r="F246" s="130"/>
      <c r="G246" s="130"/>
      <c r="H246" s="130"/>
      <c r="I246" s="130"/>
      <c r="J246" s="130"/>
      <c r="K246" s="130"/>
      <c r="L246" s="130"/>
      <c r="M246" s="130"/>
      <c r="N246" s="130"/>
      <c r="O246" s="130"/>
      <c r="P246" s="132"/>
      <c r="Q246" s="134"/>
      <c r="R246" s="134"/>
      <c r="S246" s="134"/>
      <c r="T246" s="135"/>
      <c r="U246" s="135"/>
      <c r="V246" s="135" t="str">
        <f>IFERROR(IF(AA246="SEGURIDAD",OFFSET('PARÁMETROS'!$K$2,MATCH(U246,JC_SE,0),MATCH(T246,CC_SE,0)),
IF(OR(AA246="DSRC/Estratégico",AA246="DSRC/Operativo"),OFFSET('PARÁMETROS'!$K$11,MATCH(U246,JC_DS,0),MATCH(T246,CC_DS,0)),
IF(AA246="SALUD",OFFSET('PARÁMETROS'!$K$29,MATCH(U246,JC_SA,0),MATCH(T246,CC_SA,0)),
IF(AA246="MEDIO AMBIENTE",OFFSET('PARÁMETROS'!$K$20,MATCH(U246,JC_MA,0),MATCH(T246,CC_MA,0)),
IF(AA246="Rel. Gubernamentales",OFFSET('PARÁMETROS'!$K$48,MATCH(U246,JC_G,0),MATCH(T246,CC_G,0)),
IF(AA246="OPERACIONAL",OFFSET('PARÁMETROS'!$K$56,MATCH(U246,JC_OP,0),MATCH(T246,CC_OP,0)),
IF(AA246="FINANCIERO",OFFSET('PARÁMETROS'!$K$56,MATCH(U246,JC_FI,0),MATCH(T246,CC_FI,0)),
OFFSET('PARÁMETROS'!$K$38,MATCH(U246,JC_L,0),MATCH(T246,CC_L,0))))))))),"")</f>
        <v/>
      </c>
      <c r="W246" s="130"/>
      <c r="X246" s="135"/>
      <c r="Y246" s="136"/>
      <c r="Z246" s="30"/>
      <c r="AA246" s="31" t="str">
        <f>E235</f>
        <v/>
      </c>
    </row>
    <row r="247" ht="87.0" customHeight="1">
      <c r="A247" s="129"/>
      <c r="B247" s="130"/>
      <c r="C247" s="130"/>
      <c r="D247" s="130"/>
      <c r="E247" s="130"/>
      <c r="F247" s="130"/>
      <c r="G247" s="130"/>
      <c r="H247" s="130"/>
      <c r="I247" s="130"/>
      <c r="J247" s="130"/>
      <c r="K247" s="130"/>
      <c r="L247" s="130"/>
      <c r="M247" s="130"/>
      <c r="N247" s="130"/>
      <c r="O247" s="130"/>
      <c r="P247" s="132"/>
      <c r="Q247" s="134"/>
      <c r="R247" s="134"/>
      <c r="S247" s="134"/>
      <c r="T247" s="135"/>
      <c r="U247" s="135"/>
      <c r="V247" s="135" t="str">
        <f>IFERROR(IF(AA247="SEGURIDAD",OFFSET('PARÁMETROS'!$K$2,MATCH(U247,JC_SE,0),MATCH(T247,CC_SE,0)),
IF(OR(AA247="DSRC/Estratégico",AA247="DSRC/Operativo"),OFFSET('PARÁMETROS'!$K$11,MATCH(U247,JC_DS,0),MATCH(T247,CC_DS,0)),
IF(AA247="SALUD",OFFSET('PARÁMETROS'!$K$29,MATCH(U247,JC_SA,0),MATCH(T247,CC_SA,0)),
IF(AA247="MEDIO AMBIENTE",OFFSET('PARÁMETROS'!$K$20,MATCH(U247,JC_MA,0),MATCH(T247,CC_MA,0)),
IF(AA247="Rel. Gubernamentales",OFFSET('PARÁMETROS'!$K$48,MATCH(U247,JC_G,0),MATCH(T247,CC_G,0)),
IF(AA247="OPERACIONAL",OFFSET('PARÁMETROS'!$K$56,MATCH(U247,JC_OP,0),MATCH(T247,CC_OP,0)),
IF(AA247="FINANCIERO",OFFSET('PARÁMETROS'!$K$56,MATCH(U247,JC_FI,0),MATCH(T247,CC_FI,0)),
OFFSET('PARÁMETROS'!$K$38,MATCH(U247,JC_L,0),MATCH(T247,CC_L,0))))))))),"")</f>
        <v/>
      </c>
      <c r="W247" s="130"/>
      <c r="X247" s="135"/>
      <c r="Y247" s="136"/>
      <c r="Z247" s="30"/>
      <c r="AA247" s="31" t="str">
        <f>E235</f>
        <v/>
      </c>
    </row>
    <row r="248" ht="87.0" customHeight="1">
      <c r="A248" s="129"/>
      <c r="B248" s="130"/>
      <c r="C248" s="130"/>
      <c r="D248" s="130"/>
      <c r="E248" s="130"/>
      <c r="F248" s="130"/>
      <c r="G248" s="130"/>
      <c r="H248" s="130"/>
      <c r="I248" s="130"/>
      <c r="J248" s="130"/>
      <c r="K248" s="130"/>
      <c r="L248" s="130"/>
      <c r="M248" s="130"/>
      <c r="N248" s="130"/>
      <c r="O248" s="130"/>
      <c r="P248" s="132"/>
      <c r="Q248" s="134"/>
      <c r="R248" s="134"/>
      <c r="S248" s="134"/>
      <c r="T248" s="135"/>
      <c r="U248" s="135"/>
      <c r="V248" s="135" t="str">
        <f>IFERROR(IF(AA248="SEGURIDAD",OFFSET('PARÁMETROS'!$K$2,MATCH(U248,JC_SE,0),MATCH(T248,CC_SE,0)),
IF(OR(AA248="DSRC/Estratégico",AA248="DSRC/Operativo"),OFFSET('PARÁMETROS'!$K$11,MATCH(U248,JC_DS,0),MATCH(T248,CC_DS,0)),
IF(AA248="SALUD",OFFSET('PARÁMETROS'!$K$29,MATCH(U248,JC_SA,0),MATCH(T248,CC_SA,0)),
IF(AA248="MEDIO AMBIENTE",OFFSET('PARÁMETROS'!$K$20,MATCH(U248,JC_MA,0),MATCH(T248,CC_MA,0)),
IF(AA248="Rel. Gubernamentales",OFFSET('PARÁMETROS'!$K$48,MATCH(U248,JC_G,0),MATCH(T248,CC_G,0)),
IF(AA248="OPERACIONAL",OFFSET('PARÁMETROS'!$K$56,MATCH(U248,JC_OP,0),MATCH(T248,CC_OP,0)),
IF(AA248="FINANCIERO",OFFSET('PARÁMETROS'!$K$56,MATCH(U248,JC_FI,0),MATCH(T248,CC_FI,0)),
OFFSET('PARÁMETROS'!$K$38,MATCH(U248,JC_L,0),MATCH(T248,CC_L,0))))))))),"")</f>
        <v/>
      </c>
      <c r="W248" s="130"/>
      <c r="X248" s="135"/>
      <c r="Y248" s="136"/>
      <c r="Z248" s="30"/>
      <c r="AA248" s="31" t="str">
        <f>E235</f>
        <v/>
      </c>
    </row>
    <row r="249" ht="87.0" customHeight="1">
      <c r="A249" s="129"/>
      <c r="B249" s="130"/>
      <c r="C249" s="130"/>
      <c r="D249" s="130"/>
      <c r="E249" s="130"/>
      <c r="F249" s="130"/>
      <c r="G249" s="130"/>
      <c r="H249" s="130"/>
      <c r="I249" s="130"/>
      <c r="J249" s="130"/>
      <c r="K249" s="130"/>
      <c r="L249" s="130"/>
      <c r="M249" s="130"/>
      <c r="N249" s="130"/>
      <c r="O249" s="130"/>
      <c r="P249" s="132"/>
      <c r="Q249" s="134"/>
      <c r="R249" s="134"/>
      <c r="S249" s="134"/>
      <c r="T249" s="135"/>
      <c r="U249" s="135"/>
      <c r="V249" s="135" t="str">
        <f>IFERROR(IF(AA249="SEGURIDAD",OFFSET('PARÁMETROS'!$K$2,MATCH(U249,JC_SE,0),MATCH(T249,CC_SE,0)),
IF(OR(AA249="DSRC/Estratégico",AA249="DSRC/Operativo"),OFFSET('PARÁMETROS'!$K$11,MATCH(U249,JC_DS,0),MATCH(T249,CC_DS,0)),
IF(AA249="SALUD",OFFSET('PARÁMETROS'!$K$29,MATCH(U249,JC_SA,0),MATCH(T249,CC_SA,0)),
IF(AA249="MEDIO AMBIENTE",OFFSET('PARÁMETROS'!$K$20,MATCH(U249,JC_MA,0),MATCH(T249,CC_MA,0)),
IF(AA249="Rel. Gubernamentales",OFFSET('PARÁMETROS'!$K$48,MATCH(U249,JC_G,0),MATCH(T249,CC_G,0)),
IF(AA249="OPERACIONAL",OFFSET('PARÁMETROS'!$K$56,MATCH(U249,JC_OP,0),MATCH(T249,CC_OP,0)),
IF(AA249="FINANCIERO",OFFSET('PARÁMETROS'!$K$56,MATCH(U249,JC_FI,0),MATCH(T249,CC_FI,0)),
OFFSET('PARÁMETROS'!$K$38,MATCH(U249,JC_L,0),MATCH(T249,CC_L,0))))))))),"")</f>
        <v/>
      </c>
      <c r="W249" s="130"/>
      <c r="X249" s="135"/>
      <c r="Y249" s="136"/>
      <c r="Z249" s="30"/>
      <c r="AA249" s="31" t="str">
        <f>E235</f>
        <v/>
      </c>
    </row>
    <row r="250" ht="87.0" customHeight="1">
      <c r="A250" s="89"/>
      <c r="B250" s="90"/>
      <c r="C250" s="90"/>
      <c r="D250" s="157"/>
      <c r="E250" s="157"/>
      <c r="F250" s="157"/>
      <c r="G250" s="157"/>
      <c r="H250" s="157"/>
      <c r="I250" s="90"/>
      <c r="J250" s="90"/>
      <c r="K250" s="90"/>
      <c r="L250" s="90"/>
      <c r="M250" s="90"/>
      <c r="N250" s="90"/>
      <c r="O250" s="90"/>
      <c r="P250" s="132"/>
      <c r="Q250" s="134"/>
      <c r="R250" s="145"/>
      <c r="S250" s="145"/>
      <c r="T250" s="135"/>
      <c r="U250" s="135"/>
      <c r="V250" s="135" t="str">
        <f>IFERROR(IF(AA250="SEGURIDAD",OFFSET('PARÁMETROS'!$K$2,MATCH(U250,JC_SE,0),MATCH(T250,CC_SE,0)),
IF(OR(AA250="DSRC/Estratégico",AA250="DSRC/Operativo"),OFFSET('PARÁMETROS'!$K$11,MATCH(U250,JC_DS,0),MATCH(T250,CC_DS,0)),
IF(AA250="SALUD",OFFSET('PARÁMETROS'!$K$29,MATCH(U250,JC_SA,0),MATCH(T250,CC_SA,0)),
IF(AA250="MEDIO AMBIENTE",OFFSET('PARÁMETROS'!$K$20,MATCH(U250,JC_MA,0),MATCH(T250,CC_MA,0)),
IF(AA250="Rel. Gubernamentales",OFFSET('PARÁMETROS'!$K$48,MATCH(U250,JC_G,0),MATCH(T250,CC_G,0)),
IF(AA250="OPERACIONAL",OFFSET('PARÁMETROS'!$K$56,MATCH(U250,JC_OP,0),MATCH(T250,CC_OP,0)),
IF(AA250="FINANCIERO",OFFSET('PARÁMETROS'!$K$56,MATCH(U250,JC_FI,0),MATCH(T250,CC_FI,0)),
OFFSET('PARÁMETROS'!$K$38,MATCH(U250,JC_L,0),MATCH(T250,CC_L,0))))))))),"")</f>
        <v/>
      </c>
      <c r="W250" s="90"/>
      <c r="X250" s="135"/>
      <c r="Y250" s="136"/>
      <c r="Z250" s="30"/>
      <c r="AA250" s="31" t="str">
        <f>E235</f>
        <v/>
      </c>
    </row>
    <row r="251" ht="87.0" customHeight="1">
      <c r="A251" s="102"/>
      <c r="B251" s="103"/>
      <c r="C251" s="103"/>
      <c r="D251" s="103"/>
      <c r="E251" s="103"/>
      <c r="F251" s="103"/>
      <c r="G251" s="105"/>
      <c r="H251" s="103"/>
      <c r="I251" s="105"/>
      <c r="J251" s="103"/>
      <c r="K251" s="103"/>
      <c r="L251" s="103" t="str">
        <f>IF(OR(J251&lt;&gt;"",K251&lt;&gt;""),OFFSET('PARÁMETROS'!$B$2,K251,J251),"")</f>
        <v/>
      </c>
      <c r="M251" s="103"/>
      <c r="N251" s="103">
        <f>IFERROR(L251*M251,"")</f>
        <v>0</v>
      </c>
      <c r="O251" s="108" t="str">
        <f>IF(N251="","",IFERROR(IF(N251&lt;=2,"ACEPTABLE",IF(N251&lt;=6,"BAJA",IF(N251&lt;=10,"ACEPTABLE CON REVISIÓN",IF(N251&lt;=15,"SUSTANCIAL","INACEPTABLE")))),""))</f>
        <v>ACEPTABLE</v>
      </c>
      <c r="P251" s="113"/>
      <c r="Q251" s="114"/>
      <c r="R251" s="114"/>
      <c r="S251" s="114"/>
      <c r="T251" s="115"/>
      <c r="U251" s="115"/>
      <c r="V251" s="115" t="str">
        <f>IFERROR(IF(AA251="SEGURIDAD",OFFSET('PARÁMETROS'!$K$2,MATCH(U251,JC_SE,0),MATCH(T251,CC_SE,0)),
IF(OR(AA251="DSRC/Estratégico",AA251="DSRC/Operativo"),OFFSET('PARÁMETROS'!$K$11,MATCH(U251,JC_DS,0),MATCH(T251,CC_DS,0)),
IF(AA251="SALUD",OFFSET('PARÁMETROS'!$K$29,MATCH(U251,JC_SA,0),MATCH(T251,CC_SA,0)),
IF(AA251="MEDIO AMBIENTE",OFFSET('PARÁMETROS'!$K$20,MATCH(U251,JC_MA,0),MATCH(T251,CC_MA,0)),
IF(AA251="Rel. Gubernamentales",OFFSET('PARÁMETROS'!$K$48,MATCH(U251,JC_G,0),MATCH(T251,CC_G,0)),
IF(AA251="OPERACIONAL",OFFSET('PARÁMETROS'!$K$56,MATCH(U251,JC_OP,0),MATCH(T251,CC_OP,0)),
IF(AA251="FINANCIERO",OFFSET('PARÁMETROS'!$K$56,MATCH(U251,JC_FI,0),MATCH(T251,CC_FI,0)),
OFFSET('PARÁMETROS'!$K$38,MATCH(U251,JC_L,0),MATCH(T251,CC_L,0))))))))),"")</f>
        <v/>
      </c>
      <c r="W251" s="108" t="str">
        <f>IF(E251="","",
IF(COUNTA(V251:V266)-COUNTBLANK(V251:V266)=1,
IF(O251="INACEPTABLE",IF(COUNTIF(V251:V266,"Control/Acción Eficaz")&gt;=1,"SUSTANCIAL","INACEPTABLE"),
IF(O251="SUSTANCIAL",IF(COUNTIF(V251:V266,"Control/Acción Eficaz")&gt;=1,"ACEPTABLE CON REVISIÓN","SUSTANCIAL"),
IF(O251="ACEPTABLE CON REVISIÓN",IF(COUNTIF(V251:V266,"Control/Acción Eficaz")&gt;=1,"BAJA","ACEPTABLE CON REVISIÓN"),
IF(O251="BAJA",IF(COUNTIF(V251:V266,"Control/Acción Eficaz")&gt;=1,"ACEPTABLE","BAJA"),)))),
IF(COUNTA(V251:V266)-COUNTBLANK(V251:V266)=2,
IF(O251="INACEPTABLE",IF(COUNTIF(V251:V266,"Control/Acción Eficaz")=2,"ACEPTABLE CON REVISIÓN",
IF(OR(AND(COUNTIF(V251:V266,"Control/Acción Eficaz")=1,COUNTIF(V251:V266,"Control/Acción Satisfactorio")=1),
AND(COUNTIF(V251:V266,"Control/Acción Eficaz")=1,COUNTIF(V251:V266,"Control/Acción No Eficaz")=1)),"SUSTANCIAL","INACEPTABLE")),
IF(O251="SUSTANCIAL",IF(COUNTIF(V251:V266,"Control/Acción Eficaz")=2,"BAJA",
IF(OR(AND(COUNTIF(V251:V266,"Control/Acción Eficaz")=1,COUNTIF(V251:V266,"Control/Acción Satisfactorio")=1),
AND(COUNTIF(V251:V266,"Control/Acción Eficaz")=1,COUNTIF(V251:V266,"Control/Acción No Eficaz")=1)),"ACEPTABLE CON REVISIÓN ","SUSTANCIAL")),
IF(O251="ACEPTABLE CON REVISIÓN",IF(COUNTIF(V251:V266,"Control/Acción Eficaz")=2,"ACEPTABLE",
IF(OR(AND(COUNTIF(V251:V266,"Control/Acción Eficaz")=1,COUNTIF(V251:V266,"Control/Acción Satisfactorio")=1),
AND(COUNTIF(V251:V266,"Control/Acción Eficaz")=1,COUNTIF(V251:V266,"Control/Acción No Eficaz")=1)),"BAJA","ACEPTABLE CON REVISIÓN")),
IF(O251="BAJA",IF(COUNTIF(V251:V266,"Control/Acción Eficaz")&gt;=2,"ACEPTABLE","BAJA"),)))),
IF(COUNTA(V251:V266)-COUNTBLANK(V251:V266)&gt;=3,
IF(O251="INACEPTABLE",
IF(COUNTBLANK(V251:V266)=COUNTA(V251:V266),"",
IF(COUNTIF(V251:V266,"Control/Acción No Eficaz")&gt;=2,"INACEPTABLE",
IF(AND(COUNTIF(V251:V266,"Control/Acción No Eficaz")=0,COUNTIF(V251:V266,"Control/Acción Eficaz")&gt;=2),"ACEPTABLE CON REVISIÓN ","SUSTANCIAL"))),
IF(O251="SUSTANCIAL",
IF(COUNTBLANK(V251:V266)=COUNTA(V251:V266),"",
IF(COUNTIF(V251:V266,"Control/Acción No Eficaz")&gt;=2,"SUSTANCIAL",
IF(AND(COUNTIF(V251:V266,"Control/Acción No Eficaz")=0,COUNTIF(V251:V266,"Control/Acción Eficaz")&gt;=2),"BAJA","ACEPTABLE CON REVISIÓN"))),
IF(O251="ACEPTABLE CON REVISIÓN",
IF(COUNTBLANK(V251:V266)=COUNTA(V251:V266),"",
IF(COUNTIF(V251:V266,"Control/Acción No Eficaz")&gt;=2,"ACEPTABLE CON REVISIÓN",
IF(AND(COUNTIF(V251:V266,"Control/Acción No Eficaz")=0,COUNTIF(V251:V266,"Control/Acción Eficaz")&gt;=2),"ACEPTABLE","BAJA"))),
IF(O251="BAJA",
IF(COUNTBLANK(V251:V266)=COUNTA(V251:V266),"",
IF(AND(COUNTBLANK(V251:V266)&lt;1,COUNTA(V251:V266)=1),
IF(COUNTIF(V251:V266,"Control/Acción No Eficaz")&gt;=2,"BAJA",
IF(AND(COUNTIF(V251:V266,"Control/Acción No Eficaz")=0,COUNTIF(V251:V266,"Control/Acción Eficaz")&gt;=2),"ACEPTABLE","BAJA")),
IF(COUNTIF(V251:V266,"Control/Acción No Eficaz")&gt;=2,"BAJA",
IF(AND(COUNTIF(V251:V266,"Control/Acción No Eficaz")=0,COUNTIF(V251:V266,"Control/Acción Eficaz")&gt;=2),"ACEPTABLE","BAJA")))),
IF(COUNTIF(V251:V266,"")&gt;=5,"",O251))))),
""))))</f>
        <v/>
      </c>
      <c r="X251" s="115"/>
      <c r="Y251" s="128"/>
      <c r="Z251" s="30"/>
      <c r="AA251" s="31" t="str">
        <f>E251</f>
        <v/>
      </c>
    </row>
    <row r="252" ht="87.0" customHeight="1">
      <c r="A252" s="129"/>
      <c r="B252" s="130"/>
      <c r="C252" s="130"/>
      <c r="D252" s="130"/>
      <c r="E252" s="130"/>
      <c r="F252" s="130"/>
      <c r="G252" s="130"/>
      <c r="H252" s="130"/>
      <c r="I252" s="130"/>
      <c r="J252" s="130"/>
      <c r="K252" s="130"/>
      <c r="L252" s="130"/>
      <c r="M252" s="130"/>
      <c r="N252" s="130"/>
      <c r="O252" s="130"/>
      <c r="P252" s="132"/>
      <c r="Q252" s="134"/>
      <c r="R252" s="134"/>
      <c r="S252" s="134"/>
      <c r="T252" s="135"/>
      <c r="U252" s="135"/>
      <c r="V252" s="135" t="str">
        <f>IFERROR(IF(AA252="SEGURIDAD",OFFSET('PARÁMETROS'!$K$2,MATCH(U252,JC_SE,0),MATCH(T252,CC_SE,0)),
IF(OR(AA252="DSRC/Estratégico",AA252="DSRC/Operativo"),OFFSET('PARÁMETROS'!$K$11,MATCH(U252,JC_DS,0),MATCH(T252,CC_DS,0)),
IF(AA252="SALUD",OFFSET('PARÁMETROS'!$K$29,MATCH(U252,JC_SA,0),MATCH(T252,CC_SA,0)),
IF(AA252="MEDIO AMBIENTE",OFFSET('PARÁMETROS'!$K$20,MATCH(U252,JC_MA,0),MATCH(T252,CC_MA,0)),
IF(AA252="Rel. Gubernamentales",OFFSET('PARÁMETROS'!$K$48,MATCH(U252,JC_G,0),MATCH(T252,CC_G,0)),
IF(AA252="OPERACIONAL",OFFSET('PARÁMETROS'!$K$56,MATCH(U252,JC_OP,0),MATCH(T252,CC_OP,0)),
IF(AA252="FINANCIERO",OFFSET('PARÁMETROS'!$K$56,MATCH(U252,JC_FI,0),MATCH(T252,CC_FI,0)),
OFFSET('PARÁMETROS'!$K$38,MATCH(U252,JC_L,0),MATCH(T252,CC_L,0))))))))),"")</f>
        <v/>
      </c>
      <c r="W252" s="130"/>
      <c r="X252" s="135"/>
      <c r="Y252" s="136"/>
      <c r="Z252" s="30"/>
      <c r="AA252" s="31" t="str">
        <f>E251</f>
        <v/>
      </c>
    </row>
    <row r="253" ht="87.0" customHeight="1">
      <c r="A253" s="129"/>
      <c r="B253" s="130"/>
      <c r="C253" s="130"/>
      <c r="D253" s="130"/>
      <c r="E253" s="130"/>
      <c r="F253" s="130"/>
      <c r="G253" s="130"/>
      <c r="H253" s="130"/>
      <c r="I253" s="130"/>
      <c r="J253" s="130"/>
      <c r="K253" s="130"/>
      <c r="L253" s="130"/>
      <c r="M253" s="130"/>
      <c r="N253" s="130"/>
      <c r="O253" s="130"/>
      <c r="P253" s="132"/>
      <c r="Q253" s="134"/>
      <c r="R253" s="134"/>
      <c r="S253" s="134"/>
      <c r="T253" s="135"/>
      <c r="U253" s="135"/>
      <c r="V253" s="135" t="str">
        <f>IFERROR(IF(AA253="SEGURIDAD",OFFSET('PARÁMETROS'!$K$2,MATCH(U253,JC_SE,0),MATCH(T253,CC_SE,0)),
IF(OR(AA253="DSRC/Estratégico",AA253="DSRC/Operativo"),OFFSET('PARÁMETROS'!$K$11,MATCH(U253,JC_DS,0),MATCH(T253,CC_DS,0)),
IF(AA253="SALUD",OFFSET('PARÁMETROS'!$K$29,MATCH(U253,JC_SA,0),MATCH(T253,CC_SA,0)),
IF(AA253="MEDIO AMBIENTE",OFFSET('PARÁMETROS'!$K$20,MATCH(U253,JC_MA,0),MATCH(T253,CC_MA,0)),
IF(AA253="Rel. Gubernamentales",OFFSET('PARÁMETROS'!$K$48,MATCH(U253,JC_G,0),MATCH(T253,CC_G,0)),
IF(AA253="OPERACIONAL",OFFSET('PARÁMETROS'!$K$56,MATCH(U253,JC_OP,0),MATCH(T253,CC_OP,0)),
IF(AA253="FINANCIERO",OFFSET('PARÁMETROS'!$K$56,MATCH(U253,JC_FI,0),MATCH(T253,CC_FI,0)),
OFFSET('PARÁMETROS'!$K$38,MATCH(U253,JC_L,0),MATCH(T253,CC_L,0))))))))),"")</f>
        <v/>
      </c>
      <c r="W253" s="130"/>
      <c r="X253" s="135"/>
      <c r="Y253" s="136"/>
      <c r="Z253" s="30"/>
      <c r="AA253" s="31" t="str">
        <f>E251</f>
        <v/>
      </c>
    </row>
    <row r="254" ht="87.0" customHeight="1">
      <c r="A254" s="129"/>
      <c r="B254" s="130"/>
      <c r="C254" s="130"/>
      <c r="D254" s="130"/>
      <c r="E254" s="130"/>
      <c r="F254" s="130"/>
      <c r="G254" s="130"/>
      <c r="H254" s="130"/>
      <c r="I254" s="130"/>
      <c r="J254" s="130"/>
      <c r="K254" s="130"/>
      <c r="L254" s="130"/>
      <c r="M254" s="130"/>
      <c r="N254" s="130"/>
      <c r="O254" s="130"/>
      <c r="P254" s="132"/>
      <c r="Q254" s="134"/>
      <c r="R254" s="134"/>
      <c r="S254" s="134"/>
      <c r="T254" s="135"/>
      <c r="U254" s="135"/>
      <c r="V254" s="135" t="str">
        <f>IFERROR(IF(AA254="SEGURIDAD",OFFSET('PARÁMETROS'!$K$2,MATCH(U254,JC_SE,0),MATCH(T254,CC_SE,0)),
IF(OR(AA254="DSRC/Estratégico",AA254="DSRC/Operativo"),OFFSET('PARÁMETROS'!$K$11,MATCH(U254,JC_DS,0),MATCH(T254,CC_DS,0)),
IF(AA254="SALUD",OFFSET('PARÁMETROS'!$K$29,MATCH(U254,JC_SA,0),MATCH(T254,CC_SA,0)),
IF(AA254="MEDIO AMBIENTE",OFFSET('PARÁMETROS'!$K$20,MATCH(U254,JC_MA,0),MATCH(T254,CC_MA,0)),
IF(AA254="Rel. Gubernamentales",OFFSET('PARÁMETROS'!$K$48,MATCH(U254,JC_G,0),MATCH(T254,CC_G,0)),
IF(AA254="OPERACIONAL",OFFSET('PARÁMETROS'!$K$56,MATCH(U254,JC_OP,0),MATCH(T254,CC_OP,0)),
IF(AA254="FINANCIERO",OFFSET('PARÁMETROS'!$K$56,MATCH(U254,JC_FI,0),MATCH(T254,CC_FI,0)),
OFFSET('PARÁMETROS'!$K$38,MATCH(U254,JC_L,0),MATCH(T254,CC_L,0))))))))),"")</f>
        <v/>
      </c>
      <c r="W254" s="130"/>
      <c r="X254" s="135"/>
      <c r="Y254" s="136"/>
      <c r="Z254" s="30"/>
      <c r="AA254" s="31" t="str">
        <f>E251</f>
        <v/>
      </c>
    </row>
    <row r="255" ht="87.0" customHeight="1">
      <c r="A255" s="129"/>
      <c r="B255" s="130"/>
      <c r="C255" s="130"/>
      <c r="D255" s="130"/>
      <c r="E255" s="130"/>
      <c r="F255" s="130"/>
      <c r="G255" s="130"/>
      <c r="H255" s="130"/>
      <c r="I255" s="130"/>
      <c r="J255" s="130"/>
      <c r="K255" s="130"/>
      <c r="L255" s="130"/>
      <c r="M255" s="130"/>
      <c r="N255" s="130"/>
      <c r="O255" s="130"/>
      <c r="P255" s="132"/>
      <c r="Q255" s="134"/>
      <c r="R255" s="134"/>
      <c r="S255" s="134"/>
      <c r="T255" s="135"/>
      <c r="U255" s="135"/>
      <c r="V255" s="135" t="str">
        <f>IFERROR(IF(AA255="SEGURIDAD",OFFSET('PARÁMETROS'!$K$2,MATCH(U255,JC_SE,0),MATCH(T255,CC_SE,0)),
IF(OR(AA255="DSRC/Estratégico",AA255="DSRC/Operativo"),OFFSET('PARÁMETROS'!$K$11,MATCH(U255,JC_DS,0),MATCH(T255,CC_DS,0)),
IF(AA255="SALUD",OFFSET('PARÁMETROS'!$K$29,MATCH(U255,JC_SA,0),MATCH(T255,CC_SA,0)),
IF(AA255="MEDIO AMBIENTE",OFFSET('PARÁMETROS'!$K$20,MATCH(U255,JC_MA,0),MATCH(T255,CC_MA,0)),
IF(AA255="Rel. Gubernamentales",OFFSET('PARÁMETROS'!$K$48,MATCH(U255,JC_G,0),MATCH(T255,CC_G,0)),
IF(AA255="OPERACIONAL",OFFSET('PARÁMETROS'!$K$56,MATCH(U255,JC_OP,0),MATCH(T255,CC_OP,0)),
IF(AA255="FINANCIERO",OFFSET('PARÁMETROS'!$K$56,MATCH(U255,JC_FI,0),MATCH(T255,CC_FI,0)),
OFFSET('PARÁMETROS'!$K$38,MATCH(U255,JC_L,0),MATCH(T255,CC_L,0))))))))),"")</f>
        <v/>
      </c>
      <c r="W255" s="130"/>
      <c r="X255" s="135"/>
      <c r="Y255" s="136"/>
      <c r="Z255" s="30"/>
      <c r="AA255" s="31" t="str">
        <f>E251</f>
        <v/>
      </c>
    </row>
    <row r="256" ht="87.0" customHeight="1">
      <c r="A256" s="129"/>
      <c r="B256" s="130"/>
      <c r="C256" s="130"/>
      <c r="D256" s="130"/>
      <c r="E256" s="130"/>
      <c r="F256" s="130"/>
      <c r="G256" s="130"/>
      <c r="H256" s="130"/>
      <c r="I256" s="130"/>
      <c r="J256" s="130"/>
      <c r="K256" s="130"/>
      <c r="L256" s="130"/>
      <c r="M256" s="130"/>
      <c r="N256" s="130"/>
      <c r="O256" s="130"/>
      <c r="P256" s="132"/>
      <c r="Q256" s="134"/>
      <c r="R256" s="134"/>
      <c r="S256" s="134"/>
      <c r="T256" s="135"/>
      <c r="U256" s="135"/>
      <c r="V256" s="135" t="str">
        <f>IFERROR(IF(AA256="SEGURIDAD",OFFSET('PARÁMETROS'!$K$2,MATCH(U256,JC_SE,0),MATCH(T256,CC_SE,0)),
IF(OR(AA256="DSRC/Estratégico",AA256="DSRC/Operativo"),OFFSET('PARÁMETROS'!$K$11,MATCH(U256,JC_DS,0),MATCH(T256,CC_DS,0)),
IF(AA256="SALUD",OFFSET('PARÁMETROS'!$K$29,MATCH(U256,JC_SA,0),MATCH(T256,CC_SA,0)),
IF(AA256="MEDIO AMBIENTE",OFFSET('PARÁMETROS'!$K$20,MATCH(U256,JC_MA,0),MATCH(T256,CC_MA,0)),
IF(AA256="Rel. Gubernamentales",OFFSET('PARÁMETROS'!$K$48,MATCH(U256,JC_G,0),MATCH(T256,CC_G,0)),
IF(AA256="OPERACIONAL",OFFSET('PARÁMETROS'!$K$56,MATCH(U256,JC_OP,0),MATCH(T256,CC_OP,0)),
IF(AA256="FINANCIERO",OFFSET('PARÁMETROS'!$K$56,MATCH(U256,JC_FI,0),MATCH(T256,CC_FI,0)),
OFFSET('PARÁMETROS'!$K$38,MATCH(U256,JC_L,0),MATCH(T256,CC_L,0))))))))),"")</f>
        <v/>
      </c>
      <c r="W256" s="130"/>
      <c r="X256" s="135"/>
      <c r="Y256" s="136"/>
      <c r="Z256" s="30"/>
      <c r="AA256" s="31" t="str">
        <f>E251</f>
        <v/>
      </c>
    </row>
    <row r="257" ht="87.0" customHeight="1">
      <c r="A257" s="129"/>
      <c r="B257" s="130"/>
      <c r="C257" s="130"/>
      <c r="D257" s="130"/>
      <c r="E257" s="130"/>
      <c r="F257" s="130"/>
      <c r="G257" s="130"/>
      <c r="H257" s="130"/>
      <c r="I257" s="130"/>
      <c r="J257" s="130"/>
      <c r="K257" s="130"/>
      <c r="L257" s="130"/>
      <c r="M257" s="130"/>
      <c r="N257" s="130"/>
      <c r="O257" s="130"/>
      <c r="P257" s="132"/>
      <c r="Q257" s="134"/>
      <c r="R257" s="134"/>
      <c r="S257" s="134"/>
      <c r="T257" s="135"/>
      <c r="U257" s="135"/>
      <c r="V257" s="135" t="str">
        <f>IFERROR(IF(AA257="SEGURIDAD",OFFSET('PARÁMETROS'!$K$2,MATCH(U257,JC_SE,0),MATCH(T257,CC_SE,0)),
IF(OR(AA257="DSRC/Estratégico",AA257="DSRC/Operativo"),OFFSET('PARÁMETROS'!$K$11,MATCH(U257,JC_DS,0),MATCH(T257,CC_DS,0)),
IF(AA257="SALUD",OFFSET('PARÁMETROS'!$K$29,MATCH(U257,JC_SA,0),MATCH(T257,CC_SA,0)),
IF(AA257="MEDIO AMBIENTE",OFFSET('PARÁMETROS'!$K$20,MATCH(U257,JC_MA,0),MATCH(T257,CC_MA,0)),
IF(AA257="Rel. Gubernamentales",OFFSET('PARÁMETROS'!$K$48,MATCH(U257,JC_G,0),MATCH(T257,CC_G,0)),
IF(AA257="OPERACIONAL",OFFSET('PARÁMETROS'!$K$56,MATCH(U257,JC_OP,0),MATCH(T257,CC_OP,0)),
IF(AA257="FINANCIERO",OFFSET('PARÁMETROS'!$K$56,MATCH(U257,JC_FI,0),MATCH(T257,CC_FI,0)),
OFFSET('PARÁMETROS'!$K$38,MATCH(U257,JC_L,0),MATCH(T257,CC_L,0))))))))),"")</f>
        <v/>
      </c>
      <c r="W257" s="130"/>
      <c r="X257" s="135"/>
      <c r="Y257" s="136"/>
      <c r="Z257" s="30"/>
      <c r="AA257" s="31" t="str">
        <f>E251</f>
        <v/>
      </c>
    </row>
    <row r="258" ht="87.0" customHeight="1">
      <c r="A258" s="129"/>
      <c r="B258" s="130"/>
      <c r="C258" s="130"/>
      <c r="D258" s="130"/>
      <c r="E258" s="130"/>
      <c r="F258" s="130"/>
      <c r="G258" s="130"/>
      <c r="H258" s="130"/>
      <c r="I258" s="130"/>
      <c r="J258" s="130"/>
      <c r="K258" s="130"/>
      <c r="L258" s="130"/>
      <c r="M258" s="130"/>
      <c r="N258" s="130"/>
      <c r="O258" s="130"/>
      <c r="P258" s="132"/>
      <c r="Q258" s="134"/>
      <c r="R258" s="134"/>
      <c r="S258" s="134"/>
      <c r="T258" s="135"/>
      <c r="U258" s="135"/>
      <c r="V258" s="135" t="str">
        <f>IFERROR(IF(AA258="SEGURIDAD",OFFSET('PARÁMETROS'!$K$2,MATCH(U258,JC_SE,0),MATCH(T258,CC_SE,0)),
IF(OR(AA258="DSRC/Estratégico",AA258="DSRC/Operativo"),OFFSET('PARÁMETROS'!$K$11,MATCH(U258,JC_DS,0),MATCH(T258,CC_DS,0)),
IF(AA258="SALUD",OFFSET('PARÁMETROS'!$K$29,MATCH(U258,JC_SA,0),MATCH(T258,CC_SA,0)),
IF(AA258="MEDIO AMBIENTE",OFFSET('PARÁMETROS'!$K$20,MATCH(U258,JC_MA,0),MATCH(T258,CC_MA,0)),
IF(AA258="Rel. Gubernamentales",OFFSET('PARÁMETROS'!$K$48,MATCH(U258,JC_G,0),MATCH(T258,CC_G,0)),
IF(AA258="OPERACIONAL",OFFSET('PARÁMETROS'!$K$56,MATCH(U258,JC_OP,0),MATCH(T258,CC_OP,0)),
IF(AA258="FINANCIERO",OFFSET('PARÁMETROS'!$K$56,MATCH(U258,JC_FI,0),MATCH(T258,CC_FI,0)),
OFFSET('PARÁMETROS'!$K$38,MATCH(U258,JC_L,0),MATCH(T258,CC_L,0))))))))),"")</f>
        <v/>
      </c>
      <c r="W258" s="130"/>
      <c r="X258" s="135"/>
      <c r="Y258" s="136"/>
      <c r="Z258" s="30"/>
      <c r="AA258" s="31" t="str">
        <f>E251</f>
        <v/>
      </c>
    </row>
    <row r="259" ht="87.0" customHeight="1">
      <c r="A259" s="129"/>
      <c r="B259" s="130"/>
      <c r="C259" s="130"/>
      <c r="D259" s="130"/>
      <c r="E259" s="130"/>
      <c r="F259" s="130"/>
      <c r="G259" s="130"/>
      <c r="H259" s="130"/>
      <c r="I259" s="130"/>
      <c r="J259" s="130"/>
      <c r="K259" s="130"/>
      <c r="L259" s="130"/>
      <c r="M259" s="130"/>
      <c r="N259" s="130"/>
      <c r="O259" s="130"/>
      <c r="P259" s="132"/>
      <c r="Q259" s="134"/>
      <c r="R259" s="134"/>
      <c r="S259" s="134"/>
      <c r="T259" s="135"/>
      <c r="U259" s="135"/>
      <c r="V259" s="135" t="str">
        <f>IFERROR(IF(AA259="SEGURIDAD",OFFSET('PARÁMETROS'!$K$2,MATCH(U259,JC_SE,0),MATCH(T259,CC_SE,0)),
IF(OR(AA259="DSRC/Estratégico",AA259="DSRC/Operativo"),OFFSET('PARÁMETROS'!$K$11,MATCH(U259,JC_DS,0),MATCH(T259,CC_DS,0)),
IF(AA259="SALUD",OFFSET('PARÁMETROS'!$K$29,MATCH(U259,JC_SA,0),MATCH(T259,CC_SA,0)),
IF(AA259="MEDIO AMBIENTE",OFFSET('PARÁMETROS'!$K$20,MATCH(U259,JC_MA,0),MATCH(T259,CC_MA,0)),
IF(AA259="Rel. Gubernamentales",OFFSET('PARÁMETROS'!$K$48,MATCH(U259,JC_G,0),MATCH(T259,CC_G,0)),
IF(AA259="OPERACIONAL",OFFSET('PARÁMETROS'!$K$56,MATCH(U259,JC_OP,0),MATCH(T259,CC_OP,0)),
IF(AA259="FINANCIERO",OFFSET('PARÁMETROS'!$K$56,MATCH(U259,JC_FI,0),MATCH(T259,CC_FI,0)),
OFFSET('PARÁMETROS'!$K$38,MATCH(U259,JC_L,0),MATCH(T259,CC_L,0))))))))),"")</f>
        <v/>
      </c>
      <c r="W259" s="130"/>
      <c r="X259" s="135"/>
      <c r="Y259" s="136"/>
      <c r="Z259" s="30"/>
      <c r="AA259" s="31" t="str">
        <f>E251</f>
        <v/>
      </c>
    </row>
    <row r="260" ht="87.0" customHeight="1">
      <c r="A260" s="129"/>
      <c r="B260" s="130"/>
      <c r="C260" s="130"/>
      <c r="D260" s="130"/>
      <c r="E260" s="130"/>
      <c r="F260" s="130"/>
      <c r="G260" s="130"/>
      <c r="H260" s="130"/>
      <c r="I260" s="130"/>
      <c r="J260" s="130"/>
      <c r="K260" s="130"/>
      <c r="L260" s="130"/>
      <c r="M260" s="130"/>
      <c r="N260" s="130"/>
      <c r="O260" s="130"/>
      <c r="P260" s="132"/>
      <c r="Q260" s="134"/>
      <c r="R260" s="134"/>
      <c r="S260" s="134"/>
      <c r="T260" s="135"/>
      <c r="U260" s="135"/>
      <c r="V260" s="135" t="str">
        <f>IFERROR(IF(AA260="SEGURIDAD",OFFSET('PARÁMETROS'!$K$2,MATCH(U260,JC_SE,0),MATCH(T260,CC_SE,0)),
IF(OR(AA260="DSRC/Estratégico",AA260="DSRC/Operativo"),OFFSET('PARÁMETROS'!$K$11,MATCH(U260,JC_DS,0),MATCH(T260,CC_DS,0)),
IF(AA260="SALUD",OFFSET('PARÁMETROS'!$K$29,MATCH(U260,JC_SA,0),MATCH(T260,CC_SA,0)),
IF(AA260="MEDIO AMBIENTE",OFFSET('PARÁMETROS'!$K$20,MATCH(U260,JC_MA,0),MATCH(T260,CC_MA,0)),
IF(AA260="Rel. Gubernamentales",OFFSET('PARÁMETROS'!$K$48,MATCH(U260,JC_G,0),MATCH(T260,CC_G,0)),
IF(AA260="OPERACIONAL",OFFSET('PARÁMETROS'!$K$56,MATCH(U260,JC_OP,0),MATCH(T260,CC_OP,0)),
IF(AA260="FINANCIERO",OFFSET('PARÁMETROS'!$K$56,MATCH(U260,JC_FI,0),MATCH(T260,CC_FI,0)),
OFFSET('PARÁMETROS'!$K$38,MATCH(U260,JC_L,0),MATCH(T260,CC_L,0))))))))),"")</f>
        <v/>
      </c>
      <c r="W260" s="130"/>
      <c r="X260" s="135"/>
      <c r="Y260" s="136"/>
      <c r="Z260" s="30"/>
      <c r="AA260" s="31" t="str">
        <f>E251</f>
        <v/>
      </c>
    </row>
    <row r="261" ht="87.0" customHeight="1">
      <c r="A261" s="129"/>
      <c r="B261" s="130"/>
      <c r="C261" s="130"/>
      <c r="D261" s="130"/>
      <c r="E261" s="130"/>
      <c r="F261" s="130"/>
      <c r="G261" s="130"/>
      <c r="H261" s="130"/>
      <c r="I261" s="130"/>
      <c r="J261" s="130"/>
      <c r="K261" s="130"/>
      <c r="L261" s="130"/>
      <c r="M261" s="130"/>
      <c r="N261" s="130"/>
      <c r="O261" s="130"/>
      <c r="P261" s="132"/>
      <c r="Q261" s="134"/>
      <c r="R261" s="134"/>
      <c r="S261" s="134"/>
      <c r="T261" s="135"/>
      <c r="U261" s="135"/>
      <c r="V261" s="135" t="str">
        <f>IFERROR(IF(AA261="SEGURIDAD",OFFSET('PARÁMETROS'!$K$2,MATCH(U261,JC_SE,0),MATCH(T261,CC_SE,0)),
IF(OR(AA261="DSRC/Estratégico",AA261="DSRC/Operativo"),OFFSET('PARÁMETROS'!$K$11,MATCH(U261,JC_DS,0),MATCH(T261,CC_DS,0)),
IF(AA261="SALUD",OFFSET('PARÁMETROS'!$K$29,MATCH(U261,JC_SA,0),MATCH(T261,CC_SA,0)),
IF(AA261="MEDIO AMBIENTE",OFFSET('PARÁMETROS'!$K$20,MATCH(U261,JC_MA,0),MATCH(T261,CC_MA,0)),
IF(AA261="Rel. Gubernamentales",OFFSET('PARÁMETROS'!$K$48,MATCH(U261,JC_G,0),MATCH(T261,CC_G,0)),
IF(AA261="OPERACIONAL",OFFSET('PARÁMETROS'!$K$56,MATCH(U261,JC_OP,0),MATCH(T261,CC_OP,0)),
IF(AA261="FINANCIERO",OFFSET('PARÁMETROS'!$K$56,MATCH(U261,JC_FI,0),MATCH(T261,CC_FI,0)),
OFFSET('PARÁMETROS'!$K$38,MATCH(U261,JC_L,0),MATCH(T261,CC_L,0))))))))),"")</f>
        <v/>
      </c>
      <c r="W261" s="130"/>
      <c r="X261" s="135"/>
      <c r="Y261" s="136"/>
      <c r="Z261" s="30"/>
      <c r="AA261" s="31" t="str">
        <f>E251</f>
        <v/>
      </c>
    </row>
    <row r="262" ht="87.0" customHeight="1">
      <c r="A262" s="129"/>
      <c r="B262" s="130"/>
      <c r="C262" s="130"/>
      <c r="D262" s="130"/>
      <c r="E262" s="130"/>
      <c r="F262" s="130"/>
      <c r="G262" s="130"/>
      <c r="H262" s="130"/>
      <c r="I262" s="130"/>
      <c r="J262" s="130"/>
      <c r="K262" s="130"/>
      <c r="L262" s="130"/>
      <c r="M262" s="130"/>
      <c r="N262" s="130"/>
      <c r="O262" s="130"/>
      <c r="P262" s="132"/>
      <c r="Q262" s="134"/>
      <c r="R262" s="134"/>
      <c r="S262" s="134"/>
      <c r="T262" s="135"/>
      <c r="U262" s="135"/>
      <c r="V262" s="135" t="str">
        <f>IFERROR(IF(AA262="SEGURIDAD",OFFSET('PARÁMETROS'!$K$2,MATCH(U262,JC_SE,0),MATCH(T262,CC_SE,0)),
IF(OR(AA262="DSRC/Estratégico",AA262="DSRC/Operativo"),OFFSET('PARÁMETROS'!$K$11,MATCH(U262,JC_DS,0),MATCH(T262,CC_DS,0)),
IF(AA262="SALUD",OFFSET('PARÁMETROS'!$K$29,MATCH(U262,JC_SA,0),MATCH(T262,CC_SA,0)),
IF(AA262="MEDIO AMBIENTE",OFFSET('PARÁMETROS'!$K$20,MATCH(U262,JC_MA,0),MATCH(T262,CC_MA,0)),
IF(AA262="Rel. Gubernamentales",OFFSET('PARÁMETROS'!$K$48,MATCH(U262,JC_G,0),MATCH(T262,CC_G,0)),
IF(AA262="OPERACIONAL",OFFSET('PARÁMETROS'!$K$56,MATCH(U262,JC_OP,0),MATCH(T262,CC_OP,0)),
IF(AA262="FINANCIERO",OFFSET('PARÁMETROS'!$K$56,MATCH(U262,JC_FI,0),MATCH(T262,CC_FI,0)),
OFFSET('PARÁMETROS'!$K$38,MATCH(U262,JC_L,0),MATCH(T262,CC_L,0))))))))),"")</f>
        <v/>
      </c>
      <c r="W262" s="130"/>
      <c r="X262" s="135"/>
      <c r="Y262" s="136"/>
      <c r="Z262" s="30"/>
      <c r="AA262" s="31" t="str">
        <f>E251</f>
        <v/>
      </c>
    </row>
    <row r="263" ht="87.0" customHeight="1">
      <c r="A263" s="129"/>
      <c r="B263" s="130"/>
      <c r="C263" s="130"/>
      <c r="D263" s="130"/>
      <c r="E263" s="130"/>
      <c r="F263" s="130"/>
      <c r="G263" s="130"/>
      <c r="H263" s="130"/>
      <c r="I263" s="130"/>
      <c r="J263" s="130"/>
      <c r="K263" s="130"/>
      <c r="L263" s="130"/>
      <c r="M263" s="130"/>
      <c r="N263" s="130"/>
      <c r="O263" s="130"/>
      <c r="P263" s="132"/>
      <c r="Q263" s="134"/>
      <c r="R263" s="134"/>
      <c r="S263" s="134"/>
      <c r="T263" s="135"/>
      <c r="U263" s="135"/>
      <c r="V263" s="135" t="str">
        <f>IFERROR(IF(AA263="SEGURIDAD",OFFSET('PARÁMETROS'!$K$2,MATCH(U263,JC_SE,0),MATCH(T263,CC_SE,0)),
IF(OR(AA263="DSRC/Estratégico",AA263="DSRC/Operativo"),OFFSET('PARÁMETROS'!$K$11,MATCH(U263,JC_DS,0),MATCH(T263,CC_DS,0)),
IF(AA263="SALUD",OFFSET('PARÁMETROS'!$K$29,MATCH(U263,JC_SA,0),MATCH(T263,CC_SA,0)),
IF(AA263="MEDIO AMBIENTE",OFFSET('PARÁMETROS'!$K$20,MATCH(U263,JC_MA,0),MATCH(T263,CC_MA,0)),
IF(AA263="Rel. Gubernamentales",OFFSET('PARÁMETROS'!$K$48,MATCH(U263,JC_G,0),MATCH(T263,CC_G,0)),
IF(AA263="OPERACIONAL",OFFSET('PARÁMETROS'!$K$56,MATCH(U263,JC_OP,0),MATCH(T263,CC_OP,0)),
IF(AA263="FINANCIERO",OFFSET('PARÁMETROS'!$K$56,MATCH(U263,JC_FI,0),MATCH(T263,CC_FI,0)),
OFFSET('PARÁMETROS'!$K$38,MATCH(U263,JC_L,0),MATCH(T263,CC_L,0))))))))),"")</f>
        <v/>
      </c>
      <c r="W263" s="130"/>
      <c r="X263" s="135"/>
      <c r="Y263" s="136"/>
      <c r="Z263" s="30"/>
      <c r="AA263" s="31" t="str">
        <f>E251</f>
        <v/>
      </c>
    </row>
    <row r="264" ht="87.0" customHeight="1">
      <c r="A264" s="129"/>
      <c r="B264" s="130"/>
      <c r="C264" s="130"/>
      <c r="D264" s="130"/>
      <c r="E264" s="130"/>
      <c r="F264" s="130"/>
      <c r="G264" s="130"/>
      <c r="H264" s="130"/>
      <c r="I264" s="130"/>
      <c r="J264" s="130"/>
      <c r="K264" s="130"/>
      <c r="L264" s="130"/>
      <c r="M264" s="130"/>
      <c r="N264" s="130"/>
      <c r="O264" s="130"/>
      <c r="P264" s="132"/>
      <c r="Q264" s="134"/>
      <c r="R264" s="134"/>
      <c r="S264" s="134"/>
      <c r="T264" s="135"/>
      <c r="U264" s="135"/>
      <c r="V264" s="135" t="str">
        <f>IFERROR(IF(AA264="SEGURIDAD",OFFSET('PARÁMETROS'!$K$2,MATCH(U264,JC_SE,0),MATCH(T264,CC_SE,0)),
IF(OR(AA264="DSRC/Estratégico",AA264="DSRC/Operativo"),OFFSET('PARÁMETROS'!$K$11,MATCH(U264,JC_DS,0),MATCH(T264,CC_DS,0)),
IF(AA264="SALUD",OFFSET('PARÁMETROS'!$K$29,MATCH(U264,JC_SA,0),MATCH(T264,CC_SA,0)),
IF(AA264="MEDIO AMBIENTE",OFFSET('PARÁMETROS'!$K$20,MATCH(U264,JC_MA,0),MATCH(T264,CC_MA,0)),
IF(AA264="Rel. Gubernamentales",OFFSET('PARÁMETROS'!$K$48,MATCH(U264,JC_G,0),MATCH(T264,CC_G,0)),
IF(AA264="OPERACIONAL",OFFSET('PARÁMETROS'!$K$56,MATCH(U264,JC_OP,0),MATCH(T264,CC_OP,0)),
IF(AA264="FINANCIERO",OFFSET('PARÁMETROS'!$K$56,MATCH(U264,JC_FI,0),MATCH(T264,CC_FI,0)),
OFFSET('PARÁMETROS'!$K$38,MATCH(U264,JC_L,0),MATCH(T264,CC_L,0))))))))),"")</f>
        <v/>
      </c>
      <c r="W264" s="130"/>
      <c r="X264" s="135"/>
      <c r="Y264" s="136"/>
      <c r="Z264" s="30"/>
      <c r="AA264" s="31" t="str">
        <f>E251</f>
        <v/>
      </c>
    </row>
    <row r="265" ht="87.0" customHeight="1">
      <c r="A265" s="129"/>
      <c r="B265" s="130"/>
      <c r="C265" s="130"/>
      <c r="D265" s="130"/>
      <c r="E265" s="130"/>
      <c r="F265" s="130"/>
      <c r="G265" s="130"/>
      <c r="H265" s="130"/>
      <c r="I265" s="130"/>
      <c r="J265" s="130"/>
      <c r="K265" s="130"/>
      <c r="L265" s="130"/>
      <c r="M265" s="130"/>
      <c r="N265" s="130"/>
      <c r="O265" s="130"/>
      <c r="P265" s="132"/>
      <c r="Q265" s="134"/>
      <c r="R265" s="134"/>
      <c r="S265" s="134"/>
      <c r="T265" s="135"/>
      <c r="U265" s="135"/>
      <c r="V265" s="135" t="str">
        <f>IFERROR(IF(AA265="SEGURIDAD",OFFSET('PARÁMETROS'!$K$2,MATCH(U265,JC_SE,0),MATCH(T265,CC_SE,0)),
IF(OR(AA265="DSRC/Estratégico",AA265="DSRC/Operativo"),OFFSET('PARÁMETROS'!$K$11,MATCH(U265,JC_DS,0),MATCH(T265,CC_DS,0)),
IF(AA265="SALUD",OFFSET('PARÁMETROS'!$K$29,MATCH(U265,JC_SA,0),MATCH(T265,CC_SA,0)),
IF(AA265="MEDIO AMBIENTE",OFFSET('PARÁMETROS'!$K$20,MATCH(U265,JC_MA,0),MATCH(T265,CC_MA,0)),
IF(AA265="Rel. Gubernamentales",OFFSET('PARÁMETROS'!$K$48,MATCH(U265,JC_G,0),MATCH(T265,CC_G,0)),
IF(AA265="OPERACIONAL",OFFSET('PARÁMETROS'!$K$56,MATCH(U265,JC_OP,0),MATCH(T265,CC_OP,0)),
IF(AA265="FINANCIERO",OFFSET('PARÁMETROS'!$K$56,MATCH(U265,JC_FI,0),MATCH(T265,CC_FI,0)),
OFFSET('PARÁMETROS'!$K$38,MATCH(U265,JC_L,0),MATCH(T265,CC_L,0))))))))),"")</f>
        <v/>
      </c>
      <c r="W265" s="130"/>
      <c r="X265" s="135"/>
      <c r="Y265" s="136"/>
      <c r="Z265" s="30"/>
      <c r="AA265" s="31" t="str">
        <f>E251</f>
        <v/>
      </c>
    </row>
    <row r="266" ht="87.0" customHeight="1">
      <c r="A266" s="89"/>
      <c r="B266" s="90"/>
      <c r="C266" s="90"/>
      <c r="D266" s="157"/>
      <c r="E266" s="157"/>
      <c r="F266" s="157"/>
      <c r="G266" s="157"/>
      <c r="H266" s="157"/>
      <c r="I266" s="90"/>
      <c r="J266" s="90"/>
      <c r="K266" s="90"/>
      <c r="L266" s="90"/>
      <c r="M266" s="90"/>
      <c r="N266" s="90"/>
      <c r="O266" s="90"/>
      <c r="P266" s="132"/>
      <c r="Q266" s="134"/>
      <c r="R266" s="145"/>
      <c r="S266" s="145"/>
      <c r="T266" s="135"/>
      <c r="U266" s="135"/>
      <c r="V266" s="135" t="str">
        <f>IFERROR(IF(AA266="SEGURIDAD",OFFSET('PARÁMETROS'!$K$2,MATCH(U266,JC_SE,0),MATCH(T266,CC_SE,0)),
IF(OR(AA266="DSRC/Estratégico",AA266="DSRC/Operativo"),OFFSET('PARÁMETROS'!$K$11,MATCH(U266,JC_DS,0),MATCH(T266,CC_DS,0)),
IF(AA266="SALUD",OFFSET('PARÁMETROS'!$K$29,MATCH(U266,JC_SA,0),MATCH(T266,CC_SA,0)),
IF(AA266="MEDIO AMBIENTE",OFFSET('PARÁMETROS'!$K$20,MATCH(U266,JC_MA,0),MATCH(T266,CC_MA,0)),
IF(AA266="Rel. Gubernamentales",OFFSET('PARÁMETROS'!$K$48,MATCH(U266,JC_G,0),MATCH(T266,CC_G,0)),
IF(AA266="OPERACIONAL",OFFSET('PARÁMETROS'!$K$56,MATCH(U266,JC_OP,0),MATCH(T266,CC_OP,0)),
IF(AA266="FINANCIERO",OFFSET('PARÁMETROS'!$K$56,MATCH(U266,JC_FI,0),MATCH(T266,CC_FI,0)),
OFFSET('PARÁMETROS'!$K$38,MATCH(U266,JC_L,0),MATCH(T266,CC_L,0))))))))),"")</f>
        <v/>
      </c>
      <c r="W266" s="90"/>
      <c r="X266" s="135"/>
      <c r="Y266" s="136"/>
      <c r="Z266" s="30"/>
      <c r="AA266" s="31" t="str">
        <f>E251</f>
        <v/>
      </c>
    </row>
    <row r="267" ht="87.0" customHeight="1">
      <c r="A267" s="102"/>
      <c r="B267" s="103"/>
      <c r="C267" s="103"/>
      <c r="D267" s="103"/>
      <c r="E267" s="103"/>
      <c r="F267" s="103"/>
      <c r="G267" s="105"/>
      <c r="H267" s="103"/>
      <c r="I267" s="105"/>
      <c r="J267" s="103"/>
      <c r="K267" s="103"/>
      <c r="L267" s="103" t="str">
        <f>IF(OR(J267&lt;&gt;"",K267&lt;&gt;""),OFFSET('PARÁMETROS'!$B$2,K267,J267),"")</f>
        <v/>
      </c>
      <c r="M267" s="103"/>
      <c r="N267" s="103">
        <f>IFERROR(L267*M267,"")</f>
        <v>0</v>
      </c>
      <c r="O267" s="108" t="str">
        <f>IF(N267="","",IFERROR(IF(N267&lt;=2,"ACEPTABLE",IF(N267&lt;=6,"BAJA",IF(N267&lt;=10,"ACEPTABLE CON REVISIÓN",IF(N267&lt;=15,"SUSTANCIAL","INACEPTABLE")))),""))</f>
        <v>ACEPTABLE</v>
      </c>
      <c r="P267" s="113"/>
      <c r="Q267" s="114"/>
      <c r="R267" s="114"/>
      <c r="S267" s="114"/>
      <c r="T267" s="115"/>
      <c r="U267" s="115"/>
      <c r="V267" s="115" t="str">
        <f>IFERROR(IF(AA267="SEGURIDAD",OFFSET('PARÁMETROS'!$K$2,MATCH(U267,JC_SE,0),MATCH(T267,CC_SE,0)),
IF(OR(AA267="DSRC/Estratégico",AA267="DSRC/Operativo"),OFFSET('PARÁMETROS'!$K$11,MATCH(U267,JC_DS,0),MATCH(T267,CC_DS,0)),
IF(AA267="SALUD",OFFSET('PARÁMETROS'!$K$29,MATCH(U267,JC_SA,0),MATCH(T267,CC_SA,0)),
IF(AA267="MEDIO AMBIENTE",OFFSET('PARÁMETROS'!$K$20,MATCH(U267,JC_MA,0),MATCH(T267,CC_MA,0)),
IF(AA267="Rel. Gubernamentales",OFFSET('PARÁMETROS'!$K$48,MATCH(U267,JC_G,0),MATCH(T267,CC_G,0)),
IF(AA267="OPERACIONAL",OFFSET('PARÁMETROS'!$K$56,MATCH(U267,JC_OP,0),MATCH(T267,CC_OP,0)),
IF(AA267="FINANCIERO",OFFSET('PARÁMETROS'!$K$56,MATCH(U267,JC_FI,0),MATCH(T267,CC_FI,0)),
OFFSET('PARÁMETROS'!$K$38,MATCH(U267,JC_L,0),MATCH(T267,CC_L,0))))))))),"")</f>
        <v/>
      </c>
      <c r="W267" s="108" t="str">
        <f>IF(E267="","",
IF(COUNTA(V267:V282)-COUNTBLANK(V267:V282)=1,
IF(O267="INACEPTABLE",IF(COUNTIF(V267:V282,"Control/Acción Eficaz")&gt;=1,"SUSTANCIAL","INACEPTABLE"),
IF(O267="SUSTANCIAL",IF(COUNTIF(V267:V282,"Control/Acción Eficaz")&gt;=1,"ACEPTABLE CON REVISIÓN","SUSTANCIAL"),
IF(O267="ACEPTABLE CON REVISIÓN",IF(COUNTIF(V267:V282,"Control/Acción Eficaz")&gt;=1,"BAJA","ACEPTABLE CON REVISIÓN"),
IF(O267="BAJA",IF(COUNTIF(V267:V282,"Control/Acción Eficaz")&gt;=1,"ACEPTABLE","BAJA"),)))),
IF(COUNTA(V267:V282)-COUNTBLANK(V267:V282)=2,
IF(O267="INACEPTABLE",IF(COUNTIF(V267:V282,"Control/Acción Eficaz")=2,"ACEPTABLE CON REVISIÓN",
IF(OR(AND(COUNTIF(V267:V282,"Control/Acción Eficaz")=1,COUNTIF(V267:V282,"Control/Acción Satisfactorio")=1),
AND(COUNTIF(V267:V282,"Control/Acción Eficaz")=1,COUNTIF(V267:V282,"Control/Acción No Eficaz")=1)),"SUSTANCIAL","INACEPTABLE")),
IF(O267="SUSTANCIAL",IF(COUNTIF(V267:V282,"Control/Acción Eficaz")=2,"BAJA",
IF(OR(AND(COUNTIF(V267:V282,"Control/Acción Eficaz")=1,COUNTIF(V267:V282,"Control/Acción Satisfactorio")=1),
AND(COUNTIF(V267:V282,"Control/Acción Eficaz")=1,COUNTIF(V267:V282,"Control/Acción No Eficaz")=1)),"ACEPTABLE CON REVISIÓN ","SUSTANCIAL")),
IF(O267="ACEPTABLE CON REVISIÓN",IF(COUNTIF(V267:V282,"Control/Acción Eficaz")=2,"ACEPTABLE",
IF(OR(AND(COUNTIF(V267:V282,"Control/Acción Eficaz")=1,COUNTIF(V267:V282,"Control/Acción Satisfactorio")=1),
AND(COUNTIF(V267:V282,"Control/Acción Eficaz")=1,COUNTIF(V267:V282,"Control/Acción No Eficaz")=1)),"BAJA","ACEPTABLE CON REVISIÓN")),
IF(O267="BAJA",IF(COUNTIF(V267:V282,"Control/Acción Eficaz")&gt;=2,"ACEPTABLE","BAJA"),)))),
IF(COUNTA(V267:V282)-COUNTBLANK(V267:V282)&gt;=3,
IF(O267="INACEPTABLE",
IF(COUNTBLANK(V267:V282)=COUNTA(V267:V282),"",
IF(COUNTIF(V267:V282,"Control/Acción No Eficaz")&gt;=2,"INACEPTABLE",
IF(AND(COUNTIF(V267:V282,"Control/Acción No Eficaz")=0,COUNTIF(V267:V282,"Control/Acción Eficaz")&gt;=2),"ACEPTABLE CON REVISIÓN ","SUSTANCIAL"))),
IF(O267="SUSTANCIAL",
IF(COUNTBLANK(V267:V282)=COUNTA(V267:V282),"",
IF(COUNTIF(V267:V282,"Control/Acción No Eficaz")&gt;=2,"SUSTANCIAL",
IF(AND(COUNTIF(V267:V282,"Control/Acción No Eficaz")=0,COUNTIF(V267:V282,"Control/Acción Eficaz")&gt;=2),"BAJA","ACEPTABLE CON REVISIÓN"))),
IF(O267="ACEPTABLE CON REVISIÓN",
IF(COUNTBLANK(V267:V282)=COUNTA(V267:V282),"",
IF(COUNTIF(V267:V282,"Control/Acción No Eficaz")&gt;=2,"ACEPTABLE CON REVISIÓN",
IF(AND(COUNTIF(V267:V282,"Control/Acción No Eficaz")=0,COUNTIF(V267:V282,"Control/Acción Eficaz")&gt;=2),"ACEPTABLE","BAJA"))),
IF(O267="BAJA",
IF(COUNTBLANK(V267:V282)=COUNTA(V267:V282),"",
IF(AND(COUNTBLANK(V267:V282)&lt;1,COUNTA(V267:V282)=1),
IF(COUNTIF(V267:V282,"Control/Acción No Eficaz")&gt;=2,"BAJA",
IF(AND(COUNTIF(V267:V282,"Control/Acción No Eficaz")=0,COUNTIF(V267:V282,"Control/Acción Eficaz")&gt;=2),"ACEPTABLE","BAJA")),
IF(COUNTIF(V267:V282,"Control/Acción No Eficaz")&gt;=2,"BAJA",
IF(AND(COUNTIF(V267:V282,"Control/Acción No Eficaz")=0,COUNTIF(V267:V282,"Control/Acción Eficaz")&gt;=2),"ACEPTABLE","BAJA")))),
IF(COUNTIF(V267:V282,"")&gt;=5,"",O267))))),
""))))</f>
        <v/>
      </c>
      <c r="X267" s="115"/>
      <c r="Y267" s="128"/>
      <c r="Z267" s="30"/>
      <c r="AA267" s="31" t="str">
        <f>E267</f>
        <v/>
      </c>
    </row>
    <row r="268" ht="87.0" customHeight="1">
      <c r="A268" s="129"/>
      <c r="B268" s="130"/>
      <c r="C268" s="130"/>
      <c r="D268" s="130"/>
      <c r="E268" s="130"/>
      <c r="F268" s="130"/>
      <c r="G268" s="130"/>
      <c r="H268" s="130"/>
      <c r="I268" s="130"/>
      <c r="J268" s="130"/>
      <c r="K268" s="130"/>
      <c r="L268" s="130"/>
      <c r="M268" s="130"/>
      <c r="N268" s="130"/>
      <c r="O268" s="130"/>
      <c r="P268" s="132"/>
      <c r="Q268" s="134"/>
      <c r="R268" s="134"/>
      <c r="S268" s="134"/>
      <c r="T268" s="135"/>
      <c r="U268" s="135"/>
      <c r="V268" s="135" t="str">
        <f>IFERROR(IF(AA268="SEGURIDAD",OFFSET('PARÁMETROS'!$K$2,MATCH(U268,JC_SE,0),MATCH(T268,CC_SE,0)),
IF(OR(AA268="DSRC/Estratégico",AA268="DSRC/Operativo"),OFFSET('PARÁMETROS'!$K$11,MATCH(U268,JC_DS,0),MATCH(T268,CC_DS,0)),
IF(AA268="SALUD",OFFSET('PARÁMETROS'!$K$29,MATCH(U268,JC_SA,0),MATCH(T268,CC_SA,0)),
IF(AA268="MEDIO AMBIENTE",OFFSET('PARÁMETROS'!$K$20,MATCH(U268,JC_MA,0),MATCH(T268,CC_MA,0)),
IF(AA268="Rel. Gubernamentales",OFFSET('PARÁMETROS'!$K$48,MATCH(U268,JC_G,0),MATCH(T268,CC_G,0)),
IF(AA268="OPERACIONAL",OFFSET('PARÁMETROS'!$K$56,MATCH(U268,JC_OP,0),MATCH(T268,CC_OP,0)),
IF(AA268="FINANCIERO",OFFSET('PARÁMETROS'!$K$56,MATCH(U268,JC_FI,0),MATCH(T268,CC_FI,0)),
OFFSET('PARÁMETROS'!$K$38,MATCH(U268,JC_L,0),MATCH(T268,CC_L,0))))))))),"")</f>
        <v/>
      </c>
      <c r="W268" s="130"/>
      <c r="X268" s="135"/>
      <c r="Y268" s="136"/>
      <c r="Z268" s="30"/>
      <c r="AA268" s="31" t="str">
        <f>E267</f>
        <v/>
      </c>
    </row>
    <row r="269" ht="87.0" customHeight="1">
      <c r="A269" s="129"/>
      <c r="B269" s="130"/>
      <c r="C269" s="130"/>
      <c r="D269" s="130"/>
      <c r="E269" s="130"/>
      <c r="F269" s="130"/>
      <c r="G269" s="130"/>
      <c r="H269" s="130"/>
      <c r="I269" s="130"/>
      <c r="J269" s="130"/>
      <c r="K269" s="130"/>
      <c r="L269" s="130"/>
      <c r="M269" s="130"/>
      <c r="N269" s="130"/>
      <c r="O269" s="130"/>
      <c r="P269" s="132"/>
      <c r="Q269" s="134"/>
      <c r="R269" s="134"/>
      <c r="S269" s="134"/>
      <c r="T269" s="135"/>
      <c r="U269" s="135"/>
      <c r="V269" s="135" t="str">
        <f>IFERROR(IF(AA269="SEGURIDAD",OFFSET('PARÁMETROS'!$K$2,MATCH(U269,JC_SE,0),MATCH(T269,CC_SE,0)),
IF(OR(AA269="DSRC/Estratégico",AA269="DSRC/Operativo"),OFFSET('PARÁMETROS'!$K$11,MATCH(U269,JC_DS,0),MATCH(T269,CC_DS,0)),
IF(AA269="SALUD",OFFSET('PARÁMETROS'!$K$29,MATCH(U269,JC_SA,0),MATCH(T269,CC_SA,0)),
IF(AA269="MEDIO AMBIENTE",OFFSET('PARÁMETROS'!$K$20,MATCH(U269,JC_MA,0),MATCH(T269,CC_MA,0)),
IF(AA269="Rel. Gubernamentales",OFFSET('PARÁMETROS'!$K$48,MATCH(U269,JC_G,0),MATCH(T269,CC_G,0)),
IF(AA269="OPERACIONAL",OFFSET('PARÁMETROS'!$K$56,MATCH(U269,JC_OP,0),MATCH(T269,CC_OP,0)),
IF(AA269="FINANCIERO",OFFSET('PARÁMETROS'!$K$56,MATCH(U269,JC_FI,0),MATCH(T269,CC_FI,0)),
OFFSET('PARÁMETROS'!$K$38,MATCH(U269,JC_L,0),MATCH(T269,CC_L,0))))))))),"")</f>
        <v/>
      </c>
      <c r="W269" s="130"/>
      <c r="X269" s="135"/>
      <c r="Y269" s="136"/>
      <c r="Z269" s="30"/>
      <c r="AA269" s="31" t="str">
        <f>E267</f>
        <v/>
      </c>
    </row>
    <row r="270" ht="87.0" customHeight="1">
      <c r="A270" s="129"/>
      <c r="B270" s="130"/>
      <c r="C270" s="130"/>
      <c r="D270" s="130"/>
      <c r="E270" s="130"/>
      <c r="F270" s="130"/>
      <c r="G270" s="130"/>
      <c r="H270" s="130"/>
      <c r="I270" s="130"/>
      <c r="J270" s="130"/>
      <c r="K270" s="130"/>
      <c r="L270" s="130"/>
      <c r="M270" s="130"/>
      <c r="N270" s="130"/>
      <c r="O270" s="130"/>
      <c r="P270" s="132"/>
      <c r="Q270" s="134"/>
      <c r="R270" s="134"/>
      <c r="S270" s="134"/>
      <c r="T270" s="135"/>
      <c r="U270" s="135"/>
      <c r="V270" s="135" t="str">
        <f>IFERROR(IF(AA270="SEGURIDAD",OFFSET('PARÁMETROS'!$K$2,MATCH(U270,JC_SE,0),MATCH(T270,CC_SE,0)),
IF(OR(AA270="DSRC/Estratégico",AA270="DSRC/Operativo"),OFFSET('PARÁMETROS'!$K$11,MATCH(U270,JC_DS,0),MATCH(T270,CC_DS,0)),
IF(AA270="SALUD",OFFSET('PARÁMETROS'!$K$29,MATCH(U270,JC_SA,0),MATCH(T270,CC_SA,0)),
IF(AA270="MEDIO AMBIENTE",OFFSET('PARÁMETROS'!$K$20,MATCH(U270,JC_MA,0),MATCH(T270,CC_MA,0)),
IF(AA270="Rel. Gubernamentales",OFFSET('PARÁMETROS'!$K$48,MATCH(U270,JC_G,0),MATCH(T270,CC_G,0)),
IF(AA270="OPERACIONAL",OFFSET('PARÁMETROS'!$K$56,MATCH(U270,JC_OP,0),MATCH(T270,CC_OP,0)),
IF(AA270="FINANCIERO",OFFSET('PARÁMETROS'!$K$56,MATCH(U270,JC_FI,0),MATCH(T270,CC_FI,0)),
OFFSET('PARÁMETROS'!$K$38,MATCH(U270,JC_L,0),MATCH(T270,CC_L,0))))))))),"")</f>
        <v/>
      </c>
      <c r="W270" s="130"/>
      <c r="X270" s="135"/>
      <c r="Y270" s="136"/>
      <c r="Z270" s="30"/>
      <c r="AA270" s="31" t="str">
        <f>E267</f>
        <v/>
      </c>
    </row>
    <row r="271" ht="87.0" customHeight="1">
      <c r="A271" s="129"/>
      <c r="B271" s="130"/>
      <c r="C271" s="130"/>
      <c r="D271" s="130"/>
      <c r="E271" s="130"/>
      <c r="F271" s="130"/>
      <c r="G271" s="130"/>
      <c r="H271" s="130"/>
      <c r="I271" s="130"/>
      <c r="J271" s="130"/>
      <c r="K271" s="130"/>
      <c r="L271" s="130"/>
      <c r="M271" s="130"/>
      <c r="N271" s="130"/>
      <c r="O271" s="130"/>
      <c r="P271" s="132"/>
      <c r="Q271" s="134"/>
      <c r="R271" s="134"/>
      <c r="S271" s="134"/>
      <c r="T271" s="135"/>
      <c r="U271" s="135"/>
      <c r="V271" s="135" t="str">
        <f>IFERROR(IF(AA271="SEGURIDAD",OFFSET('PARÁMETROS'!$K$2,MATCH(U271,JC_SE,0),MATCH(T271,CC_SE,0)),
IF(OR(AA271="DSRC/Estratégico",AA271="DSRC/Operativo"),OFFSET('PARÁMETROS'!$K$11,MATCH(U271,JC_DS,0),MATCH(T271,CC_DS,0)),
IF(AA271="SALUD",OFFSET('PARÁMETROS'!$K$29,MATCH(U271,JC_SA,0),MATCH(T271,CC_SA,0)),
IF(AA271="MEDIO AMBIENTE",OFFSET('PARÁMETROS'!$K$20,MATCH(U271,JC_MA,0),MATCH(T271,CC_MA,0)),
IF(AA271="Rel. Gubernamentales",OFFSET('PARÁMETROS'!$K$48,MATCH(U271,JC_G,0),MATCH(T271,CC_G,0)),
IF(AA271="OPERACIONAL",OFFSET('PARÁMETROS'!$K$56,MATCH(U271,JC_OP,0),MATCH(T271,CC_OP,0)),
IF(AA271="FINANCIERO",OFFSET('PARÁMETROS'!$K$56,MATCH(U271,JC_FI,0),MATCH(T271,CC_FI,0)),
OFFSET('PARÁMETROS'!$K$38,MATCH(U271,JC_L,0),MATCH(T271,CC_L,0))))))))),"")</f>
        <v/>
      </c>
      <c r="W271" s="130"/>
      <c r="X271" s="135"/>
      <c r="Y271" s="136"/>
      <c r="Z271" s="30"/>
      <c r="AA271" s="31" t="str">
        <f>E267</f>
        <v/>
      </c>
    </row>
    <row r="272" ht="87.0" customHeight="1">
      <c r="A272" s="129"/>
      <c r="B272" s="130"/>
      <c r="C272" s="130"/>
      <c r="D272" s="130"/>
      <c r="E272" s="130"/>
      <c r="F272" s="130"/>
      <c r="G272" s="130"/>
      <c r="H272" s="130"/>
      <c r="I272" s="130"/>
      <c r="J272" s="130"/>
      <c r="K272" s="130"/>
      <c r="L272" s="130"/>
      <c r="M272" s="130"/>
      <c r="N272" s="130"/>
      <c r="O272" s="130"/>
      <c r="P272" s="132"/>
      <c r="Q272" s="134"/>
      <c r="R272" s="134"/>
      <c r="S272" s="134"/>
      <c r="T272" s="135"/>
      <c r="U272" s="135"/>
      <c r="V272" s="135" t="str">
        <f>IFERROR(IF(AA272="SEGURIDAD",OFFSET('PARÁMETROS'!$K$2,MATCH(U272,JC_SE,0),MATCH(T272,CC_SE,0)),
IF(OR(AA272="DSRC/Estratégico",AA272="DSRC/Operativo"),OFFSET('PARÁMETROS'!$K$11,MATCH(U272,JC_DS,0),MATCH(T272,CC_DS,0)),
IF(AA272="SALUD",OFFSET('PARÁMETROS'!$K$29,MATCH(U272,JC_SA,0),MATCH(T272,CC_SA,0)),
IF(AA272="MEDIO AMBIENTE",OFFSET('PARÁMETROS'!$K$20,MATCH(U272,JC_MA,0),MATCH(T272,CC_MA,0)),
IF(AA272="Rel. Gubernamentales",OFFSET('PARÁMETROS'!$K$48,MATCH(U272,JC_G,0),MATCH(T272,CC_G,0)),
IF(AA272="OPERACIONAL",OFFSET('PARÁMETROS'!$K$56,MATCH(U272,JC_OP,0),MATCH(T272,CC_OP,0)),
IF(AA272="FINANCIERO",OFFSET('PARÁMETROS'!$K$56,MATCH(U272,JC_FI,0),MATCH(T272,CC_FI,0)),
OFFSET('PARÁMETROS'!$K$38,MATCH(U272,JC_L,0),MATCH(T272,CC_L,0))))))))),"")</f>
        <v/>
      </c>
      <c r="W272" s="130"/>
      <c r="X272" s="135"/>
      <c r="Y272" s="136"/>
      <c r="Z272" s="30"/>
      <c r="AA272" s="31" t="str">
        <f>E267</f>
        <v/>
      </c>
    </row>
    <row r="273" ht="87.0" customHeight="1">
      <c r="A273" s="129"/>
      <c r="B273" s="130"/>
      <c r="C273" s="130"/>
      <c r="D273" s="130"/>
      <c r="E273" s="130"/>
      <c r="F273" s="130"/>
      <c r="G273" s="130"/>
      <c r="H273" s="130"/>
      <c r="I273" s="130"/>
      <c r="J273" s="130"/>
      <c r="K273" s="130"/>
      <c r="L273" s="130"/>
      <c r="M273" s="130"/>
      <c r="N273" s="130"/>
      <c r="O273" s="130"/>
      <c r="P273" s="132"/>
      <c r="Q273" s="134"/>
      <c r="R273" s="134"/>
      <c r="S273" s="134"/>
      <c r="T273" s="135"/>
      <c r="U273" s="135"/>
      <c r="V273" s="135" t="str">
        <f>IFERROR(IF(AA273="SEGURIDAD",OFFSET('PARÁMETROS'!$K$2,MATCH(U273,JC_SE,0),MATCH(T273,CC_SE,0)),
IF(OR(AA273="DSRC/Estratégico",AA273="DSRC/Operativo"),OFFSET('PARÁMETROS'!$K$11,MATCH(U273,JC_DS,0),MATCH(T273,CC_DS,0)),
IF(AA273="SALUD",OFFSET('PARÁMETROS'!$K$29,MATCH(U273,JC_SA,0),MATCH(T273,CC_SA,0)),
IF(AA273="MEDIO AMBIENTE",OFFSET('PARÁMETROS'!$K$20,MATCH(U273,JC_MA,0),MATCH(T273,CC_MA,0)),
IF(AA273="Rel. Gubernamentales",OFFSET('PARÁMETROS'!$K$48,MATCH(U273,JC_G,0),MATCH(T273,CC_G,0)),
IF(AA273="OPERACIONAL",OFFSET('PARÁMETROS'!$K$56,MATCH(U273,JC_OP,0),MATCH(T273,CC_OP,0)),
IF(AA273="FINANCIERO",OFFSET('PARÁMETROS'!$K$56,MATCH(U273,JC_FI,0),MATCH(T273,CC_FI,0)),
OFFSET('PARÁMETROS'!$K$38,MATCH(U273,JC_L,0),MATCH(T273,CC_L,0))))))))),"")</f>
        <v/>
      </c>
      <c r="W273" s="130"/>
      <c r="X273" s="135"/>
      <c r="Y273" s="136"/>
      <c r="Z273" s="30"/>
      <c r="AA273" s="31" t="str">
        <f>E267</f>
        <v/>
      </c>
    </row>
    <row r="274" ht="87.0" customHeight="1">
      <c r="A274" s="129"/>
      <c r="B274" s="130"/>
      <c r="C274" s="130"/>
      <c r="D274" s="130"/>
      <c r="E274" s="130"/>
      <c r="F274" s="130"/>
      <c r="G274" s="130"/>
      <c r="H274" s="130"/>
      <c r="I274" s="130"/>
      <c r="J274" s="130"/>
      <c r="K274" s="130"/>
      <c r="L274" s="130"/>
      <c r="M274" s="130"/>
      <c r="N274" s="130"/>
      <c r="O274" s="130"/>
      <c r="P274" s="132"/>
      <c r="Q274" s="134"/>
      <c r="R274" s="134"/>
      <c r="S274" s="134"/>
      <c r="T274" s="135"/>
      <c r="U274" s="135"/>
      <c r="V274" s="135" t="str">
        <f>IFERROR(IF(AA274="SEGURIDAD",OFFSET('PARÁMETROS'!$K$2,MATCH(U274,JC_SE,0),MATCH(T274,CC_SE,0)),
IF(OR(AA274="DSRC/Estratégico",AA274="DSRC/Operativo"),OFFSET('PARÁMETROS'!$K$11,MATCH(U274,JC_DS,0),MATCH(T274,CC_DS,0)),
IF(AA274="SALUD",OFFSET('PARÁMETROS'!$K$29,MATCH(U274,JC_SA,0),MATCH(T274,CC_SA,0)),
IF(AA274="MEDIO AMBIENTE",OFFSET('PARÁMETROS'!$K$20,MATCH(U274,JC_MA,0),MATCH(T274,CC_MA,0)),
IF(AA274="Rel. Gubernamentales",OFFSET('PARÁMETROS'!$K$48,MATCH(U274,JC_G,0),MATCH(T274,CC_G,0)),
IF(AA274="OPERACIONAL",OFFSET('PARÁMETROS'!$K$56,MATCH(U274,JC_OP,0),MATCH(T274,CC_OP,0)),
IF(AA274="FINANCIERO",OFFSET('PARÁMETROS'!$K$56,MATCH(U274,JC_FI,0),MATCH(T274,CC_FI,0)),
OFFSET('PARÁMETROS'!$K$38,MATCH(U274,JC_L,0),MATCH(T274,CC_L,0))))))))),"")</f>
        <v/>
      </c>
      <c r="W274" s="130"/>
      <c r="X274" s="135"/>
      <c r="Y274" s="136"/>
      <c r="Z274" s="30"/>
      <c r="AA274" s="31" t="str">
        <f>E267</f>
        <v/>
      </c>
    </row>
    <row r="275" ht="87.0" customHeight="1">
      <c r="A275" s="129"/>
      <c r="B275" s="130"/>
      <c r="C275" s="130"/>
      <c r="D275" s="130"/>
      <c r="E275" s="130"/>
      <c r="F275" s="130"/>
      <c r="G275" s="130"/>
      <c r="H275" s="130"/>
      <c r="I275" s="130"/>
      <c r="J275" s="130"/>
      <c r="K275" s="130"/>
      <c r="L275" s="130"/>
      <c r="M275" s="130"/>
      <c r="N275" s="130"/>
      <c r="O275" s="130"/>
      <c r="P275" s="132"/>
      <c r="Q275" s="134"/>
      <c r="R275" s="134"/>
      <c r="S275" s="134"/>
      <c r="T275" s="135"/>
      <c r="U275" s="135"/>
      <c r="V275" s="135" t="str">
        <f>IFERROR(IF(AA275="SEGURIDAD",OFFSET('PARÁMETROS'!$K$2,MATCH(U275,JC_SE,0),MATCH(T275,CC_SE,0)),
IF(OR(AA275="DSRC/Estratégico",AA275="DSRC/Operativo"),OFFSET('PARÁMETROS'!$K$11,MATCH(U275,JC_DS,0),MATCH(T275,CC_DS,0)),
IF(AA275="SALUD",OFFSET('PARÁMETROS'!$K$29,MATCH(U275,JC_SA,0),MATCH(T275,CC_SA,0)),
IF(AA275="MEDIO AMBIENTE",OFFSET('PARÁMETROS'!$K$20,MATCH(U275,JC_MA,0),MATCH(T275,CC_MA,0)),
IF(AA275="Rel. Gubernamentales",OFFSET('PARÁMETROS'!$K$48,MATCH(U275,JC_G,0),MATCH(T275,CC_G,0)),
IF(AA275="OPERACIONAL",OFFSET('PARÁMETROS'!$K$56,MATCH(U275,JC_OP,0),MATCH(T275,CC_OP,0)),
IF(AA275="FINANCIERO",OFFSET('PARÁMETROS'!$K$56,MATCH(U275,JC_FI,0),MATCH(T275,CC_FI,0)),
OFFSET('PARÁMETROS'!$K$38,MATCH(U275,JC_L,0),MATCH(T275,CC_L,0))))))))),"")</f>
        <v/>
      </c>
      <c r="W275" s="130"/>
      <c r="X275" s="135"/>
      <c r="Y275" s="136"/>
      <c r="Z275" s="30"/>
      <c r="AA275" s="31" t="str">
        <f>E267</f>
        <v/>
      </c>
    </row>
    <row r="276" ht="87.0" customHeight="1">
      <c r="A276" s="129"/>
      <c r="B276" s="130"/>
      <c r="C276" s="130"/>
      <c r="D276" s="130"/>
      <c r="E276" s="130"/>
      <c r="F276" s="130"/>
      <c r="G276" s="130"/>
      <c r="H276" s="130"/>
      <c r="I276" s="130"/>
      <c r="J276" s="130"/>
      <c r="K276" s="130"/>
      <c r="L276" s="130"/>
      <c r="M276" s="130"/>
      <c r="N276" s="130"/>
      <c r="O276" s="130"/>
      <c r="P276" s="132"/>
      <c r="Q276" s="134"/>
      <c r="R276" s="134"/>
      <c r="S276" s="134"/>
      <c r="T276" s="135"/>
      <c r="U276" s="135"/>
      <c r="V276" s="135" t="str">
        <f>IFERROR(IF(AA276="SEGURIDAD",OFFSET('PARÁMETROS'!$K$2,MATCH(U276,JC_SE,0),MATCH(T276,CC_SE,0)),
IF(OR(AA276="DSRC/Estratégico",AA276="DSRC/Operativo"),OFFSET('PARÁMETROS'!$K$11,MATCH(U276,JC_DS,0),MATCH(T276,CC_DS,0)),
IF(AA276="SALUD",OFFSET('PARÁMETROS'!$K$29,MATCH(U276,JC_SA,0),MATCH(T276,CC_SA,0)),
IF(AA276="MEDIO AMBIENTE",OFFSET('PARÁMETROS'!$K$20,MATCH(U276,JC_MA,0),MATCH(T276,CC_MA,0)),
IF(AA276="Rel. Gubernamentales",OFFSET('PARÁMETROS'!$K$48,MATCH(U276,JC_G,0),MATCH(T276,CC_G,0)),
IF(AA276="OPERACIONAL",OFFSET('PARÁMETROS'!$K$56,MATCH(U276,JC_OP,0),MATCH(T276,CC_OP,0)),
IF(AA276="FINANCIERO",OFFSET('PARÁMETROS'!$K$56,MATCH(U276,JC_FI,0),MATCH(T276,CC_FI,0)),
OFFSET('PARÁMETROS'!$K$38,MATCH(U276,JC_L,0),MATCH(T276,CC_L,0))))))))),"")</f>
        <v/>
      </c>
      <c r="W276" s="130"/>
      <c r="X276" s="135"/>
      <c r="Y276" s="136"/>
      <c r="Z276" s="30"/>
      <c r="AA276" s="31" t="str">
        <f>E267</f>
        <v/>
      </c>
    </row>
    <row r="277" ht="87.0" customHeight="1">
      <c r="A277" s="129"/>
      <c r="B277" s="130"/>
      <c r="C277" s="130"/>
      <c r="D277" s="130"/>
      <c r="E277" s="130"/>
      <c r="F277" s="130"/>
      <c r="G277" s="130"/>
      <c r="H277" s="130"/>
      <c r="I277" s="130"/>
      <c r="J277" s="130"/>
      <c r="K277" s="130"/>
      <c r="L277" s="130"/>
      <c r="M277" s="130"/>
      <c r="N277" s="130"/>
      <c r="O277" s="130"/>
      <c r="P277" s="132"/>
      <c r="Q277" s="134"/>
      <c r="R277" s="134"/>
      <c r="S277" s="134"/>
      <c r="T277" s="135"/>
      <c r="U277" s="135"/>
      <c r="V277" s="135" t="str">
        <f>IFERROR(IF(AA277="SEGURIDAD",OFFSET('PARÁMETROS'!$K$2,MATCH(U277,JC_SE,0),MATCH(T277,CC_SE,0)),
IF(OR(AA277="DSRC/Estratégico",AA277="DSRC/Operativo"),OFFSET('PARÁMETROS'!$K$11,MATCH(U277,JC_DS,0),MATCH(T277,CC_DS,0)),
IF(AA277="SALUD",OFFSET('PARÁMETROS'!$K$29,MATCH(U277,JC_SA,0),MATCH(T277,CC_SA,0)),
IF(AA277="MEDIO AMBIENTE",OFFSET('PARÁMETROS'!$K$20,MATCH(U277,JC_MA,0),MATCH(T277,CC_MA,0)),
IF(AA277="Rel. Gubernamentales",OFFSET('PARÁMETROS'!$K$48,MATCH(U277,JC_G,0),MATCH(T277,CC_G,0)),
IF(AA277="OPERACIONAL",OFFSET('PARÁMETROS'!$K$56,MATCH(U277,JC_OP,0),MATCH(T277,CC_OP,0)),
IF(AA277="FINANCIERO",OFFSET('PARÁMETROS'!$K$56,MATCH(U277,JC_FI,0),MATCH(T277,CC_FI,0)),
OFFSET('PARÁMETROS'!$K$38,MATCH(U277,JC_L,0),MATCH(T277,CC_L,0))))))))),"")</f>
        <v/>
      </c>
      <c r="W277" s="130"/>
      <c r="X277" s="135"/>
      <c r="Y277" s="136"/>
      <c r="Z277" s="30"/>
      <c r="AA277" s="31" t="str">
        <f>E267</f>
        <v/>
      </c>
    </row>
    <row r="278" ht="87.0" customHeight="1">
      <c r="A278" s="129"/>
      <c r="B278" s="130"/>
      <c r="C278" s="130"/>
      <c r="D278" s="130"/>
      <c r="E278" s="130"/>
      <c r="F278" s="130"/>
      <c r="G278" s="130"/>
      <c r="H278" s="130"/>
      <c r="I278" s="130"/>
      <c r="J278" s="130"/>
      <c r="K278" s="130"/>
      <c r="L278" s="130"/>
      <c r="M278" s="130"/>
      <c r="N278" s="130"/>
      <c r="O278" s="130"/>
      <c r="P278" s="132"/>
      <c r="Q278" s="134"/>
      <c r="R278" s="134"/>
      <c r="S278" s="134"/>
      <c r="T278" s="135"/>
      <c r="U278" s="135"/>
      <c r="V278" s="135" t="str">
        <f>IFERROR(IF(AA278="SEGURIDAD",OFFSET('PARÁMETROS'!$K$2,MATCH(U278,JC_SE,0),MATCH(T278,CC_SE,0)),
IF(OR(AA278="DSRC/Estratégico",AA278="DSRC/Operativo"),OFFSET('PARÁMETROS'!$K$11,MATCH(U278,JC_DS,0),MATCH(T278,CC_DS,0)),
IF(AA278="SALUD",OFFSET('PARÁMETROS'!$K$29,MATCH(U278,JC_SA,0),MATCH(T278,CC_SA,0)),
IF(AA278="MEDIO AMBIENTE",OFFSET('PARÁMETROS'!$K$20,MATCH(U278,JC_MA,0),MATCH(T278,CC_MA,0)),
IF(AA278="Rel. Gubernamentales",OFFSET('PARÁMETROS'!$K$48,MATCH(U278,JC_G,0),MATCH(T278,CC_G,0)),
IF(AA278="OPERACIONAL",OFFSET('PARÁMETROS'!$K$56,MATCH(U278,JC_OP,0),MATCH(T278,CC_OP,0)),
IF(AA278="FINANCIERO",OFFSET('PARÁMETROS'!$K$56,MATCH(U278,JC_FI,0),MATCH(T278,CC_FI,0)),
OFFSET('PARÁMETROS'!$K$38,MATCH(U278,JC_L,0),MATCH(T278,CC_L,0))))))))),"")</f>
        <v/>
      </c>
      <c r="W278" s="130"/>
      <c r="X278" s="135"/>
      <c r="Y278" s="136"/>
      <c r="Z278" s="30"/>
      <c r="AA278" s="31" t="str">
        <f>E267</f>
        <v/>
      </c>
    </row>
    <row r="279" ht="87.0" customHeight="1">
      <c r="A279" s="129"/>
      <c r="B279" s="130"/>
      <c r="C279" s="130"/>
      <c r="D279" s="130"/>
      <c r="E279" s="130"/>
      <c r="F279" s="130"/>
      <c r="G279" s="130"/>
      <c r="H279" s="130"/>
      <c r="I279" s="130"/>
      <c r="J279" s="130"/>
      <c r="K279" s="130"/>
      <c r="L279" s="130"/>
      <c r="M279" s="130"/>
      <c r="N279" s="130"/>
      <c r="O279" s="130"/>
      <c r="P279" s="132"/>
      <c r="Q279" s="134"/>
      <c r="R279" s="134"/>
      <c r="S279" s="134"/>
      <c r="T279" s="135"/>
      <c r="U279" s="135"/>
      <c r="V279" s="135" t="str">
        <f>IFERROR(IF(AA279="SEGURIDAD",OFFSET('PARÁMETROS'!$K$2,MATCH(U279,JC_SE,0),MATCH(T279,CC_SE,0)),
IF(OR(AA279="DSRC/Estratégico",AA279="DSRC/Operativo"),OFFSET('PARÁMETROS'!$K$11,MATCH(U279,JC_DS,0),MATCH(T279,CC_DS,0)),
IF(AA279="SALUD",OFFSET('PARÁMETROS'!$K$29,MATCH(U279,JC_SA,0),MATCH(T279,CC_SA,0)),
IF(AA279="MEDIO AMBIENTE",OFFSET('PARÁMETROS'!$K$20,MATCH(U279,JC_MA,0),MATCH(T279,CC_MA,0)),
IF(AA279="Rel. Gubernamentales",OFFSET('PARÁMETROS'!$K$48,MATCH(U279,JC_G,0),MATCH(T279,CC_G,0)),
IF(AA279="OPERACIONAL",OFFSET('PARÁMETROS'!$K$56,MATCH(U279,JC_OP,0),MATCH(T279,CC_OP,0)),
IF(AA279="FINANCIERO",OFFSET('PARÁMETROS'!$K$56,MATCH(U279,JC_FI,0),MATCH(T279,CC_FI,0)),
OFFSET('PARÁMETROS'!$K$38,MATCH(U279,JC_L,0),MATCH(T279,CC_L,0))))))))),"")</f>
        <v/>
      </c>
      <c r="W279" s="130"/>
      <c r="X279" s="135"/>
      <c r="Y279" s="136"/>
      <c r="Z279" s="30"/>
      <c r="AA279" s="31" t="str">
        <f>E267</f>
        <v/>
      </c>
    </row>
    <row r="280" ht="87.0" customHeight="1">
      <c r="A280" s="129"/>
      <c r="B280" s="130"/>
      <c r="C280" s="130"/>
      <c r="D280" s="130"/>
      <c r="E280" s="130"/>
      <c r="F280" s="130"/>
      <c r="G280" s="130"/>
      <c r="H280" s="130"/>
      <c r="I280" s="130"/>
      <c r="J280" s="130"/>
      <c r="K280" s="130"/>
      <c r="L280" s="130"/>
      <c r="M280" s="130"/>
      <c r="N280" s="130"/>
      <c r="O280" s="130"/>
      <c r="P280" s="132"/>
      <c r="Q280" s="134"/>
      <c r="R280" s="134"/>
      <c r="S280" s="134"/>
      <c r="T280" s="135"/>
      <c r="U280" s="135"/>
      <c r="V280" s="135" t="str">
        <f>IFERROR(IF(AA280="SEGURIDAD",OFFSET('PARÁMETROS'!$K$2,MATCH(U280,JC_SE,0),MATCH(T280,CC_SE,0)),
IF(OR(AA280="DSRC/Estratégico",AA280="DSRC/Operativo"),OFFSET('PARÁMETROS'!$K$11,MATCH(U280,JC_DS,0),MATCH(T280,CC_DS,0)),
IF(AA280="SALUD",OFFSET('PARÁMETROS'!$K$29,MATCH(U280,JC_SA,0),MATCH(T280,CC_SA,0)),
IF(AA280="MEDIO AMBIENTE",OFFSET('PARÁMETROS'!$K$20,MATCH(U280,JC_MA,0),MATCH(T280,CC_MA,0)),
IF(AA280="Rel. Gubernamentales",OFFSET('PARÁMETROS'!$K$48,MATCH(U280,JC_G,0),MATCH(T280,CC_G,0)),
IF(AA280="OPERACIONAL",OFFSET('PARÁMETROS'!$K$56,MATCH(U280,JC_OP,0),MATCH(T280,CC_OP,0)),
IF(AA280="FINANCIERO",OFFSET('PARÁMETROS'!$K$56,MATCH(U280,JC_FI,0),MATCH(T280,CC_FI,0)),
OFFSET('PARÁMETROS'!$K$38,MATCH(U280,JC_L,0),MATCH(T280,CC_L,0))))))))),"")</f>
        <v/>
      </c>
      <c r="W280" s="130"/>
      <c r="X280" s="135"/>
      <c r="Y280" s="136"/>
      <c r="Z280" s="30"/>
      <c r="AA280" s="31" t="str">
        <f>E267</f>
        <v/>
      </c>
    </row>
    <row r="281" ht="87.0" customHeight="1">
      <c r="A281" s="129"/>
      <c r="B281" s="130"/>
      <c r="C281" s="130"/>
      <c r="D281" s="130"/>
      <c r="E281" s="130"/>
      <c r="F281" s="130"/>
      <c r="G281" s="130"/>
      <c r="H281" s="130"/>
      <c r="I281" s="130"/>
      <c r="J281" s="130"/>
      <c r="K281" s="130"/>
      <c r="L281" s="130"/>
      <c r="M281" s="130"/>
      <c r="N281" s="130"/>
      <c r="O281" s="130"/>
      <c r="P281" s="132"/>
      <c r="Q281" s="134"/>
      <c r="R281" s="134"/>
      <c r="S281" s="134"/>
      <c r="T281" s="135"/>
      <c r="U281" s="135"/>
      <c r="V281" s="135" t="str">
        <f>IFERROR(IF(AA281="SEGURIDAD",OFFSET('PARÁMETROS'!$K$2,MATCH(U281,JC_SE,0),MATCH(T281,CC_SE,0)),
IF(OR(AA281="DSRC/Estratégico",AA281="DSRC/Operativo"),OFFSET('PARÁMETROS'!$K$11,MATCH(U281,JC_DS,0),MATCH(T281,CC_DS,0)),
IF(AA281="SALUD",OFFSET('PARÁMETROS'!$K$29,MATCH(U281,JC_SA,0),MATCH(T281,CC_SA,0)),
IF(AA281="MEDIO AMBIENTE",OFFSET('PARÁMETROS'!$K$20,MATCH(U281,JC_MA,0),MATCH(T281,CC_MA,0)),
IF(AA281="Rel. Gubernamentales",OFFSET('PARÁMETROS'!$K$48,MATCH(U281,JC_G,0),MATCH(T281,CC_G,0)),
IF(AA281="OPERACIONAL",OFFSET('PARÁMETROS'!$K$56,MATCH(U281,JC_OP,0),MATCH(T281,CC_OP,0)),
IF(AA281="FINANCIERO",OFFSET('PARÁMETROS'!$K$56,MATCH(U281,JC_FI,0),MATCH(T281,CC_FI,0)),
OFFSET('PARÁMETROS'!$K$38,MATCH(U281,JC_L,0),MATCH(T281,CC_L,0))))))))),"")</f>
        <v/>
      </c>
      <c r="W281" s="130"/>
      <c r="X281" s="135"/>
      <c r="Y281" s="136"/>
      <c r="Z281" s="30"/>
      <c r="AA281" s="31" t="str">
        <f>E267</f>
        <v/>
      </c>
    </row>
    <row r="282" ht="87.0" customHeight="1">
      <c r="A282" s="89"/>
      <c r="B282" s="90"/>
      <c r="C282" s="90"/>
      <c r="D282" s="157"/>
      <c r="E282" s="157"/>
      <c r="F282" s="157"/>
      <c r="G282" s="157"/>
      <c r="H282" s="157"/>
      <c r="I282" s="90"/>
      <c r="J282" s="90"/>
      <c r="K282" s="90"/>
      <c r="L282" s="90"/>
      <c r="M282" s="90"/>
      <c r="N282" s="90"/>
      <c r="O282" s="90"/>
      <c r="P282" s="132"/>
      <c r="Q282" s="134"/>
      <c r="R282" s="145"/>
      <c r="S282" s="145"/>
      <c r="T282" s="135"/>
      <c r="U282" s="135"/>
      <c r="V282" s="135" t="str">
        <f>IFERROR(IF(AA282="SEGURIDAD",OFFSET('PARÁMETROS'!$K$2,MATCH(U282,JC_SE,0),MATCH(T282,CC_SE,0)),
IF(OR(AA282="DSRC/Estratégico",AA282="DSRC/Operativo"),OFFSET('PARÁMETROS'!$K$11,MATCH(U282,JC_DS,0),MATCH(T282,CC_DS,0)),
IF(AA282="SALUD",OFFSET('PARÁMETROS'!$K$29,MATCH(U282,JC_SA,0),MATCH(T282,CC_SA,0)),
IF(AA282="MEDIO AMBIENTE",OFFSET('PARÁMETROS'!$K$20,MATCH(U282,JC_MA,0),MATCH(T282,CC_MA,0)),
IF(AA282="Rel. Gubernamentales",OFFSET('PARÁMETROS'!$K$48,MATCH(U282,JC_G,0),MATCH(T282,CC_G,0)),
IF(AA282="OPERACIONAL",OFFSET('PARÁMETROS'!$K$56,MATCH(U282,JC_OP,0),MATCH(T282,CC_OP,0)),
IF(AA282="FINANCIERO",OFFSET('PARÁMETROS'!$K$56,MATCH(U282,JC_FI,0),MATCH(T282,CC_FI,0)),
OFFSET('PARÁMETROS'!$K$38,MATCH(U282,JC_L,0),MATCH(T282,CC_L,0))))))))),"")</f>
        <v/>
      </c>
      <c r="W282" s="90"/>
      <c r="X282" s="135"/>
      <c r="Y282" s="136"/>
      <c r="Z282" s="30"/>
      <c r="AA282" s="31" t="str">
        <f>E267</f>
        <v/>
      </c>
    </row>
    <row r="283" ht="87.0" customHeight="1">
      <c r="A283" s="102"/>
      <c r="B283" s="103"/>
      <c r="C283" s="103"/>
      <c r="D283" s="103"/>
      <c r="E283" s="103"/>
      <c r="F283" s="103"/>
      <c r="G283" s="105"/>
      <c r="H283" s="103"/>
      <c r="I283" s="105"/>
      <c r="J283" s="103"/>
      <c r="K283" s="103"/>
      <c r="L283" s="103" t="str">
        <f>IF(OR(J283&lt;&gt;"",K283&lt;&gt;""),OFFSET('PARÁMETROS'!$B$2,K283,J283),"")</f>
        <v/>
      </c>
      <c r="M283" s="103"/>
      <c r="N283" s="103">
        <f>IFERROR(L283*M283,"")</f>
        <v>0</v>
      </c>
      <c r="O283" s="108" t="str">
        <f>IF(N283="","",IFERROR(IF(N283&lt;=2,"ACEPTABLE",IF(N283&lt;=6,"BAJA",IF(N283&lt;=10,"ACEPTABLE CON REVISIÓN",IF(N283&lt;=15,"SUSTANCIAL","INACEPTABLE")))),""))</f>
        <v>ACEPTABLE</v>
      </c>
      <c r="P283" s="113"/>
      <c r="Q283" s="114"/>
      <c r="R283" s="114"/>
      <c r="S283" s="114"/>
      <c r="T283" s="115"/>
      <c r="U283" s="115"/>
      <c r="V283" s="115" t="str">
        <f>IFERROR(IF(AA283="SEGURIDAD",OFFSET('PARÁMETROS'!$K$2,MATCH(U283,JC_SE,0),MATCH(T283,CC_SE,0)),
IF(OR(AA283="DSRC/Estratégico",AA283="DSRC/Operativo"),OFFSET('PARÁMETROS'!$K$11,MATCH(U283,JC_DS,0),MATCH(T283,CC_DS,0)),
IF(AA283="SALUD",OFFSET('PARÁMETROS'!$K$29,MATCH(U283,JC_SA,0),MATCH(T283,CC_SA,0)),
IF(AA283="MEDIO AMBIENTE",OFFSET('PARÁMETROS'!$K$20,MATCH(U283,JC_MA,0),MATCH(T283,CC_MA,0)),
IF(AA283="Rel. Gubernamentales",OFFSET('PARÁMETROS'!$K$48,MATCH(U283,JC_G,0),MATCH(T283,CC_G,0)),
IF(AA283="OPERACIONAL",OFFSET('PARÁMETROS'!$K$56,MATCH(U283,JC_OP,0),MATCH(T283,CC_OP,0)),
IF(AA283="FINANCIERO",OFFSET('PARÁMETROS'!$K$56,MATCH(U283,JC_FI,0),MATCH(T283,CC_FI,0)),
OFFSET('PARÁMETROS'!$K$38,MATCH(U283,JC_L,0),MATCH(T283,CC_L,0))))))))),"")</f>
        <v/>
      </c>
      <c r="W283" s="108" t="str">
        <f>IF(E283="","",
IF(COUNTA(V283:V298)-COUNTBLANK(V283:V298)=1,
IF(O283="INACEPTABLE",IF(COUNTIF(V283:V298,"Control/Acción Eficaz")&gt;=1,"SUSTANCIAL","INACEPTABLE"),
IF(O283="SUSTANCIAL",IF(COUNTIF(V283:V298,"Control/Acción Eficaz")&gt;=1,"ACEPTABLE CON REVISIÓN","SUSTANCIAL"),
IF(O283="ACEPTABLE CON REVISIÓN",IF(COUNTIF(V283:V298,"Control/Acción Eficaz")&gt;=1,"BAJA","ACEPTABLE CON REVISIÓN"),
IF(O283="BAJA",IF(COUNTIF(V283:V298,"Control/Acción Eficaz")&gt;=1,"ACEPTABLE","BAJA"),)))),
IF(COUNTA(V283:V298)-COUNTBLANK(V283:V298)=2,
IF(O283="INACEPTABLE",IF(COUNTIF(V283:V298,"Control/Acción Eficaz")=2,"ACEPTABLE CON REVISIÓN",
IF(OR(AND(COUNTIF(V283:V298,"Control/Acción Eficaz")=1,COUNTIF(V283:V298,"Control/Acción Satisfactorio")=1),
AND(COUNTIF(V283:V298,"Control/Acción Eficaz")=1,COUNTIF(V283:V298,"Control/Acción No Eficaz")=1)),"SUSTANCIAL","INACEPTABLE")),
IF(O283="SUSTANCIAL",IF(COUNTIF(V283:V298,"Control/Acción Eficaz")=2,"BAJA",
IF(OR(AND(COUNTIF(V283:V298,"Control/Acción Eficaz")=1,COUNTIF(V283:V298,"Control/Acción Satisfactorio")=1),
AND(COUNTIF(V283:V298,"Control/Acción Eficaz")=1,COUNTIF(V283:V298,"Control/Acción No Eficaz")=1)),"ACEPTABLE CON REVISIÓN ","SUSTANCIAL")),
IF(O283="ACEPTABLE CON REVISIÓN",IF(COUNTIF(V283:V298,"Control/Acción Eficaz")=2,"ACEPTABLE",
IF(OR(AND(COUNTIF(V283:V298,"Control/Acción Eficaz")=1,COUNTIF(V283:V298,"Control/Acción Satisfactorio")=1),
AND(COUNTIF(V283:V298,"Control/Acción Eficaz")=1,COUNTIF(V283:V298,"Control/Acción No Eficaz")=1)),"BAJA","ACEPTABLE CON REVISIÓN")),
IF(O283="BAJA",IF(COUNTIF(V283:V298,"Control/Acción Eficaz")&gt;=2,"ACEPTABLE","BAJA"),)))),
IF(COUNTA(V283:V298)-COUNTBLANK(V283:V298)&gt;=3,
IF(O283="INACEPTABLE",
IF(COUNTBLANK(V283:V298)=COUNTA(V283:V298),"",
IF(COUNTIF(V283:V298,"Control/Acción No Eficaz")&gt;=2,"INACEPTABLE",
IF(AND(COUNTIF(V283:V298,"Control/Acción No Eficaz")=0,COUNTIF(V283:V298,"Control/Acción Eficaz")&gt;=2),"ACEPTABLE CON REVISIÓN ","SUSTANCIAL"))),
IF(O283="SUSTANCIAL",
IF(COUNTBLANK(V283:V298)=COUNTA(V283:V298),"",
IF(COUNTIF(V283:V298,"Control/Acción No Eficaz")&gt;=2,"SUSTANCIAL",
IF(AND(COUNTIF(V283:V298,"Control/Acción No Eficaz")=0,COUNTIF(V283:V298,"Control/Acción Eficaz")&gt;=2),"BAJA","ACEPTABLE CON REVISIÓN"))),
IF(O283="ACEPTABLE CON REVISIÓN",
IF(COUNTBLANK(V283:V298)=COUNTA(V283:V298),"",
IF(COUNTIF(V283:V298,"Control/Acción No Eficaz")&gt;=2,"ACEPTABLE CON REVISIÓN",
IF(AND(COUNTIF(V283:V298,"Control/Acción No Eficaz")=0,COUNTIF(V283:V298,"Control/Acción Eficaz")&gt;=2),"ACEPTABLE","BAJA"))),
IF(O283="BAJA",
IF(COUNTBLANK(V283:V298)=COUNTA(V283:V298),"",
IF(AND(COUNTBLANK(V283:V298)&lt;1,COUNTA(V283:V298)=1),
IF(COUNTIF(V283:V298,"Control/Acción No Eficaz")&gt;=2,"BAJA",
IF(AND(COUNTIF(V283:V298,"Control/Acción No Eficaz")=0,COUNTIF(V283:V298,"Control/Acción Eficaz")&gt;=2),"ACEPTABLE","BAJA")),
IF(COUNTIF(V283:V298,"Control/Acción No Eficaz")&gt;=2,"BAJA",
IF(AND(COUNTIF(V283:V298,"Control/Acción No Eficaz")=0,COUNTIF(V283:V298,"Control/Acción Eficaz")&gt;=2),"ACEPTABLE","BAJA")))),
IF(COUNTIF(V283:V298,"")&gt;=5,"",O283))))),
""))))</f>
        <v/>
      </c>
      <c r="X283" s="115"/>
      <c r="Y283" s="128"/>
      <c r="Z283" s="30"/>
      <c r="AA283" s="31" t="str">
        <f>E283</f>
        <v/>
      </c>
    </row>
    <row r="284" ht="87.0" customHeight="1">
      <c r="A284" s="129"/>
      <c r="B284" s="130"/>
      <c r="C284" s="130"/>
      <c r="D284" s="130"/>
      <c r="E284" s="130"/>
      <c r="F284" s="130"/>
      <c r="G284" s="130"/>
      <c r="H284" s="130"/>
      <c r="I284" s="130"/>
      <c r="J284" s="130"/>
      <c r="K284" s="130"/>
      <c r="L284" s="130"/>
      <c r="M284" s="130"/>
      <c r="N284" s="130"/>
      <c r="O284" s="130"/>
      <c r="P284" s="132"/>
      <c r="Q284" s="134"/>
      <c r="R284" s="134"/>
      <c r="S284" s="134"/>
      <c r="T284" s="135"/>
      <c r="U284" s="135"/>
      <c r="V284" s="135" t="str">
        <f>IFERROR(IF(AA284="SEGURIDAD",OFFSET('PARÁMETROS'!$K$2,MATCH(U284,JC_SE,0),MATCH(T284,CC_SE,0)),
IF(OR(AA284="DSRC/Estratégico",AA284="DSRC/Operativo"),OFFSET('PARÁMETROS'!$K$11,MATCH(U284,JC_DS,0),MATCH(T284,CC_DS,0)),
IF(AA284="SALUD",OFFSET('PARÁMETROS'!$K$29,MATCH(U284,JC_SA,0),MATCH(T284,CC_SA,0)),
IF(AA284="MEDIO AMBIENTE",OFFSET('PARÁMETROS'!$K$20,MATCH(U284,JC_MA,0),MATCH(T284,CC_MA,0)),
IF(AA284="Rel. Gubernamentales",OFFSET('PARÁMETROS'!$K$48,MATCH(U284,JC_G,0),MATCH(T284,CC_G,0)),
IF(AA284="OPERACIONAL",OFFSET('PARÁMETROS'!$K$56,MATCH(U284,JC_OP,0),MATCH(T284,CC_OP,0)),
IF(AA284="FINANCIERO",OFFSET('PARÁMETROS'!$K$56,MATCH(U284,JC_FI,0),MATCH(T284,CC_FI,0)),
OFFSET('PARÁMETROS'!$K$38,MATCH(U284,JC_L,0),MATCH(T284,CC_L,0))))))))),"")</f>
        <v/>
      </c>
      <c r="W284" s="130"/>
      <c r="X284" s="135"/>
      <c r="Y284" s="136"/>
      <c r="Z284" s="30"/>
      <c r="AA284" s="31" t="str">
        <f>E283</f>
        <v/>
      </c>
    </row>
    <row r="285" ht="87.0" customHeight="1">
      <c r="A285" s="129"/>
      <c r="B285" s="130"/>
      <c r="C285" s="130"/>
      <c r="D285" s="130"/>
      <c r="E285" s="130"/>
      <c r="F285" s="130"/>
      <c r="G285" s="130"/>
      <c r="H285" s="130"/>
      <c r="I285" s="130"/>
      <c r="J285" s="130"/>
      <c r="K285" s="130"/>
      <c r="L285" s="130"/>
      <c r="M285" s="130"/>
      <c r="N285" s="130"/>
      <c r="O285" s="130"/>
      <c r="P285" s="132"/>
      <c r="Q285" s="134"/>
      <c r="R285" s="134"/>
      <c r="S285" s="134"/>
      <c r="T285" s="135"/>
      <c r="U285" s="135"/>
      <c r="V285" s="135" t="str">
        <f>IFERROR(IF(AA285="SEGURIDAD",OFFSET('PARÁMETROS'!$K$2,MATCH(U285,JC_SE,0),MATCH(T285,CC_SE,0)),
IF(OR(AA285="DSRC/Estratégico",AA285="DSRC/Operativo"),OFFSET('PARÁMETROS'!$K$11,MATCH(U285,JC_DS,0),MATCH(T285,CC_DS,0)),
IF(AA285="SALUD",OFFSET('PARÁMETROS'!$K$29,MATCH(U285,JC_SA,0),MATCH(T285,CC_SA,0)),
IF(AA285="MEDIO AMBIENTE",OFFSET('PARÁMETROS'!$K$20,MATCH(U285,JC_MA,0),MATCH(T285,CC_MA,0)),
IF(AA285="Rel. Gubernamentales",OFFSET('PARÁMETROS'!$K$48,MATCH(U285,JC_G,0),MATCH(T285,CC_G,0)),
IF(AA285="OPERACIONAL",OFFSET('PARÁMETROS'!$K$56,MATCH(U285,JC_OP,0),MATCH(T285,CC_OP,0)),
IF(AA285="FINANCIERO",OFFSET('PARÁMETROS'!$K$56,MATCH(U285,JC_FI,0),MATCH(T285,CC_FI,0)),
OFFSET('PARÁMETROS'!$K$38,MATCH(U285,JC_L,0),MATCH(T285,CC_L,0))))))))),"")</f>
        <v/>
      </c>
      <c r="W285" s="130"/>
      <c r="X285" s="135"/>
      <c r="Y285" s="136"/>
      <c r="Z285" s="30"/>
      <c r="AA285" s="31" t="str">
        <f>E283</f>
        <v/>
      </c>
    </row>
    <row r="286" ht="87.0" customHeight="1">
      <c r="A286" s="129"/>
      <c r="B286" s="130"/>
      <c r="C286" s="130"/>
      <c r="D286" s="130"/>
      <c r="E286" s="130"/>
      <c r="F286" s="130"/>
      <c r="G286" s="130"/>
      <c r="H286" s="130"/>
      <c r="I286" s="130"/>
      <c r="J286" s="130"/>
      <c r="K286" s="130"/>
      <c r="L286" s="130"/>
      <c r="M286" s="130"/>
      <c r="N286" s="130"/>
      <c r="O286" s="130"/>
      <c r="P286" s="132"/>
      <c r="Q286" s="134"/>
      <c r="R286" s="134"/>
      <c r="S286" s="134"/>
      <c r="T286" s="135"/>
      <c r="U286" s="135"/>
      <c r="V286" s="135" t="str">
        <f>IFERROR(IF(AA286="SEGURIDAD",OFFSET('PARÁMETROS'!$K$2,MATCH(U286,JC_SE,0),MATCH(T286,CC_SE,0)),
IF(OR(AA286="DSRC/Estratégico",AA286="DSRC/Operativo"),OFFSET('PARÁMETROS'!$K$11,MATCH(U286,JC_DS,0),MATCH(T286,CC_DS,0)),
IF(AA286="SALUD",OFFSET('PARÁMETROS'!$K$29,MATCH(U286,JC_SA,0),MATCH(T286,CC_SA,0)),
IF(AA286="MEDIO AMBIENTE",OFFSET('PARÁMETROS'!$K$20,MATCH(U286,JC_MA,0),MATCH(T286,CC_MA,0)),
IF(AA286="Rel. Gubernamentales",OFFSET('PARÁMETROS'!$K$48,MATCH(U286,JC_G,0),MATCH(T286,CC_G,0)),
IF(AA286="OPERACIONAL",OFFSET('PARÁMETROS'!$K$56,MATCH(U286,JC_OP,0),MATCH(T286,CC_OP,0)),
IF(AA286="FINANCIERO",OFFSET('PARÁMETROS'!$K$56,MATCH(U286,JC_FI,0),MATCH(T286,CC_FI,0)),
OFFSET('PARÁMETROS'!$K$38,MATCH(U286,JC_L,0),MATCH(T286,CC_L,0))))))))),"")</f>
        <v/>
      </c>
      <c r="W286" s="130"/>
      <c r="X286" s="135"/>
      <c r="Y286" s="136"/>
      <c r="Z286" s="30"/>
      <c r="AA286" s="31" t="str">
        <f>E283</f>
        <v/>
      </c>
    </row>
    <row r="287" ht="87.0" customHeight="1">
      <c r="A287" s="129"/>
      <c r="B287" s="130"/>
      <c r="C287" s="130"/>
      <c r="D287" s="130"/>
      <c r="E287" s="130"/>
      <c r="F287" s="130"/>
      <c r="G287" s="130"/>
      <c r="H287" s="130"/>
      <c r="I287" s="130"/>
      <c r="J287" s="130"/>
      <c r="K287" s="130"/>
      <c r="L287" s="130"/>
      <c r="M287" s="130"/>
      <c r="N287" s="130"/>
      <c r="O287" s="130"/>
      <c r="P287" s="132"/>
      <c r="Q287" s="134"/>
      <c r="R287" s="134"/>
      <c r="S287" s="134"/>
      <c r="T287" s="135"/>
      <c r="U287" s="135"/>
      <c r="V287" s="135" t="str">
        <f>IFERROR(IF(AA287="SEGURIDAD",OFFSET('PARÁMETROS'!$K$2,MATCH(U287,JC_SE,0),MATCH(T287,CC_SE,0)),
IF(OR(AA287="DSRC/Estratégico",AA287="DSRC/Operativo"),OFFSET('PARÁMETROS'!$K$11,MATCH(U287,JC_DS,0),MATCH(T287,CC_DS,0)),
IF(AA287="SALUD",OFFSET('PARÁMETROS'!$K$29,MATCH(U287,JC_SA,0),MATCH(T287,CC_SA,0)),
IF(AA287="MEDIO AMBIENTE",OFFSET('PARÁMETROS'!$K$20,MATCH(U287,JC_MA,0),MATCH(T287,CC_MA,0)),
IF(AA287="Rel. Gubernamentales",OFFSET('PARÁMETROS'!$K$48,MATCH(U287,JC_G,0),MATCH(T287,CC_G,0)),
IF(AA287="OPERACIONAL",OFFSET('PARÁMETROS'!$K$56,MATCH(U287,JC_OP,0),MATCH(T287,CC_OP,0)),
IF(AA287="FINANCIERO",OFFSET('PARÁMETROS'!$K$56,MATCH(U287,JC_FI,0),MATCH(T287,CC_FI,0)),
OFFSET('PARÁMETROS'!$K$38,MATCH(U287,JC_L,0),MATCH(T287,CC_L,0))))))))),"")</f>
        <v/>
      </c>
      <c r="W287" s="130"/>
      <c r="X287" s="135"/>
      <c r="Y287" s="136"/>
      <c r="Z287" s="30"/>
      <c r="AA287" s="31" t="str">
        <f>E283</f>
        <v/>
      </c>
    </row>
    <row r="288" ht="87.0" customHeight="1">
      <c r="A288" s="129"/>
      <c r="B288" s="130"/>
      <c r="C288" s="130"/>
      <c r="D288" s="130"/>
      <c r="E288" s="130"/>
      <c r="F288" s="130"/>
      <c r="G288" s="130"/>
      <c r="H288" s="130"/>
      <c r="I288" s="130"/>
      <c r="J288" s="130"/>
      <c r="K288" s="130"/>
      <c r="L288" s="130"/>
      <c r="M288" s="130"/>
      <c r="N288" s="130"/>
      <c r="O288" s="130"/>
      <c r="P288" s="132"/>
      <c r="Q288" s="134"/>
      <c r="R288" s="134"/>
      <c r="S288" s="134"/>
      <c r="T288" s="135"/>
      <c r="U288" s="135"/>
      <c r="V288" s="135" t="str">
        <f>IFERROR(IF(AA288="SEGURIDAD",OFFSET('PARÁMETROS'!$K$2,MATCH(U288,JC_SE,0),MATCH(T288,CC_SE,0)),
IF(OR(AA288="DSRC/Estratégico",AA288="DSRC/Operativo"),OFFSET('PARÁMETROS'!$K$11,MATCH(U288,JC_DS,0),MATCH(T288,CC_DS,0)),
IF(AA288="SALUD",OFFSET('PARÁMETROS'!$K$29,MATCH(U288,JC_SA,0),MATCH(T288,CC_SA,0)),
IF(AA288="MEDIO AMBIENTE",OFFSET('PARÁMETROS'!$K$20,MATCH(U288,JC_MA,0),MATCH(T288,CC_MA,0)),
IF(AA288="Rel. Gubernamentales",OFFSET('PARÁMETROS'!$K$48,MATCH(U288,JC_G,0),MATCH(T288,CC_G,0)),
IF(AA288="OPERACIONAL",OFFSET('PARÁMETROS'!$K$56,MATCH(U288,JC_OP,0),MATCH(T288,CC_OP,0)),
IF(AA288="FINANCIERO",OFFSET('PARÁMETROS'!$K$56,MATCH(U288,JC_FI,0),MATCH(T288,CC_FI,0)),
OFFSET('PARÁMETROS'!$K$38,MATCH(U288,JC_L,0),MATCH(T288,CC_L,0))))))))),"")</f>
        <v/>
      </c>
      <c r="W288" s="130"/>
      <c r="X288" s="135"/>
      <c r="Y288" s="136"/>
      <c r="Z288" s="30"/>
      <c r="AA288" s="31" t="str">
        <f>E283</f>
        <v/>
      </c>
    </row>
    <row r="289" ht="87.0" customHeight="1">
      <c r="A289" s="129"/>
      <c r="B289" s="130"/>
      <c r="C289" s="130"/>
      <c r="D289" s="130"/>
      <c r="E289" s="130"/>
      <c r="F289" s="130"/>
      <c r="G289" s="130"/>
      <c r="H289" s="130"/>
      <c r="I289" s="130"/>
      <c r="J289" s="130"/>
      <c r="K289" s="130"/>
      <c r="L289" s="130"/>
      <c r="M289" s="130"/>
      <c r="N289" s="130"/>
      <c r="O289" s="130"/>
      <c r="P289" s="132"/>
      <c r="Q289" s="134"/>
      <c r="R289" s="134"/>
      <c r="S289" s="134"/>
      <c r="T289" s="135"/>
      <c r="U289" s="135"/>
      <c r="V289" s="135" t="str">
        <f>IFERROR(IF(AA289="SEGURIDAD",OFFSET('PARÁMETROS'!$K$2,MATCH(U289,JC_SE,0),MATCH(T289,CC_SE,0)),
IF(OR(AA289="DSRC/Estratégico",AA289="DSRC/Operativo"),OFFSET('PARÁMETROS'!$K$11,MATCH(U289,JC_DS,0),MATCH(T289,CC_DS,0)),
IF(AA289="SALUD",OFFSET('PARÁMETROS'!$K$29,MATCH(U289,JC_SA,0),MATCH(T289,CC_SA,0)),
IF(AA289="MEDIO AMBIENTE",OFFSET('PARÁMETROS'!$K$20,MATCH(U289,JC_MA,0),MATCH(T289,CC_MA,0)),
IF(AA289="Rel. Gubernamentales",OFFSET('PARÁMETROS'!$K$48,MATCH(U289,JC_G,0),MATCH(T289,CC_G,0)),
IF(AA289="OPERACIONAL",OFFSET('PARÁMETROS'!$K$56,MATCH(U289,JC_OP,0),MATCH(T289,CC_OP,0)),
IF(AA289="FINANCIERO",OFFSET('PARÁMETROS'!$K$56,MATCH(U289,JC_FI,0),MATCH(T289,CC_FI,0)),
OFFSET('PARÁMETROS'!$K$38,MATCH(U289,JC_L,0),MATCH(T289,CC_L,0))))))))),"")</f>
        <v/>
      </c>
      <c r="W289" s="130"/>
      <c r="X289" s="135"/>
      <c r="Y289" s="136"/>
      <c r="Z289" s="30"/>
      <c r="AA289" s="31" t="str">
        <f>E283</f>
        <v/>
      </c>
    </row>
    <row r="290" ht="87.0" customHeight="1">
      <c r="A290" s="129"/>
      <c r="B290" s="130"/>
      <c r="C290" s="130"/>
      <c r="D290" s="130"/>
      <c r="E290" s="130"/>
      <c r="F290" s="130"/>
      <c r="G290" s="130"/>
      <c r="H290" s="130"/>
      <c r="I290" s="130"/>
      <c r="J290" s="130"/>
      <c r="K290" s="130"/>
      <c r="L290" s="130"/>
      <c r="M290" s="130"/>
      <c r="N290" s="130"/>
      <c r="O290" s="130"/>
      <c r="P290" s="132"/>
      <c r="Q290" s="134"/>
      <c r="R290" s="134"/>
      <c r="S290" s="134"/>
      <c r="T290" s="135"/>
      <c r="U290" s="135"/>
      <c r="V290" s="135" t="str">
        <f>IFERROR(IF(AA290="SEGURIDAD",OFFSET('PARÁMETROS'!$K$2,MATCH(U290,JC_SE,0),MATCH(T290,CC_SE,0)),
IF(OR(AA290="DSRC/Estratégico",AA290="DSRC/Operativo"),OFFSET('PARÁMETROS'!$K$11,MATCH(U290,JC_DS,0),MATCH(T290,CC_DS,0)),
IF(AA290="SALUD",OFFSET('PARÁMETROS'!$K$29,MATCH(U290,JC_SA,0),MATCH(T290,CC_SA,0)),
IF(AA290="MEDIO AMBIENTE",OFFSET('PARÁMETROS'!$K$20,MATCH(U290,JC_MA,0),MATCH(T290,CC_MA,0)),
IF(AA290="Rel. Gubernamentales",OFFSET('PARÁMETROS'!$K$48,MATCH(U290,JC_G,0),MATCH(T290,CC_G,0)),
IF(AA290="OPERACIONAL",OFFSET('PARÁMETROS'!$K$56,MATCH(U290,JC_OP,0),MATCH(T290,CC_OP,0)),
IF(AA290="FINANCIERO",OFFSET('PARÁMETROS'!$K$56,MATCH(U290,JC_FI,0),MATCH(T290,CC_FI,0)),
OFFSET('PARÁMETROS'!$K$38,MATCH(U290,JC_L,0),MATCH(T290,CC_L,0))))))))),"")</f>
        <v/>
      </c>
      <c r="W290" s="130"/>
      <c r="X290" s="135"/>
      <c r="Y290" s="136"/>
      <c r="Z290" s="30"/>
      <c r="AA290" s="31" t="str">
        <f>E283</f>
        <v/>
      </c>
    </row>
    <row r="291" ht="87.0" customHeight="1">
      <c r="A291" s="129"/>
      <c r="B291" s="130"/>
      <c r="C291" s="130"/>
      <c r="D291" s="130"/>
      <c r="E291" s="130"/>
      <c r="F291" s="130"/>
      <c r="G291" s="130"/>
      <c r="H291" s="130"/>
      <c r="I291" s="130"/>
      <c r="J291" s="130"/>
      <c r="K291" s="130"/>
      <c r="L291" s="130"/>
      <c r="M291" s="130"/>
      <c r="N291" s="130"/>
      <c r="O291" s="130"/>
      <c r="P291" s="132"/>
      <c r="Q291" s="134"/>
      <c r="R291" s="134"/>
      <c r="S291" s="134"/>
      <c r="T291" s="135"/>
      <c r="U291" s="135"/>
      <c r="V291" s="135" t="str">
        <f>IFERROR(IF(AA291="SEGURIDAD",OFFSET('PARÁMETROS'!$K$2,MATCH(U291,JC_SE,0),MATCH(T291,CC_SE,0)),
IF(OR(AA291="DSRC/Estratégico",AA291="DSRC/Operativo"),OFFSET('PARÁMETROS'!$K$11,MATCH(U291,JC_DS,0),MATCH(T291,CC_DS,0)),
IF(AA291="SALUD",OFFSET('PARÁMETROS'!$K$29,MATCH(U291,JC_SA,0),MATCH(T291,CC_SA,0)),
IF(AA291="MEDIO AMBIENTE",OFFSET('PARÁMETROS'!$K$20,MATCH(U291,JC_MA,0),MATCH(T291,CC_MA,0)),
IF(AA291="Rel. Gubernamentales",OFFSET('PARÁMETROS'!$K$48,MATCH(U291,JC_G,0),MATCH(T291,CC_G,0)),
IF(AA291="OPERACIONAL",OFFSET('PARÁMETROS'!$K$56,MATCH(U291,JC_OP,0),MATCH(T291,CC_OP,0)),
IF(AA291="FINANCIERO",OFFSET('PARÁMETROS'!$K$56,MATCH(U291,JC_FI,0),MATCH(T291,CC_FI,0)),
OFFSET('PARÁMETROS'!$K$38,MATCH(U291,JC_L,0),MATCH(T291,CC_L,0))))))))),"")</f>
        <v/>
      </c>
      <c r="W291" s="130"/>
      <c r="X291" s="135"/>
      <c r="Y291" s="136"/>
      <c r="Z291" s="30"/>
      <c r="AA291" s="31" t="str">
        <f>E283</f>
        <v/>
      </c>
    </row>
    <row r="292" ht="87.0" customHeight="1">
      <c r="A292" s="129"/>
      <c r="B292" s="130"/>
      <c r="C292" s="130"/>
      <c r="D292" s="130"/>
      <c r="E292" s="130"/>
      <c r="F292" s="130"/>
      <c r="G292" s="130"/>
      <c r="H292" s="130"/>
      <c r="I292" s="130"/>
      <c r="J292" s="130"/>
      <c r="K292" s="130"/>
      <c r="L292" s="130"/>
      <c r="M292" s="130"/>
      <c r="N292" s="130"/>
      <c r="O292" s="130"/>
      <c r="P292" s="132"/>
      <c r="Q292" s="134"/>
      <c r="R292" s="134"/>
      <c r="S292" s="134"/>
      <c r="T292" s="135"/>
      <c r="U292" s="135"/>
      <c r="V292" s="135" t="str">
        <f>IFERROR(IF(AA292="SEGURIDAD",OFFSET('PARÁMETROS'!$K$2,MATCH(U292,JC_SE,0),MATCH(T292,CC_SE,0)),
IF(OR(AA292="DSRC/Estratégico",AA292="DSRC/Operativo"),OFFSET('PARÁMETROS'!$K$11,MATCH(U292,JC_DS,0),MATCH(T292,CC_DS,0)),
IF(AA292="SALUD",OFFSET('PARÁMETROS'!$K$29,MATCH(U292,JC_SA,0),MATCH(T292,CC_SA,0)),
IF(AA292="MEDIO AMBIENTE",OFFSET('PARÁMETROS'!$K$20,MATCH(U292,JC_MA,0),MATCH(T292,CC_MA,0)),
IF(AA292="Rel. Gubernamentales",OFFSET('PARÁMETROS'!$K$48,MATCH(U292,JC_G,0),MATCH(T292,CC_G,0)),
IF(AA292="OPERACIONAL",OFFSET('PARÁMETROS'!$K$56,MATCH(U292,JC_OP,0),MATCH(T292,CC_OP,0)),
IF(AA292="FINANCIERO",OFFSET('PARÁMETROS'!$K$56,MATCH(U292,JC_FI,0),MATCH(T292,CC_FI,0)),
OFFSET('PARÁMETROS'!$K$38,MATCH(U292,JC_L,0),MATCH(T292,CC_L,0))))))))),"")</f>
        <v/>
      </c>
      <c r="W292" s="130"/>
      <c r="X292" s="135"/>
      <c r="Y292" s="136"/>
      <c r="Z292" s="30"/>
      <c r="AA292" s="31" t="str">
        <f>E283</f>
        <v/>
      </c>
    </row>
    <row r="293" ht="87.0" customHeight="1">
      <c r="A293" s="129"/>
      <c r="B293" s="130"/>
      <c r="C293" s="130"/>
      <c r="D293" s="130"/>
      <c r="E293" s="130"/>
      <c r="F293" s="130"/>
      <c r="G293" s="130"/>
      <c r="H293" s="130"/>
      <c r="I293" s="130"/>
      <c r="J293" s="130"/>
      <c r="K293" s="130"/>
      <c r="L293" s="130"/>
      <c r="M293" s="130"/>
      <c r="N293" s="130"/>
      <c r="O293" s="130"/>
      <c r="P293" s="132"/>
      <c r="Q293" s="134"/>
      <c r="R293" s="134"/>
      <c r="S293" s="134"/>
      <c r="T293" s="135"/>
      <c r="U293" s="135"/>
      <c r="V293" s="135" t="str">
        <f>IFERROR(IF(AA293="SEGURIDAD",OFFSET('PARÁMETROS'!$K$2,MATCH(U293,JC_SE,0),MATCH(T293,CC_SE,0)),
IF(OR(AA293="DSRC/Estratégico",AA293="DSRC/Operativo"),OFFSET('PARÁMETROS'!$K$11,MATCH(U293,JC_DS,0),MATCH(T293,CC_DS,0)),
IF(AA293="SALUD",OFFSET('PARÁMETROS'!$K$29,MATCH(U293,JC_SA,0),MATCH(T293,CC_SA,0)),
IF(AA293="MEDIO AMBIENTE",OFFSET('PARÁMETROS'!$K$20,MATCH(U293,JC_MA,0),MATCH(T293,CC_MA,0)),
IF(AA293="Rel. Gubernamentales",OFFSET('PARÁMETROS'!$K$48,MATCH(U293,JC_G,0),MATCH(T293,CC_G,0)),
IF(AA293="OPERACIONAL",OFFSET('PARÁMETROS'!$K$56,MATCH(U293,JC_OP,0),MATCH(T293,CC_OP,0)),
IF(AA293="FINANCIERO",OFFSET('PARÁMETROS'!$K$56,MATCH(U293,JC_FI,0),MATCH(T293,CC_FI,0)),
OFFSET('PARÁMETROS'!$K$38,MATCH(U293,JC_L,0),MATCH(T293,CC_L,0))))))))),"")</f>
        <v/>
      </c>
      <c r="W293" s="130"/>
      <c r="X293" s="135"/>
      <c r="Y293" s="136"/>
      <c r="Z293" s="30"/>
      <c r="AA293" s="31" t="str">
        <f>E283</f>
        <v/>
      </c>
    </row>
    <row r="294" ht="87.0" customHeight="1">
      <c r="A294" s="129"/>
      <c r="B294" s="130"/>
      <c r="C294" s="130"/>
      <c r="D294" s="130"/>
      <c r="E294" s="130"/>
      <c r="F294" s="130"/>
      <c r="G294" s="130"/>
      <c r="H294" s="130"/>
      <c r="I294" s="130"/>
      <c r="J294" s="130"/>
      <c r="K294" s="130"/>
      <c r="L294" s="130"/>
      <c r="M294" s="130"/>
      <c r="N294" s="130"/>
      <c r="O294" s="130"/>
      <c r="P294" s="132"/>
      <c r="Q294" s="134"/>
      <c r="R294" s="134"/>
      <c r="S294" s="134"/>
      <c r="T294" s="135"/>
      <c r="U294" s="135"/>
      <c r="V294" s="135" t="str">
        <f>IFERROR(IF(AA294="SEGURIDAD",OFFSET('PARÁMETROS'!$K$2,MATCH(U294,JC_SE,0),MATCH(T294,CC_SE,0)),
IF(OR(AA294="DSRC/Estratégico",AA294="DSRC/Operativo"),OFFSET('PARÁMETROS'!$K$11,MATCH(U294,JC_DS,0),MATCH(T294,CC_DS,0)),
IF(AA294="SALUD",OFFSET('PARÁMETROS'!$K$29,MATCH(U294,JC_SA,0),MATCH(T294,CC_SA,0)),
IF(AA294="MEDIO AMBIENTE",OFFSET('PARÁMETROS'!$K$20,MATCH(U294,JC_MA,0),MATCH(T294,CC_MA,0)),
IF(AA294="Rel. Gubernamentales",OFFSET('PARÁMETROS'!$K$48,MATCH(U294,JC_G,0),MATCH(T294,CC_G,0)),
IF(AA294="OPERACIONAL",OFFSET('PARÁMETROS'!$K$56,MATCH(U294,JC_OP,0),MATCH(T294,CC_OP,0)),
IF(AA294="FINANCIERO",OFFSET('PARÁMETROS'!$K$56,MATCH(U294,JC_FI,0),MATCH(T294,CC_FI,0)),
OFFSET('PARÁMETROS'!$K$38,MATCH(U294,JC_L,0),MATCH(T294,CC_L,0))))))))),"")</f>
        <v/>
      </c>
      <c r="W294" s="130"/>
      <c r="X294" s="135"/>
      <c r="Y294" s="136"/>
      <c r="Z294" s="30"/>
      <c r="AA294" s="31" t="str">
        <f>E283</f>
        <v/>
      </c>
    </row>
    <row r="295" ht="87.0" customHeight="1">
      <c r="A295" s="129"/>
      <c r="B295" s="130"/>
      <c r="C295" s="130"/>
      <c r="D295" s="130"/>
      <c r="E295" s="130"/>
      <c r="F295" s="130"/>
      <c r="G295" s="130"/>
      <c r="H295" s="130"/>
      <c r="I295" s="130"/>
      <c r="J295" s="130"/>
      <c r="K295" s="130"/>
      <c r="L295" s="130"/>
      <c r="M295" s="130"/>
      <c r="N295" s="130"/>
      <c r="O295" s="130"/>
      <c r="P295" s="132"/>
      <c r="Q295" s="134"/>
      <c r="R295" s="134"/>
      <c r="S295" s="134"/>
      <c r="T295" s="135"/>
      <c r="U295" s="135"/>
      <c r="V295" s="135" t="str">
        <f>IFERROR(IF(AA295="SEGURIDAD",OFFSET('PARÁMETROS'!$K$2,MATCH(U295,JC_SE,0),MATCH(T295,CC_SE,0)),
IF(OR(AA295="DSRC/Estratégico",AA295="DSRC/Operativo"),OFFSET('PARÁMETROS'!$K$11,MATCH(U295,JC_DS,0),MATCH(T295,CC_DS,0)),
IF(AA295="SALUD",OFFSET('PARÁMETROS'!$K$29,MATCH(U295,JC_SA,0),MATCH(T295,CC_SA,0)),
IF(AA295="MEDIO AMBIENTE",OFFSET('PARÁMETROS'!$K$20,MATCH(U295,JC_MA,0),MATCH(T295,CC_MA,0)),
IF(AA295="Rel. Gubernamentales",OFFSET('PARÁMETROS'!$K$48,MATCH(U295,JC_G,0),MATCH(T295,CC_G,0)),
IF(AA295="OPERACIONAL",OFFSET('PARÁMETROS'!$K$56,MATCH(U295,JC_OP,0),MATCH(T295,CC_OP,0)),
IF(AA295="FINANCIERO",OFFSET('PARÁMETROS'!$K$56,MATCH(U295,JC_FI,0),MATCH(T295,CC_FI,0)),
OFFSET('PARÁMETROS'!$K$38,MATCH(U295,JC_L,0),MATCH(T295,CC_L,0))))))))),"")</f>
        <v/>
      </c>
      <c r="W295" s="130"/>
      <c r="X295" s="135"/>
      <c r="Y295" s="136"/>
      <c r="Z295" s="30"/>
      <c r="AA295" s="31" t="str">
        <f>E283</f>
        <v/>
      </c>
    </row>
    <row r="296" ht="87.0" customHeight="1">
      <c r="A296" s="129"/>
      <c r="B296" s="130"/>
      <c r="C296" s="130"/>
      <c r="D296" s="130"/>
      <c r="E296" s="130"/>
      <c r="F296" s="130"/>
      <c r="G296" s="130"/>
      <c r="H296" s="130"/>
      <c r="I296" s="130"/>
      <c r="J296" s="130"/>
      <c r="K296" s="130"/>
      <c r="L296" s="130"/>
      <c r="M296" s="130"/>
      <c r="N296" s="130"/>
      <c r="O296" s="130"/>
      <c r="P296" s="132"/>
      <c r="Q296" s="134"/>
      <c r="R296" s="134"/>
      <c r="S296" s="134"/>
      <c r="T296" s="135"/>
      <c r="U296" s="135"/>
      <c r="V296" s="135" t="str">
        <f>IFERROR(IF(AA296="SEGURIDAD",OFFSET('PARÁMETROS'!$K$2,MATCH(U296,JC_SE,0),MATCH(T296,CC_SE,0)),
IF(OR(AA296="DSRC/Estratégico",AA296="DSRC/Operativo"),OFFSET('PARÁMETROS'!$K$11,MATCH(U296,JC_DS,0),MATCH(T296,CC_DS,0)),
IF(AA296="SALUD",OFFSET('PARÁMETROS'!$K$29,MATCH(U296,JC_SA,0),MATCH(T296,CC_SA,0)),
IF(AA296="MEDIO AMBIENTE",OFFSET('PARÁMETROS'!$K$20,MATCH(U296,JC_MA,0),MATCH(T296,CC_MA,0)),
IF(AA296="Rel. Gubernamentales",OFFSET('PARÁMETROS'!$K$48,MATCH(U296,JC_G,0),MATCH(T296,CC_G,0)),
IF(AA296="OPERACIONAL",OFFSET('PARÁMETROS'!$K$56,MATCH(U296,JC_OP,0),MATCH(T296,CC_OP,0)),
IF(AA296="FINANCIERO",OFFSET('PARÁMETROS'!$K$56,MATCH(U296,JC_FI,0),MATCH(T296,CC_FI,0)),
OFFSET('PARÁMETROS'!$K$38,MATCH(U296,JC_L,0),MATCH(T296,CC_L,0))))))))),"")</f>
        <v/>
      </c>
      <c r="W296" s="130"/>
      <c r="X296" s="135"/>
      <c r="Y296" s="136"/>
      <c r="Z296" s="30"/>
      <c r="AA296" s="31" t="str">
        <f>E283</f>
        <v/>
      </c>
    </row>
    <row r="297" ht="87.0" customHeight="1">
      <c r="A297" s="129"/>
      <c r="B297" s="130"/>
      <c r="C297" s="130"/>
      <c r="D297" s="130"/>
      <c r="E297" s="130"/>
      <c r="F297" s="130"/>
      <c r="G297" s="130"/>
      <c r="H297" s="130"/>
      <c r="I297" s="130"/>
      <c r="J297" s="130"/>
      <c r="K297" s="130"/>
      <c r="L297" s="130"/>
      <c r="M297" s="130"/>
      <c r="N297" s="130"/>
      <c r="O297" s="130"/>
      <c r="P297" s="132"/>
      <c r="Q297" s="134"/>
      <c r="R297" s="134"/>
      <c r="S297" s="134"/>
      <c r="T297" s="135"/>
      <c r="U297" s="135"/>
      <c r="V297" s="135" t="str">
        <f>IFERROR(IF(AA297="SEGURIDAD",OFFSET('PARÁMETROS'!$K$2,MATCH(U297,JC_SE,0),MATCH(T297,CC_SE,0)),
IF(OR(AA297="DSRC/Estratégico",AA297="DSRC/Operativo"),OFFSET('PARÁMETROS'!$K$11,MATCH(U297,JC_DS,0),MATCH(T297,CC_DS,0)),
IF(AA297="SALUD",OFFSET('PARÁMETROS'!$K$29,MATCH(U297,JC_SA,0),MATCH(T297,CC_SA,0)),
IF(AA297="MEDIO AMBIENTE",OFFSET('PARÁMETROS'!$K$20,MATCH(U297,JC_MA,0),MATCH(T297,CC_MA,0)),
IF(AA297="Rel. Gubernamentales",OFFSET('PARÁMETROS'!$K$48,MATCH(U297,JC_G,0),MATCH(T297,CC_G,0)),
IF(AA297="OPERACIONAL",OFFSET('PARÁMETROS'!$K$56,MATCH(U297,JC_OP,0),MATCH(T297,CC_OP,0)),
IF(AA297="FINANCIERO",OFFSET('PARÁMETROS'!$K$56,MATCH(U297,JC_FI,0),MATCH(T297,CC_FI,0)),
OFFSET('PARÁMETROS'!$K$38,MATCH(U297,JC_L,0),MATCH(T297,CC_L,0))))))))),"")</f>
        <v/>
      </c>
      <c r="W297" s="130"/>
      <c r="X297" s="135"/>
      <c r="Y297" s="136"/>
      <c r="Z297" s="30"/>
      <c r="AA297" s="31" t="str">
        <f>E283</f>
        <v/>
      </c>
    </row>
    <row r="298" ht="87.0" customHeight="1">
      <c r="A298" s="89"/>
      <c r="B298" s="90"/>
      <c r="C298" s="90"/>
      <c r="D298" s="157"/>
      <c r="E298" s="157"/>
      <c r="F298" s="157"/>
      <c r="G298" s="157"/>
      <c r="H298" s="157"/>
      <c r="I298" s="90"/>
      <c r="J298" s="90"/>
      <c r="K298" s="90"/>
      <c r="L298" s="90"/>
      <c r="M298" s="90"/>
      <c r="N298" s="90"/>
      <c r="O298" s="90"/>
      <c r="P298" s="132"/>
      <c r="Q298" s="134"/>
      <c r="R298" s="145"/>
      <c r="S298" s="145"/>
      <c r="T298" s="135"/>
      <c r="U298" s="135"/>
      <c r="V298" s="135" t="str">
        <f>IFERROR(IF(AA298="SEGURIDAD",OFFSET('PARÁMETROS'!$K$2,MATCH(U298,JC_SE,0),MATCH(T298,CC_SE,0)),
IF(OR(AA298="DSRC/Estratégico",AA298="DSRC/Operativo"),OFFSET('PARÁMETROS'!$K$11,MATCH(U298,JC_DS,0),MATCH(T298,CC_DS,0)),
IF(AA298="SALUD",OFFSET('PARÁMETROS'!$K$29,MATCH(U298,JC_SA,0),MATCH(T298,CC_SA,0)),
IF(AA298="MEDIO AMBIENTE",OFFSET('PARÁMETROS'!$K$20,MATCH(U298,JC_MA,0),MATCH(T298,CC_MA,0)),
IF(AA298="Rel. Gubernamentales",OFFSET('PARÁMETROS'!$K$48,MATCH(U298,JC_G,0),MATCH(T298,CC_G,0)),
IF(AA298="OPERACIONAL",OFFSET('PARÁMETROS'!$K$56,MATCH(U298,JC_OP,0),MATCH(T298,CC_OP,0)),
IF(AA298="FINANCIERO",OFFSET('PARÁMETROS'!$K$56,MATCH(U298,JC_FI,0),MATCH(T298,CC_FI,0)),
OFFSET('PARÁMETROS'!$K$38,MATCH(U298,JC_L,0),MATCH(T298,CC_L,0))))))))),"")</f>
        <v/>
      </c>
      <c r="W298" s="90"/>
      <c r="X298" s="135"/>
      <c r="Y298" s="136"/>
      <c r="Z298" s="30"/>
      <c r="AA298" s="31" t="str">
        <f>E283</f>
        <v/>
      </c>
    </row>
    <row r="299" ht="87.0" customHeight="1">
      <c r="A299" s="102"/>
      <c r="B299" s="103"/>
      <c r="C299" s="103"/>
      <c r="D299" s="103"/>
      <c r="E299" s="103"/>
      <c r="F299" s="103"/>
      <c r="G299" s="105"/>
      <c r="H299" s="103"/>
      <c r="I299" s="105"/>
      <c r="J299" s="103"/>
      <c r="K299" s="103"/>
      <c r="L299" s="103" t="str">
        <f>IF(OR(J299&lt;&gt;"",K299&lt;&gt;""),OFFSET('PARÁMETROS'!$B$2,K299,J299),"")</f>
        <v/>
      </c>
      <c r="M299" s="103"/>
      <c r="N299" s="103">
        <f>IFERROR(L299*M299,"")</f>
        <v>0</v>
      </c>
      <c r="O299" s="108" t="str">
        <f>IF(N299="","",IFERROR(IF(N299&lt;=2,"ACEPTABLE",IF(N299&lt;=6,"BAJA",IF(N299&lt;=10,"ACEPTABLE CON REVISIÓN",IF(N299&lt;=15,"SUSTANCIAL","INACEPTABLE")))),""))</f>
        <v>ACEPTABLE</v>
      </c>
      <c r="P299" s="113"/>
      <c r="Q299" s="114"/>
      <c r="R299" s="114"/>
      <c r="S299" s="114"/>
      <c r="T299" s="115"/>
      <c r="U299" s="115"/>
      <c r="V299" s="115" t="str">
        <f>IFERROR(IF(AA299="SEGURIDAD",OFFSET('PARÁMETROS'!$K$2,MATCH(U299,JC_SE,0),MATCH(T299,CC_SE,0)),
IF(OR(AA299="DSRC/Estratégico",AA299="DSRC/Operativo"),OFFSET('PARÁMETROS'!$K$11,MATCH(U299,JC_DS,0),MATCH(T299,CC_DS,0)),
IF(AA299="SALUD",OFFSET('PARÁMETROS'!$K$29,MATCH(U299,JC_SA,0),MATCH(T299,CC_SA,0)),
IF(AA299="MEDIO AMBIENTE",OFFSET('PARÁMETROS'!$K$20,MATCH(U299,JC_MA,0),MATCH(T299,CC_MA,0)),
IF(AA299="Rel. Gubernamentales",OFFSET('PARÁMETROS'!$K$48,MATCH(U299,JC_G,0),MATCH(T299,CC_G,0)),
IF(AA299="OPERACIONAL",OFFSET('PARÁMETROS'!$K$56,MATCH(U299,JC_OP,0),MATCH(T299,CC_OP,0)),
IF(AA299="FINANCIERO",OFFSET('PARÁMETROS'!$K$56,MATCH(U299,JC_FI,0),MATCH(T299,CC_FI,0)),
OFFSET('PARÁMETROS'!$K$38,MATCH(U299,JC_L,0),MATCH(T299,CC_L,0))))))))),"")</f>
        <v/>
      </c>
      <c r="W299" s="108" t="str">
        <f>IF(E299="","",
IF(COUNTA(V299:V314)-COUNTBLANK(V299:V314)=1,
IF(O299="INACEPTABLE",IF(COUNTIF(V299:V314,"Control/Acción Eficaz")&gt;=1,"SUSTANCIAL","INACEPTABLE"),
IF(O299="SUSTANCIAL",IF(COUNTIF(V299:V314,"Control/Acción Eficaz")&gt;=1,"ACEPTABLE CON REVISIÓN","SUSTANCIAL"),
IF(O299="ACEPTABLE CON REVISIÓN",IF(COUNTIF(V299:V314,"Control/Acción Eficaz")&gt;=1,"BAJA","ACEPTABLE CON REVISIÓN"),
IF(O299="BAJA",IF(COUNTIF(V299:V314,"Control/Acción Eficaz")&gt;=1,"ACEPTABLE","BAJA"),)))),
IF(COUNTA(V299:V314)-COUNTBLANK(V299:V314)=2,
IF(O299="INACEPTABLE",IF(COUNTIF(V299:V314,"Control/Acción Eficaz")=2,"ACEPTABLE CON REVISIÓN",
IF(OR(AND(COUNTIF(V299:V314,"Control/Acción Eficaz")=1,COUNTIF(V299:V314,"Control/Acción Satisfactorio")=1),
AND(COUNTIF(V299:V314,"Control/Acción Eficaz")=1,COUNTIF(V299:V314,"Control/Acción No Eficaz")=1)),"SUSTANCIAL","INACEPTABLE")),
IF(O299="SUSTANCIAL",IF(COUNTIF(V299:V314,"Control/Acción Eficaz")=2,"BAJA",
IF(OR(AND(COUNTIF(V299:V314,"Control/Acción Eficaz")=1,COUNTIF(V299:V314,"Control/Acción Satisfactorio")=1),
AND(COUNTIF(V299:V314,"Control/Acción Eficaz")=1,COUNTIF(V299:V314,"Control/Acción No Eficaz")=1)),"ACEPTABLE CON REVISIÓN ","SUSTANCIAL")),
IF(O299="ACEPTABLE CON REVISIÓN",IF(COUNTIF(V299:V314,"Control/Acción Eficaz")=2,"ACEPTABLE",
IF(OR(AND(COUNTIF(V299:V314,"Control/Acción Eficaz")=1,COUNTIF(V299:V314,"Control/Acción Satisfactorio")=1),
AND(COUNTIF(V299:V314,"Control/Acción Eficaz")=1,COUNTIF(V299:V314,"Control/Acción No Eficaz")=1)),"BAJA","ACEPTABLE CON REVISIÓN")),
IF(O299="BAJA",IF(COUNTIF(V299:V314,"Control/Acción Eficaz")&gt;=2,"ACEPTABLE","BAJA"),)))),
IF(COUNTA(V299:V314)-COUNTBLANK(V299:V314)&gt;=3,
IF(O299="INACEPTABLE",
IF(COUNTBLANK(V299:V314)=COUNTA(V299:V314),"",
IF(COUNTIF(V299:V314,"Control/Acción No Eficaz")&gt;=2,"INACEPTABLE",
IF(AND(COUNTIF(V299:V314,"Control/Acción No Eficaz")=0,COUNTIF(V299:V314,"Control/Acción Eficaz")&gt;=2),"ACEPTABLE CON REVISIÓN ","SUSTANCIAL"))),
IF(O299="SUSTANCIAL",
IF(COUNTBLANK(V299:V314)=COUNTA(V299:V314),"",
IF(COUNTIF(V299:V314,"Control/Acción No Eficaz")&gt;=2,"SUSTANCIAL",
IF(AND(COUNTIF(V299:V314,"Control/Acción No Eficaz")=0,COUNTIF(V299:V314,"Control/Acción Eficaz")&gt;=2),"BAJA","ACEPTABLE CON REVISIÓN"))),
IF(O299="ACEPTABLE CON REVISIÓN",
IF(COUNTBLANK(V299:V314)=COUNTA(V299:V314),"",
IF(COUNTIF(V299:V314,"Control/Acción No Eficaz")&gt;=2,"ACEPTABLE CON REVISIÓN",
IF(AND(COUNTIF(V299:V314,"Control/Acción No Eficaz")=0,COUNTIF(V299:V314,"Control/Acción Eficaz")&gt;=2),"ACEPTABLE","BAJA"))),
IF(O299="BAJA",
IF(COUNTBLANK(V299:V314)=COUNTA(V299:V314),"",
IF(AND(COUNTBLANK(V299:V314)&lt;1,COUNTA(V299:V314)=1),
IF(COUNTIF(V299:V314,"Control/Acción No Eficaz")&gt;=2,"BAJA",
IF(AND(COUNTIF(V299:V314,"Control/Acción No Eficaz")=0,COUNTIF(V299:V314,"Control/Acción Eficaz")&gt;=2),"ACEPTABLE","BAJA")),
IF(COUNTIF(V299:V314,"Control/Acción No Eficaz")&gt;=2,"BAJA",
IF(AND(COUNTIF(V299:V314,"Control/Acción No Eficaz")=0,COUNTIF(V299:V314,"Control/Acción Eficaz")&gt;=2),"ACEPTABLE","BAJA")))),
IF(COUNTIF(V299:V314,"")&gt;=5,"",O299))))),
""))))</f>
        <v/>
      </c>
      <c r="X299" s="115"/>
      <c r="Y299" s="128"/>
      <c r="Z299" s="30"/>
      <c r="AA299" s="31" t="str">
        <f>E299</f>
        <v/>
      </c>
    </row>
    <row r="300" ht="87.0" customHeight="1">
      <c r="A300" s="129"/>
      <c r="B300" s="130"/>
      <c r="C300" s="130"/>
      <c r="D300" s="130"/>
      <c r="E300" s="130"/>
      <c r="F300" s="130"/>
      <c r="G300" s="130"/>
      <c r="H300" s="130"/>
      <c r="I300" s="130"/>
      <c r="J300" s="130"/>
      <c r="K300" s="130"/>
      <c r="L300" s="130"/>
      <c r="M300" s="130"/>
      <c r="N300" s="130"/>
      <c r="O300" s="130"/>
      <c r="P300" s="132"/>
      <c r="Q300" s="134"/>
      <c r="R300" s="134"/>
      <c r="S300" s="134"/>
      <c r="T300" s="135"/>
      <c r="U300" s="135"/>
      <c r="V300" s="135" t="str">
        <f>IFERROR(IF(AA300="SEGURIDAD",OFFSET('PARÁMETROS'!$K$2,MATCH(U300,JC_SE,0),MATCH(T300,CC_SE,0)),
IF(OR(AA300="DSRC/Estratégico",AA300="DSRC/Operativo"),OFFSET('PARÁMETROS'!$K$11,MATCH(U300,JC_DS,0),MATCH(T300,CC_DS,0)),
IF(AA300="SALUD",OFFSET('PARÁMETROS'!$K$29,MATCH(U300,JC_SA,0),MATCH(T300,CC_SA,0)),
IF(AA300="MEDIO AMBIENTE",OFFSET('PARÁMETROS'!$K$20,MATCH(U300,JC_MA,0),MATCH(T300,CC_MA,0)),
IF(AA300="Rel. Gubernamentales",OFFSET('PARÁMETROS'!$K$48,MATCH(U300,JC_G,0),MATCH(T300,CC_G,0)),
IF(AA300="OPERACIONAL",OFFSET('PARÁMETROS'!$K$56,MATCH(U300,JC_OP,0),MATCH(T300,CC_OP,0)),
IF(AA300="FINANCIERO",OFFSET('PARÁMETROS'!$K$56,MATCH(U300,JC_FI,0),MATCH(T300,CC_FI,0)),
OFFSET('PARÁMETROS'!$K$38,MATCH(U300,JC_L,0),MATCH(T300,CC_L,0))))))))),"")</f>
        <v/>
      </c>
      <c r="W300" s="130"/>
      <c r="X300" s="135"/>
      <c r="Y300" s="136"/>
      <c r="Z300" s="30"/>
      <c r="AA300" s="31" t="str">
        <f>E299</f>
        <v/>
      </c>
    </row>
    <row r="301" ht="87.0" customHeight="1">
      <c r="A301" s="129"/>
      <c r="B301" s="130"/>
      <c r="C301" s="130"/>
      <c r="D301" s="130"/>
      <c r="E301" s="130"/>
      <c r="F301" s="130"/>
      <c r="G301" s="130"/>
      <c r="H301" s="130"/>
      <c r="I301" s="130"/>
      <c r="J301" s="130"/>
      <c r="K301" s="130"/>
      <c r="L301" s="130"/>
      <c r="M301" s="130"/>
      <c r="N301" s="130"/>
      <c r="O301" s="130"/>
      <c r="P301" s="132"/>
      <c r="Q301" s="134"/>
      <c r="R301" s="134"/>
      <c r="S301" s="134"/>
      <c r="T301" s="135"/>
      <c r="U301" s="135"/>
      <c r="V301" s="135" t="str">
        <f>IFERROR(IF(AA301="SEGURIDAD",OFFSET('PARÁMETROS'!$K$2,MATCH(U301,JC_SE,0),MATCH(T301,CC_SE,0)),
IF(OR(AA301="DSRC/Estratégico",AA301="DSRC/Operativo"),OFFSET('PARÁMETROS'!$K$11,MATCH(U301,JC_DS,0),MATCH(T301,CC_DS,0)),
IF(AA301="SALUD",OFFSET('PARÁMETROS'!$K$29,MATCH(U301,JC_SA,0),MATCH(T301,CC_SA,0)),
IF(AA301="MEDIO AMBIENTE",OFFSET('PARÁMETROS'!$K$20,MATCH(U301,JC_MA,0),MATCH(T301,CC_MA,0)),
IF(AA301="Rel. Gubernamentales",OFFSET('PARÁMETROS'!$K$48,MATCH(U301,JC_G,0),MATCH(T301,CC_G,0)),
IF(AA301="OPERACIONAL",OFFSET('PARÁMETROS'!$K$56,MATCH(U301,JC_OP,0),MATCH(T301,CC_OP,0)),
IF(AA301="FINANCIERO",OFFSET('PARÁMETROS'!$K$56,MATCH(U301,JC_FI,0),MATCH(T301,CC_FI,0)),
OFFSET('PARÁMETROS'!$K$38,MATCH(U301,JC_L,0),MATCH(T301,CC_L,0))))))))),"")</f>
        <v/>
      </c>
      <c r="W301" s="130"/>
      <c r="X301" s="135"/>
      <c r="Y301" s="136"/>
      <c r="Z301" s="30"/>
      <c r="AA301" s="31" t="str">
        <f>E299</f>
        <v/>
      </c>
    </row>
    <row r="302" ht="87.0" customHeight="1">
      <c r="A302" s="129"/>
      <c r="B302" s="130"/>
      <c r="C302" s="130"/>
      <c r="D302" s="130"/>
      <c r="E302" s="130"/>
      <c r="F302" s="130"/>
      <c r="G302" s="130"/>
      <c r="H302" s="130"/>
      <c r="I302" s="130"/>
      <c r="J302" s="130"/>
      <c r="K302" s="130"/>
      <c r="L302" s="130"/>
      <c r="M302" s="130"/>
      <c r="N302" s="130"/>
      <c r="O302" s="130"/>
      <c r="P302" s="132"/>
      <c r="Q302" s="134"/>
      <c r="R302" s="134"/>
      <c r="S302" s="134"/>
      <c r="T302" s="135"/>
      <c r="U302" s="135"/>
      <c r="V302" s="135" t="str">
        <f>IFERROR(IF(AA302="SEGURIDAD",OFFSET('PARÁMETROS'!$K$2,MATCH(U302,JC_SE,0),MATCH(T302,CC_SE,0)),
IF(OR(AA302="DSRC/Estratégico",AA302="DSRC/Operativo"),OFFSET('PARÁMETROS'!$K$11,MATCH(U302,JC_DS,0),MATCH(T302,CC_DS,0)),
IF(AA302="SALUD",OFFSET('PARÁMETROS'!$K$29,MATCH(U302,JC_SA,0),MATCH(T302,CC_SA,0)),
IF(AA302="MEDIO AMBIENTE",OFFSET('PARÁMETROS'!$K$20,MATCH(U302,JC_MA,0),MATCH(T302,CC_MA,0)),
IF(AA302="Rel. Gubernamentales",OFFSET('PARÁMETROS'!$K$48,MATCH(U302,JC_G,0),MATCH(T302,CC_G,0)),
IF(AA302="OPERACIONAL",OFFSET('PARÁMETROS'!$K$56,MATCH(U302,JC_OP,0),MATCH(T302,CC_OP,0)),
IF(AA302="FINANCIERO",OFFSET('PARÁMETROS'!$K$56,MATCH(U302,JC_FI,0),MATCH(T302,CC_FI,0)),
OFFSET('PARÁMETROS'!$K$38,MATCH(U302,JC_L,0),MATCH(T302,CC_L,0))))))))),"")</f>
        <v/>
      </c>
      <c r="W302" s="130"/>
      <c r="X302" s="135"/>
      <c r="Y302" s="136"/>
      <c r="Z302" s="30"/>
      <c r="AA302" s="31" t="str">
        <f>E299</f>
        <v/>
      </c>
    </row>
    <row r="303" ht="87.0" customHeight="1">
      <c r="A303" s="129"/>
      <c r="B303" s="130"/>
      <c r="C303" s="130"/>
      <c r="D303" s="130"/>
      <c r="E303" s="130"/>
      <c r="F303" s="130"/>
      <c r="G303" s="130"/>
      <c r="H303" s="130"/>
      <c r="I303" s="130"/>
      <c r="J303" s="130"/>
      <c r="K303" s="130"/>
      <c r="L303" s="130"/>
      <c r="M303" s="130"/>
      <c r="N303" s="130"/>
      <c r="O303" s="130"/>
      <c r="P303" s="132"/>
      <c r="Q303" s="134"/>
      <c r="R303" s="134"/>
      <c r="S303" s="134"/>
      <c r="T303" s="135"/>
      <c r="U303" s="135"/>
      <c r="V303" s="135" t="str">
        <f>IFERROR(IF(AA303="SEGURIDAD",OFFSET('PARÁMETROS'!$K$2,MATCH(U303,JC_SE,0),MATCH(T303,CC_SE,0)),
IF(OR(AA303="DSRC/Estratégico",AA303="DSRC/Operativo"),OFFSET('PARÁMETROS'!$K$11,MATCH(U303,JC_DS,0),MATCH(T303,CC_DS,0)),
IF(AA303="SALUD",OFFSET('PARÁMETROS'!$K$29,MATCH(U303,JC_SA,0),MATCH(T303,CC_SA,0)),
IF(AA303="MEDIO AMBIENTE",OFFSET('PARÁMETROS'!$K$20,MATCH(U303,JC_MA,0),MATCH(T303,CC_MA,0)),
IF(AA303="Rel. Gubernamentales",OFFSET('PARÁMETROS'!$K$48,MATCH(U303,JC_G,0),MATCH(T303,CC_G,0)),
IF(AA303="OPERACIONAL",OFFSET('PARÁMETROS'!$K$56,MATCH(U303,JC_OP,0),MATCH(T303,CC_OP,0)),
IF(AA303="FINANCIERO",OFFSET('PARÁMETROS'!$K$56,MATCH(U303,JC_FI,0),MATCH(T303,CC_FI,0)),
OFFSET('PARÁMETROS'!$K$38,MATCH(U303,JC_L,0),MATCH(T303,CC_L,0))))))))),"")</f>
        <v/>
      </c>
      <c r="W303" s="130"/>
      <c r="X303" s="135"/>
      <c r="Y303" s="136"/>
      <c r="Z303" s="30"/>
      <c r="AA303" s="31" t="str">
        <f>E299</f>
        <v/>
      </c>
    </row>
    <row r="304" ht="87.0" customHeight="1">
      <c r="A304" s="129"/>
      <c r="B304" s="130"/>
      <c r="C304" s="130"/>
      <c r="D304" s="130"/>
      <c r="E304" s="130"/>
      <c r="F304" s="130"/>
      <c r="G304" s="130"/>
      <c r="H304" s="130"/>
      <c r="I304" s="130"/>
      <c r="J304" s="130"/>
      <c r="K304" s="130"/>
      <c r="L304" s="130"/>
      <c r="M304" s="130"/>
      <c r="N304" s="130"/>
      <c r="O304" s="130"/>
      <c r="P304" s="132"/>
      <c r="Q304" s="134"/>
      <c r="R304" s="134"/>
      <c r="S304" s="134"/>
      <c r="T304" s="135"/>
      <c r="U304" s="135"/>
      <c r="V304" s="135" t="str">
        <f>IFERROR(IF(AA304="SEGURIDAD",OFFSET('PARÁMETROS'!$K$2,MATCH(U304,JC_SE,0),MATCH(T304,CC_SE,0)),
IF(OR(AA304="DSRC/Estratégico",AA304="DSRC/Operativo"),OFFSET('PARÁMETROS'!$K$11,MATCH(U304,JC_DS,0),MATCH(T304,CC_DS,0)),
IF(AA304="SALUD",OFFSET('PARÁMETROS'!$K$29,MATCH(U304,JC_SA,0),MATCH(T304,CC_SA,0)),
IF(AA304="MEDIO AMBIENTE",OFFSET('PARÁMETROS'!$K$20,MATCH(U304,JC_MA,0),MATCH(T304,CC_MA,0)),
IF(AA304="Rel. Gubernamentales",OFFSET('PARÁMETROS'!$K$48,MATCH(U304,JC_G,0),MATCH(T304,CC_G,0)),
IF(AA304="OPERACIONAL",OFFSET('PARÁMETROS'!$K$56,MATCH(U304,JC_OP,0),MATCH(T304,CC_OP,0)),
IF(AA304="FINANCIERO",OFFSET('PARÁMETROS'!$K$56,MATCH(U304,JC_FI,0),MATCH(T304,CC_FI,0)),
OFFSET('PARÁMETROS'!$K$38,MATCH(U304,JC_L,0),MATCH(T304,CC_L,0))))))))),"")</f>
        <v/>
      </c>
      <c r="W304" s="130"/>
      <c r="X304" s="135"/>
      <c r="Y304" s="136"/>
      <c r="Z304" s="30"/>
      <c r="AA304" s="31" t="str">
        <f>E299</f>
        <v/>
      </c>
    </row>
    <row r="305" ht="87.0" customHeight="1">
      <c r="A305" s="129"/>
      <c r="B305" s="130"/>
      <c r="C305" s="130"/>
      <c r="D305" s="130"/>
      <c r="E305" s="130"/>
      <c r="F305" s="130"/>
      <c r="G305" s="130"/>
      <c r="H305" s="130"/>
      <c r="I305" s="130"/>
      <c r="J305" s="130"/>
      <c r="K305" s="130"/>
      <c r="L305" s="130"/>
      <c r="M305" s="130"/>
      <c r="N305" s="130"/>
      <c r="O305" s="130"/>
      <c r="P305" s="132"/>
      <c r="Q305" s="134"/>
      <c r="R305" s="134"/>
      <c r="S305" s="134"/>
      <c r="T305" s="135"/>
      <c r="U305" s="135"/>
      <c r="V305" s="135" t="str">
        <f>IFERROR(IF(AA305="SEGURIDAD",OFFSET('PARÁMETROS'!$K$2,MATCH(U305,JC_SE,0),MATCH(T305,CC_SE,0)),
IF(OR(AA305="DSRC/Estratégico",AA305="DSRC/Operativo"),OFFSET('PARÁMETROS'!$K$11,MATCH(U305,JC_DS,0),MATCH(T305,CC_DS,0)),
IF(AA305="SALUD",OFFSET('PARÁMETROS'!$K$29,MATCH(U305,JC_SA,0),MATCH(T305,CC_SA,0)),
IF(AA305="MEDIO AMBIENTE",OFFSET('PARÁMETROS'!$K$20,MATCH(U305,JC_MA,0),MATCH(T305,CC_MA,0)),
IF(AA305="Rel. Gubernamentales",OFFSET('PARÁMETROS'!$K$48,MATCH(U305,JC_G,0),MATCH(T305,CC_G,0)),
IF(AA305="OPERACIONAL",OFFSET('PARÁMETROS'!$K$56,MATCH(U305,JC_OP,0),MATCH(T305,CC_OP,0)),
IF(AA305="FINANCIERO",OFFSET('PARÁMETROS'!$K$56,MATCH(U305,JC_FI,0),MATCH(T305,CC_FI,0)),
OFFSET('PARÁMETROS'!$K$38,MATCH(U305,JC_L,0),MATCH(T305,CC_L,0))))))))),"")</f>
        <v/>
      </c>
      <c r="W305" s="130"/>
      <c r="X305" s="135"/>
      <c r="Y305" s="136"/>
      <c r="Z305" s="30"/>
      <c r="AA305" s="31" t="str">
        <f>E299</f>
        <v/>
      </c>
    </row>
    <row r="306" ht="87.0" customHeight="1">
      <c r="A306" s="129"/>
      <c r="B306" s="130"/>
      <c r="C306" s="130"/>
      <c r="D306" s="130"/>
      <c r="E306" s="130"/>
      <c r="F306" s="130"/>
      <c r="G306" s="130"/>
      <c r="H306" s="130"/>
      <c r="I306" s="130"/>
      <c r="J306" s="130"/>
      <c r="K306" s="130"/>
      <c r="L306" s="130"/>
      <c r="M306" s="130"/>
      <c r="N306" s="130"/>
      <c r="O306" s="130"/>
      <c r="P306" s="132"/>
      <c r="Q306" s="134"/>
      <c r="R306" s="134"/>
      <c r="S306" s="134"/>
      <c r="T306" s="135"/>
      <c r="U306" s="135"/>
      <c r="V306" s="135" t="str">
        <f>IFERROR(IF(AA306="SEGURIDAD",OFFSET('PARÁMETROS'!$K$2,MATCH(U306,JC_SE,0),MATCH(T306,CC_SE,0)),
IF(OR(AA306="DSRC/Estratégico",AA306="DSRC/Operativo"),OFFSET('PARÁMETROS'!$K$11,MATCH(U306,JC_DS,0),MATCH(T306,CC_DS,0)),
IF(AA306="SALUD",OFFSET('PARÁMETROS'!$K$29,MATCH(U306,JC_SA,0),MATCH(T306,CC_SA,0)),
IF(AA306="MEDIO AMBIENTE",OFFSET('PARÁMETROS'!$K$20,MATCH(U306,JC_MA,0),MATCH(T306,CC_MA,0)),
IF(AA306="Rel. Gubernamentales",OFFSET('PARÁMETROS'!$K$48,MATCH(U306,JC_G,0),MATCH(T306,CC_G,0)),
IF(AA306="OPERACIONAL",OFFSET('PARÁMETROS'!$K$56,MATCH(U306,JC_OP,0),MATCH(T306,CC_OP,0)),
IF(AA306="FINANCIERO",OFFSET('PARÁMETROS'!$K$56,MATCH(U306,JC_FI,0),MATCH(T306,CC_FI,0)),
OFFSET('PARÁMETROS'!$K$38,MATCH(U306,JC_L,0),MATCH(T306,CC_L,0))))))))),"")</f>
        <v/>
      </c>
      <c r="W306" s="130"/>
      <c r="X306" s="135"/>
      <c r="Y306" s="136"/>
      <c r="Z306" s="30"/>
      <c r="AA306" s="31" t="str">
        <f>E299</f>
        <v/>
      </c>
    </row>
    <row r="307" ht="87.0" customHeight="1">
      <c r="A307" s="129"/>
      <c r="B307" s="130"/>
      <c r="C307" s="130"/>
      <c r="D307" s="130"/>
      <c r="E307" s="130"/>
      <c r="F307" s="130"/>
      <c r="G307" s="130"/>
      <c r="H307" s="130"/>
      <c r="I307" s="130"/>
      <c r="J307" s="130"/>
      <c r="K307" s="130"/>
      <c r="L307" s="130"/>
      <c r="M307" s="130"/>
      <c r="N307" s="130"/>
      <c r="O307" s="130"/>
      <c r="P307" s="132"/>
      <c r="Q307" s="134"/>
      <c r="R307" s="134"/>
      <c r="S307" s="134"/>
      <c r="T307" s="135"/>
      <c r="U307" s="135"/>
      <c r="V307" s="135" t="str">
        <f>IFERROR(IF(AA307="SEGURIDAD",OFFSET('PARÁMETROS'!$K$2,MATCH(U307,JC_SE,0),MATCH(T307,CC_SE,0)),
IF(OR(AA307="DSRC/Estratégico",AA307="DSRC/Operativo"),OFFSET('PARÁMETROS'!$K$11,MATCH(U307,JC_DS,0),MATCH(T307,CC_DS,0)),
IF(AA307="SALUD",OFFSET('PARÁMETROS'!$K$29,MATCH(U307,JC_SA,0),MATCH(T307,CC_SA,0)),
IF(AA307="MEDIO AMBIENTE",OFFSET('PARÁMETROS'!$K$20,MATCH(U307,JC_MA,0),MATCH(T307,CC_MA,0)),
IF(AA307="Rel. Gubernamentales",OFFSET('PARÁMETROS'!$K$48,MATCH(U307,JC_G,0),MATCH(T307,CC_G,0)),
IF(AA307="OPERACIONAL",OFFSET('PARÁMETROS'!$K$56,MATCH(U307,JC_OP,0),MATCH(T307,CC_OP,0)),
IF(AA307="FINANCIERO",OFFSET('PARÁMETROS'!$K$56,MATCH(U307,JC_FI,0),MATCH(T307,CC_FI,0)),
OFFSET('PARÁMETROS'!$K$38,MATCH(U307,JC_L,0),MATCH(T307,CC_L,0))))))))),"")</f>
        <v/>
      </c>
      <c r="W307" s="130"/>
      <c r="X307" s="135"/>
      <c r="Y307" s="136"/>
      <c r="Z307" s="30"/>
      <c r="AA307" s="31" t="str">
        <f>E299</f>
        <v/>
      </c>
    </row>
    <row r="308" ht="87.0" customHeight="1">
      <c r="A308" s="129"/>
      <c r="B308" s="130"/>
      <c r="C308" s="130"/>
      <c r="D308" s="130"/>
      <c r="E308" s="130"/>
      <c r="F308" s="130"/>
      <c r="G308" s="130"/>
      <c r="H308" s="130"/>
      <c r="I308" s="130"/>
      <c r="J308" s="130"/>
      <c r="K308" s="130"/>
      <c r="L308" s="130"/>
      <c r="M308" s="130"/>
      <c r="N308" s="130"/>
      <c r="O308" s="130"/>
      <c r="P308" s="132"/>
      <c r="Q308" s="134"/>
      <c r="R308" s="134"/>
      <c r="S308" s="134"/>
      <c r="T308" s="135"/>
      <c r="U308" s="135"/>
      <c r="V308" s="135" t="str">
        <f>IFERROR(IF(AA308="SEGURIDAD",OFFSET('PARÁMETROS'!$K$2,MATCH(U308,JC_SE,0),MATCH(T308,CC_SE,0)),
IF(OR(AA308="DSRC/Estratégico",AA308="DSRC/Operativo"),OFFSET('PARÁMETROS'!$K$11,MATCH(U308,JC_DS,0),MATCH(T308,CC_DS,0)),
IF(AA308="SALUD",OFFSET('PARÁMETROS'!$K$29,MATCH(U308,JC_SA,0),MATCH(T308,CC_SA,0)),
IF(AA308="MEDIO AMBIENTE",OFFSET('PARÁMETROS'!$K$20,MATCH(U308,JC_MA,0),MATCH(T308,CC_MA,0)),
IF(AA308="Rel. Gubernamentales",OFFSET('PARÁMETROS'!$K$48,MATCH(U308,JC_G,0),MATCH(T308,CC_G,0)),
IF(AA308="OPERACIONAL",OFFSET('PARÁMETROS'!$K$56,MATCH(U308,JC_OP,0),MATCH(T308,CC_OP,0)),
IF(AA308="FINANCIERO",OFFSET('PARÁMETROS'!$K$56,MATCH(U308,JC_FI,0),MATCH(T308,CC_FI,0)),
OFFSET('PARÁMETROS'!$K$38,MATCH(U308,JC_L,0),MATCH(T308,CC_L,0))))))))),"")</f>
        <v/>
      </c>
      <c r="W308" s="130"/>
      <c r="X308" s="135"/>
      <c r="Y308" s="136"/>
      <c r="Z308" s="30"/>
      <c r="AA308" s="31" t="str">
        <f>E299</f>
        <v/>
      </c>
    </row>
    <row r="309" ht="87.0" customHeight="1">
      <c r="A309" s="129"/>
      <c r="B309" s="130"/>
      <c r="C309" s="130"/>
      <c r="D309" s="130"/>
      <c r="E309" s="130"/>
      <c r="F309" s="130"/>
      <c r="G309" s="130"/>
      <c r="H309" s="130"/>
      <c r="I309" s="130"/>
      <c r="J309" s="130"/>
      <c r="K309" s="130"/>
      <c r="L309" s="130"/>
      <c r="M309" s="130"/>
      <c r="N309" s="130"/>
      <c r="O309" s="130"/>
      <c r="P309" s="132"/>
      <c r="Q309" s="134"/>
      <c r="R309" s="134"/>
      <c r="S309" s="134"/>
      <c r="T309" s="135"/>
      <c r="U309" s="135"/>
      <c r="V309" s="135" t="str">
        <f>IFERROR(IF(AA309="SEGURIDAD",OFFSET('PARÁMETROS'!$K$2,MATCH(U309,JC_SE,0),MATCH(T309,CC_SE,0)),
IF(OR(AA309="DSRC/Estratégico",AA309="DSRC/Operativo"),OFFSET('PARÁMETROS'!$K$11,MATCH(U309,JC_DS,0),MATCH(T309,CC_DS,0)),
IF(AA309="SALUD",OFFSET('PARÁMETROS'!$K$29,MATCH(U309,JC_SA,0),MATCH(T309,CC_SA,0)),
IF(AA309="MEDIO AMBIENTE",OFFSET('PARÁMETROS'!$K$20,MATCH(U309,JC_MA,0),MATCH(T309,CC_MA,0)),
IF(AA309="Rel. Gubernamentales",OFFSET('PARÁMETROS'!$K$48,MATCH(U309,JC_G,0),MATCH(T309,CC_G,0)),
IF(AA309="OPERACIONAL",OFFSET('PARÁMETROS'!$K$56,MATCH(U309,JC_OP,0),MATCH(T309,CC_OP,0)),
IF(AA309="FINANCIERO",OFFSET('PARÁMETROS'!$K$56,MATCH(U309,JC_FI,0),MATCH(T309,CC_FI,0)),
OFFSET('PARÁMETROS'!$K$38,MATCH(U309,JC_L,0),MATCH(T309,CC_L,0))))))))),"")</f>
        <v/>
      </c>
      <c r="W309" s="130"/>
      <c r="X309" s="135"/>
      <c r="Y309" s="136"/>
      <c r="Z309" s="30"/>
      <c r="AA309" s="31" t="str">
        <f>E299</f>
        <v/>
      </c>
    </row>
    <row r="310" ht="87.0" customHeight="1">
      <c r="A310" s="129"/>
      <c r="B310" s="130"/>
      <c r="C310" s="130"/>
      <c r="D310" s="130"/>
      <c r="E310" s="130"/>
      <c r="F310" s="130"/>
      <c r="G310" s="130"/>
      <c r="H310" s="130"/>
      <c r="I310" s="130"/>
      <c r="J310" s="130"/>
      <c r="K310" s="130"/>
      <c r="L310" s="130"/>
      <c r="M310" s="130"/>
      <c r="N310" s="130"/>
      <c r="O310" s="130"/>
      <c r="P310" s="132"/>
      <c r="Q310" s="134"/>
      <c r="R310" s="134"/>
      <c r="S310" s="134"/>
      <c r="T310" s="135"/>
      <c r="U310" s="135"/>
      <c r="V310" s="135" t="str">
        <f>IFERROR(IF(AA310="SEGURIDAD",OFFSET('PARÁMETROS'!$K$2,MATCH(U310,JC_SE,0),MATCH(T310,CC_SE,0)),
IF(OR(AA310="DSRC/Estratégico",AA310="DSRC/Operativo"),OFFSET('PARÁMETROS'!$K$11,MATCH(U310,JC_DS,0),MATCH(T310,CC_DS,0)),
IF(AA310="SALUD",OFFSET('PARÁMETROS'!$K$29,MATCH(U310,JC_SA,0),MATCH(T310,CC_SA,0)),
IF(AA310="MEDIO AMBIENTE",OFFSET('PARÁMETROS'!$K$20,MATCH(U310,JC_MA,0),MATCH(T310,CC_MA,0)),
IF(AA310="Rel. Gubernamentales",OFFSET('PARÁMETROS'!$K$48,MATCH(U310,JC_G,0),MATCH(T310,CC_G,0)),
IF(AA310="OPERACIONAL",OFFSET('PARÁMETROS'!$K$56,MATCH(U310,JC_OP,0),MATCH(T310,CC_OP,0)),
IF(AA310="FINANCIERO",OFFSET('PARÁMETROS'!$K$56,MATCH(U310,JC_FI,0),MATCH(T310,CC_FI,0)),
OFFSET('PARÁMETROS'!$K$38,MATCH(U310,JC_L,0),MATCH(T310,CC_L,0))))))))),"")</f>
        <v/>
      </c>
      <c r="W310" s="130"/>
      <c r="X310" s="135"/>
      <c r="Y310" s="136"/>
      <c r="Z310" s="30"/>
      <c r="AA310" s="31" t="str">
        <f>E299</f>
        <v/>
      </c>
    </row>
    <row r="311" ht="87.0" customHeight="1">
      <c r="A311" s="129"/>
      <c r="B311" s="130"/>
      <c r="C311" s="130"/>
      <c r="D311" s="130"/>
      <c r="E311" s="130"/>
      <c r="F311" s="130"/>
      <c r="G311" s="130"/>
      <c r="H311" s="130"/>
      <c r="I311" s="130"/>
      <c r="J311" s="130"/>
      <c r="K311" s="130"/>
      <c r="L311" s="130"/>
      <c r="M311" s="130"/>
      <c r="N311" s="130"/>
      <c r="O311" s="130"/>
      <c r="P311" s="132"/>
      <c r="Q311" s="134"/>
      <c r="R311" s="134"/>
      <c r="S311" s="134"/>
      <c r="T311" s="135"/>
      <c r="U311" s="135"/>
      <c r="V311" s="135" t="str">
        <f>IFERROR(IF(AA311="SEGURIDAD",OFFSET('PARÁMETROS'!$K$2,MATCH(U311,JC_SE,0),MATCH(T311,CC_SE,0)),
IF(OR(AA311="DSRC/Estratégico",AA311="DSRC/Operativo"),OFFSET('PARÁMETROS'!$K$11,MATCH(U311,JC_DS,0),MATCH(T311,CC_DS,0)),
IF(AA311="SALUD",OFFSET('PARÁMETROS'!$K$29,MATCH(U311,JC_SA,0),MATCH(T311,CC_SA,0)),
IF(AA311="MEDIO AMBIENTE",OFFSET('PARÁMETROS'!$K$20,MATCH(U311,JC_MA,0),MATCH(T311,CC_MA,0)),
IF(AA311="Rel. Gubernamentales",OFFSET('PARÁMETROS'!$K$48,MATCH(U311,JC_G,0),MATCH(T311,CC_G,0)),
IF(AA311="OPERACIONAL",OFFSET('PARÁMETROS'!$K$56,MATCH(U311,JC_OP,0),MATCH(T311,CC_OP,0)),
IF(AA311="FINANCIERO",OFFSET('PARÁMETROS'!$K$56,MATCH(U311,JC_FI,0),MATCH(T311,CC_FI,0)),
OFFSET('PARÁMETROS'!$K$38,MATCH(U311,JC_L,0),MATCH(T311,CC_L,0))))))))),"")</f>
        <v/>
      </c>
      <c r="W311" s="130"/>
      <c r="X311" s="135"/>
      <c r="Y311" s="136"/>
      <c r="Z311" s="30"/>
      <c r="AA311" s="31" t="str">
        <f>E299</f>
        <v/>
      </c>
    </row>
    <row r="312" ht="87.0" customHeight="1">
      <c r="A312" s="129"/>
      <c r="B312" s="130"/>
      <c r="C312" s="130"/>
      <c r="D312" s="130"/>
      <c r="E312" s="130"/>
      <c r="F312" s="130"/>
      <c r="G312" s="130"/>
      <c r="H312" s="130"/>
      <c r="I312" s="130"/>
      <c r="J312" s="130"/>
      <c r="K312" s="130"/>
      <c r="L312" s="130"/>
      <c r="M312" s="130"/>
      <c r="N312" s="130"/>
      <c r="O312" s="130"/>
      <c r="P312" s="132"/>
      <c r="Q312" s="134"/>
      <c r="R312" s="134"/>
      <c r="S312" s="134"/>
      <c r="T312" s="135"/>
      <c r="U312" s="135"/>
      <c r="V312" s="135" t="str">
        <f>IFERROR(IF(AA312="SEGURIDAD",OFFSET('PARÁMETROS'!$K$2,MATCH(U312,JC_SE,0),MATCH(T312,CC_SE,0)),
IF(OR(AA312="DSRC/Estratégico",AA312="DSRC/Operativo"),OFFSET('PARÁMETROS'!$K$11,MATCH(U312,JC_DS,0),MATCH(T312,CC_DS,0)),
IF(AA312="SALUD",OFFSET('PARÁMETROS'!$K$29,MATCH(U312,JC_SA,0),MATCH(T312,CC_SA,0)),
IF(AA312="MEDIO AMBIENTE",OFFSET('PARÁMETROS'!$K$20,MATCH(U312,JC_MA,0),MATCH(T312,CC_MA,0)),
IF(AA312="Rel. Gubernamentales",OFFSET('PARÁMETROS'!$K$48,MATCH(U312,JC_G,0),MATCH(T312,CC_G,0)),
IF(AA312="OPERACIONAL",OFFSET('PARÁMETROS'!$K$56,MATCH(U312,JC_OP,0),MATCH(T312,CC_OP,0)),
IF(AA312="FINANCIERO",OFFSET('PARÁMETROS'!$K$56,MATCH(U312,JC_FI,0),MATCH(T312,CC_FI,0)),
OFFSET('PARÁMETROS'!$K$38,MATCH(U312,JC_L,0),MATCH(T312,CC_L,0))))))))),"")</f>
        <v/>
      </c>
      <c r="W312" s="130"/>
      <c r="X312" s="135"/>
      <c r="Y312" s="136"/>
      <c r="Z312" s="30"/>
      <c r="AA312" s="31" t="str">
        <f>E299</f>
        <v/>
      </c>
    </row>
    <row r="313" ht="87.0" customHeight="1">
      <c r="A313" s="129"/>
      <c r="B313" s="130"/>
      <c r="C313" s="130"/>
      <c r="D313" s="130"/>
      <c r="E313" s="130"/>
      <c r="F313" s="130"/>
      <c r="G313" s="130"/>
      <c r="H313" s="130"/>
      <c r="I313" s="130"/>
      <c r="J313" s="130"/>
      <c r="K313" s="130"/>
      <c r="L313" s="130"/>
      <c r="M313" s="130"/>
      <c r="N313" s="130"/>
      <c r="O313" s="130"/>
      <c r="P313" s="132"/>
      <c r="Q313" s="134"/>
      <c r="R313" s="134"/>
      <c r="S313" s="134"/>
      <c r="T313" s="135"/>
      <c r="U313" s="135"/>
      <c r="V313" s="135" t="str">
        <f>IFERROR(IF(AA313="SEGURIDAD",OFFSET('PARÁMETROS'!$K$2,MATCH(U313,JC_SE,0),MATCH(T313,CC_SE,0)),
IF(OR(AA313="DSRC/Estratégico",AA313="DSRC/Operativo"),OFFSET('PARÁMETROS'!$K$11,MATCH(U313,JC_DS,0),MATCH(T313,CC_DS,0)),
IF(AA313="SALUD",OFFSET('PARÁMETROS'!$K$29,MATCH(U313,JC_SA,0),MATCH(T313,CC_SA,0)),
IF(AA313="MEDIO AMBIENTE",OFFSET('PARÁMETROS'!$K$20,MATCH(U313,JC_MA,0),MATCH(T313,CC_MA,0)),
IF(AA313="Rel. Gubernamentales",OFFSET('PARÁMETROS'!$K$48,MATCH(U313,JC_G,0),MATCH(T313,CC_G,0)),
IF(AA313="OPERACIONAL",OFFSET('PARÁMETROS'!$K$56,MATCH(U313,JC_OP,0),MATCH(T313,CC_OP,0)),
IF(AA313="FINANCIERO",OFFSET('PARÁMETROS'!$K$56,MATCH(U313,JC_FI,0),MATCH(T313,CC_FI,0)),
OFFSET('PARÁMETROS'!$K$38,MATCH(U313,JC_L,0),MATCH(T313,CC_L,0))))))))),"")</f>
        <v/>
      </c>
      <c r="W313" s="130"/>
      <c r="X313" s="135"/>
      <c r="Y313" s="136"/>
      <c r="Z313" s="30"/>
      <c r="AA313" s="31" t="str">
        <f>E299</f>
        <v/>
      </c>
    </row>
    <row r="314" ht="87.0" customHeight="1">
      <c r="A314" s="89"/>
      <c r="B314" s="90"/>
      <c r="C314" s="90"/>
      <c r="D314" s="157"/>
      <c r="E314" s="157"/>
      <c r="F314" s="157"/>
      <c r="G314" s="157"/>
      <c r="H314" s="157"/>
      <c r="I314" s="90"/>
      <c r="J314" s="90"/>
      <c r="K314" s="90"/>
      <c r="L314" s="90"/>
      <c r="M314" s="90"/>
      <c r="N314" s="90"/>
      <c r="O314" s="90"/>
      <c r="P314" s="132"/>
      <c r="Q314" s="134"/>
      <c r="R314" s="145"/>
      <c r="S314" s="145"/>
      <c r="T314" s="135"/>
      <c r="U314" s="135"/>
      <c r="V314" s="135" t="str">
        <f>IFERROR(IF(AA314="SEGURIDAD",OFFSET('PARÁMETROS'!$K$2,MATCH(U314,JC_SE,0),MATCH(T314,CC_SE,0)),
IF(OR(AA314="DSRC/Estratégico",AA314="DSRC/Operativo"),OFFSET('PARÁMETROS'!$K$11,MATCH(U314,JC_DS,0),MATCH(T314,CC_DS,0)),
IF(AA314="SALUD",OFFSET('PARÁMETROS'!$K$29,MATCH(U314,JC_SA,0),MATCH(T314,CC_SA,0)),
IF(AA314="MEDIO AMBIENTE",OFFSET('PARÁMETROS'!$K$20,MATCH(U314,JC_MA,0),MATCH(T314,CC_MA,0)),
IF(AA314="Rel. Gubernamentales",OFFSET('PARÁMETROS'!$K$48,MATCH(U314,JC_G,0),MATCH(T314,CC_G,0)),
IF(AA314="OPERACIONAL",OFFSET('PARÁMETROS'!$K$56,MATCH(U314,JC_OP,0),MATCH(T314,CC_OP,0)),
IF(AA314="FINANCIERO",OFFSET('PARÁMETROS'!$K$56,MATCH(U314,JC_FI,0),MATCH(T314,CC_FI,0)),
OFFSET('PARÁMETROS'!$K$38,MATCH(U314,JC_L,0),MATCH(T314,CC_L,0))))))))),"")</f>
        <v/>
      </c>
      <c r="W314" s="90"/>
      <c r="X314" s="135"/>
      <c r="Y314" s="136"/>
      <c r="Z314" s="30"/>
      <c r="AA314" s="31" t="str">
        <f>E299</f>
        <v/>
      </c>
    </row>
    <row r="315" ht="87.0" customHeight="1">
      <c r="A315" s="102"/>
      <c r="B315" s="103"/>
      <c r="C315" s="103"/>
      <c r="D315" s="103"/>
      <c r="E315" s="103"/>
      <c r="F315" s="103"/>
      <c r="G315" s="105"/>
      <c r="H315" s="103"/>
      <c r="I315" s="105"/>
      <c r="J315" s="103"/>
      <c r="K315" s="103"/>
      <c r="L315" s="103" t="str">
        <f>IF(OR(J315&lt;&gt;"",K315&lt;&gt;""),OFFSET('PARÁMETROS'!$B$2,K315,J315),"")</f>
        <v/>
      </c>
      <c r="M315" s="103"/>
      <c r="N315" s="103">
        <f>IFERROR(L315*M315,"")</f>
        <v>0</v>
      </c>
      <c r="O315" s="108" t="str">
        <f>IF(N315="","",IFERROR(IF(N315&lt;=2,"ACEPTABLE",IF(N315&lt;=6,"BAJA",IF(N315&lt;=10,"ACEPTABLE CON REVISIÓN",IF(N315&lt;=15,"SUSTANCIAL","INACEPTABLE")))),""))</f>
        <v>ACEPTABLE</v>
      </c>
      <c r="P315" s="113"/>
      <c r="Q315" s="114"/>
      <c r="R315" s="114"/>
      <c r="S315" s="114"/>
      <c r="T315" s="115"/>
      <c r="U315" s="115"/>
      <c r="V315" s="115" t="str">
        <f>IFERROR(IF(AA315="SEGURIDAD",OFFSET('PARÁMETROS'!$K$2,MATCH(U315,JC_SE,0),MATCH(T315,CC_SE,0)),
IF(OR(AA315="DSRC/Estratégico",AA315="DSRC/Operativo"),OFFSET('PARÁMETROS'!$K$11,MATCH(U315,JC_DS,0),MATCH(T315,CC_DS,0)),
IF(AA315="SALUD",OFFSET('PARÁMETROS'!$K$29,MATCH(U315,JC_SA,0),MATCH(T315,CC_SA,0)),
IF(AA315="MEDIO AMBIENTE",OFFSET('PARÁMETROS'!$K$20,MATCH(U315,JC_MA,0),MATCH(T315,CC_MA,0)),
IF(AA315="Rel. Gubernamentales",OFFSET('PARÁMETROS'!$K$48,MATCH(U315,JC_G,0),MATCH(T315,CC_G,0)),
IF(AA315="OPERACIONAL",OFFSET('PARÁMETROS'!$K$56,MATCH(U315,JC_OP,0),MATCH(T315,CC_OP,0)),
IF(AA315="FINANCIERO",OFFSET('PARÁMETROS'!$K$56,MATCH(U315,JC_FI,0),MATCH(T315,CC_FI,0)),
OFFSET('PARÁMETROS'!$K$38,MATCH(U315,JC_L,0),MATCH(T315,CC_L,0))))))))),"")</f>
        <v/>
      </c>
      <c r="W315" s="108" t="str">
        <f>IF(E315="","",
IF(COUNTA(V315:V330)-COUNTBLANK(V315:V330)=1,
IF(O315="INACEPTABLE",IF(COUNTIF(V315:V330,"Control/Acción Eficaz")&gt;=1,"SUSTANCIAL","INACEPTABLE"),
IF(O315="SUSTANCIAL",IF(COUNTIF(V315:V330,"Control/Acción Eficaz")&gt;=1,"ACEPTABLE CON REVISIÓN","SUSTANCIAL"),
IF(O315="ACEPTABLE CON REVISIÓN",IF(COUNTIF(V315:V330,"Control/Acción Eficaz")&gt;=1,"BAJA","ACEPTABLE CON REVISIÓN"),
IF(O315="BAJA",IF(COUNTIF(V315:V330,"Control/Acción Eficaz")&gt;=1,"ACEPTABLE","BAJA"),)))),
IF(COUNTA(V315:V330)-COUNTBLANK(V315:V330)=2,
IF(O315="INACEPTABLE",IF(COUNTIF(V315:V330,"Control/Acción Eficaz")=2,"ACEPTABLE CON REVISIÓN",
IF(OR(AND(COUNTIF(V315:V330,"Control/Acción Eficaz")=1,COUNTIF(V315:V330,"Control/Acción Satisfactorio")=1),
AND(COUNTIF(V315:V330,"Control/Acción Eficaz")=1,COUNTIF(V315:V330,"Control/Acción No Eficaz")=1)),"SUSTANCIAL","INACEPTABLE")),
IF(O315="SUSTANCIAL",IF(COUNTIF(V315:V330,"Control/Acción Eficaz")=2,"BAJA",
IF(OR(AND(COUNTIF(V315:V330,"Control/Acción Eficaz")=1,COUNTIF(V315:V330,"Control/Acción Satisfactorio")=1),
AND(COUNTIF(V315:V330,"Control/Acción Eficaz")=1,COUNTIF(V315:V330,"Control/Acción No Eficaz")=1)),"ACEPTABLE CON REVISIÓN ","SUSTANCIAL")),
IF(O315="ACEPTABLE CON REVISIÓN",IF(COUNTIF(V315:V330,"Control/Acción Eficaz")=2,"ACEPTABLE",
IF(OR(AND(COUNTIF(V315:V330,"Control/Acción Eficaz")=1,COUNTIF(V315:V330,"Control/Acción Satisfactorio")=1),
AND(COUNTIF(V315:V330,"Control/Acción Eficaz")=1,COUNTIF(V315:V330,"Control/Acción No Eficaz")=1)),"BAJA","ACEPTABLE CON REVISIÓN")),
IF(O315="BAJA",IF(COUNTIF(V315:V330,"Control/Acción Eficaz")&gt;=2,"ACEPTABLE","BAJA"),)))),
IF(COUNTA(V315:V330)-COUNTBLANK(V315:V330)&gt;=3,
IF(O315="INACEPTABLE",
IF(COUNTBLANK(V315:V330)=COUNTA(V315:V330),"",
IF(COUNTIF(V315:V330,"Control/Acción No Eficaz")&gt;=2,"INACEPTABLE",
IF(AND(COUNTIF(V315:V330,"Control/Acción No Eficaz")=0,COUNTIF(V315:V330,"Control/Acción Eficaz")&gt;=2),"ACEPTABLE CON REVISIÓN ","SUSTANCIAL"))),
IF(O315="SUSTANCIAL",
IF(COUNTBLANK(V315:V330)=COUNTA(V315:V330),"",
IF(COUNTIF(V315:V330,"Control/Acción No Eficaz")&gt;=2,"SUSTANCIAL",
IF(AND(COUNTIF(V315:V330,"Control/Acción No Eficaz")=0,COUNTIF(V315:V330,"Control/Acción Eficaz")&gt;=2),"BAJA","ACEPTABLE CON REVISIÓN"))),
IF(O315="ACEPTABLE CON REVISIÓN",
IF(COUNTBLANK(V315:V330)=COUNTA(V315:V330),"",
IF(COUNTIF(V315:V330,"Control/Acción No Eficaz")&gt;=2,"ACEPTABLE CON REVISIÓN",
IF(AND(COUNTIF(V315:V330,"Control/Acción No Eficaz")=0,COUNTIF(V315:V330,"Control/Acción Eficaz")&gt;=2),"ACEPTABLE","BAJA"))),
IF(O315="BAJA",
IF(COUNTBLANK(V315:V330)=COUNTA(V315:V330),"",
IF(AND(COUNTBLANK(V315:V330)&lt;1,COUNTA(V315:V330)=1),
IF(COUNTIF(V315:V330,"Control/Acción No Eficaz")&gt;=2,"BAJA",
IF(AND(COUNTIF(V315:V330,"Control/Acción No Eficaz")=0,COUNTIF(V315:V330,"Control/Acción Eficaz")&gt;=2),"ACEPTABLE","BAJA")),
IF(COUNTIF(V315:V330,"Control/Acción No Eficaz")&gt;=2,"BAJA",
IF(AND(COUNTIF(V315:V330,"Control/Acción No Eficaz")=0,COUNTIF(V315:V330,"Control/Acción Eficaz")&gt;=2),"ACEPTABLE","BAJA")))),
IF(COUNTIF(V315:V330,"")&gt;=5,"",O315))))),
""))))</f>
        <v/>
      </c>
      <c r="X315" s="115"/>
      <c r="Y315" s="128"/>
      <c r="Z315" s="30"/>
      <c r="AA315" s="31" t="str">
        <f>E315</f>
        <v/>
      </c>
    </row>
    <row r="316" ht="87.0" customHeight="1">
      <c r="A316" s="129"/>
      <c r="B316" s="130"/>
      <c r="C316" s="130"/>
      <c r="D316" s="130"/>
      <c r="E316" s="130"/>
      <c r="F316" s="130"/>
      <c r="G316" s="130"/>
      <c r="H316" s="130"/>
      <c r="I316" s="130"/>
      <c r="J316" s="130"/>
      <c r="K316" s="130"/>
      <c r="L316" s="130"/>
      <c r="M316" s="130"/>
      <c r="N316" s="130"/>
      <c r="O316" s="130"/>
      <c r="P316" s="132"/>
      <c r="Q316" s="134"/>
      <c r="R316" s="134"/>
      <c r="S316" s="134"/>
      <c r="T316" s="135"/>
      <c r="U316" s="135"/>
      <c r="V316" s="135" t="str">
        <f>IFERROR(IF(AA316="SEGURIDAD",OFFSET('PARÁMETROS'!$K$2,MATCH(U316,JC_SE,0),MATCH(T316,CC_SE,0)),
IF(OR(AA316="DSRC/Estratégico",AA316="DSRC/Operativo"),OFFSET('PARÁMETROS'!$K$11,MATCH(U316,JC_DS,0),MATCH(T316,CC_DS,0)),
IF(AA316="SALUD",OFFSET('PARÁMETROS'!$K$29,MATCH(U316,JC_SA,0),MATCH(T316,CC_SA,0)),
IF(AA316="MEDIO AMBIENTE",OFFSET('PARÁMETROS'!$K$20,MATCH(U316,JC_MA,0),MATCH(T316,CC_MA,0)),
IF(AA316="Rel. Gubernamentales",OFFSET('PARÁMETROS'!$K$48,MATCH(U316,JC_G,0),MATCH(T316,CC_G,0)),
IF(AA316="OPERACIONAL",OFFSET('PARÁMETROS'!$K$56,MATCH(U316,JC_OP,0),MATCH(T316,CC_OP,0)),
IF(AA316="FINANCIERO",OFFSET('PARÁMETROS'!$K$56,MATCH(U316,JC_FI,0),MATCH(T316,CC_FI,0)),
OFFSET('PARÁMETROS'!$K$38,MATCH(U316,JC_L,0),MATCH(T316,CC_L,0))))))))),"")</f>
        <v/>
      </c>
      <c r="W316" s="130"/>
      <c r="X316" s="135"/>
      <c r="Y316" s="136"/>
      <c r="Z316" s="30"/>
      <c r="AA316" s="31" t="str">
        <f>E315</f>
        <v/>
      </c>
    </row>
    <row r="317" ht="87.0" customHeight="1">
      <c r="A317" s="129"/>
      <c r="B317" s="130"/>
      <c r="C317" s="130"/>
      <c r="D317" s="130"/>
      <c r="E317" s="130"/>
      <c r="F317" s="130"/>
      <c r="G317" s="130"/>
      <c r="H317" s="130"/>
      <c r="I317" s="130"/>
      <c r="J317" s="130"/>
      <c r="K317" s="130"/>
      <c r="L317" s="130"/>
      <c r="M317" s="130"/>
      <c r="N317" s="130"/>
      <c r="O317" s="130"/>
      <c r="P317" s="132"/>
      <c r="Q317" s="134"/>
      <c r="R317" s="134"/>
      <c r="S317" s="134"/>
      <c r="T317" s="135"/>
      <c r="U317" s="135"/>
      <c r="V317" s="135" t="str">
        <f>IFERROR(IF(AA317="SEGURIDAD",OFFSET('PARÁMETROS'!$K$2,MATCH(U317,JC_SE,0),MATCH(T317,CC_SE,0)),
IF(OR(AA317="DSRC/Estratégico",AA317="DSRC/Operativo"),OFFSET('PARÁMETROS'!$K$11,MATCH(U317,JC_DS,0),MATCH(T317,CC_DS,0)),
IF(AA317="SALUD",OFFSET('PARÁMETROS'!$K$29,MATCH(U317,JC_SA,0),MATCH(T317,CC_SA,0)),
IF(AA317="MEDIO AMBIENTE",OFFSET('PARÁMETROS'!$K$20,MATCH(U317,JC_MA,0),MATCH(T317,CC_MA,0)),
IF(AA317="Rel. Gubernamentales",OFFSET('PARÁMETROS'!$K$48,MATCH(U317,JC_G,0),MATCH(T317,CC_G,0)),
IF(AA317="OPERACIONAL",OFFSET('PARÁMETROS'!$K$56,MATCH(U317,JC_OP,0),MATCH(T317,CC_OP,0)),
IF(AA317="FINANCIERO",OFFSET('PARÁMETROS'!$K$56,MATCH(U317,JC_FI,0),MATCH(T317,CC_FI,0)),
OFFSET('PARÁMETROS'!$K$38,MATCH(U317,JC_L,0),MATCH(T317,CC_L,0))))))))),"")</f>
        <v/>
      </c>
      <c r="W317" s="130"/>
      <c r="X317" s="135"/>
      <c r="Y317" s="136"/>
      <c r="Z317" s="30"/>
      <c r="AA317" s="31" t="str">
        <f>E315</f>
        <v/>
      </c>
    </row>
    <row r="318" ht="87.0" customHeight="1">
      <c r="A318" s="129"/>
      <c r="B318" s="130"/>
      <c r="C318" s="130"/>
      <c r="D318" s="130"/>
      <c r="E318" s="130"/>
      <c r="F318" s="130"/>
      <c r="G318" s="130"/>
      <c r="H318" s="130"/>
      <c r="I318" s="130"/>
      <c r="J318" s="130"/>
      <c r="K318" s="130"/>
      <c r="L318" s="130"/>
      <c r="M318" s="130"/>
      <c r="N318" s="130"/>
      <c r="O318" s="130"/>
      <c r="P318" s="132"/>
      <c r="Q318" s="134"/>
      <c r="R318" s="134"/>
      <c r="S318" s="134"/>
      <c r="T318" s="135"/>
      <c r="U318" s="135"/>
      <c r="V318" s="135" t="str">
        <f>IFERROR(IF(AA318="SEGURIDAD",OFFSET('PARÁMETROS'!$K$2,MATCH(U318,JC_SE,0),MATCH(T318,CC_SE,0)),
IF(OR(AA318="DSRC/Estratégico",AA318="DSRC/Operativo"),OFFSET('PARÁMETROS'!$K$11,MATCH(U318,JC_DS,0),MATCH(T318,CC_DS,0)),
IF(AA318="SALUD",OFFSET('PARÁMETROS'!$K$29,MATCH(U318,JC_SA,0),MATCH(T318,CC_SA,0)),
IF(AA318="MEDIO AMBIENTE",OFFSET('PARÁMETROS'!$K$20,MATCH(U318,JC_MA,0),MATCH(T318,CC_MA,0)),
IF(AA318="Rel. Gubernamentales",OFFSET('PARÁMETROS'!$K$48,MATCH(U318,JC_G,0),MATCH(T318,CC_G,0)),
IF(AA318="OPERACIONAL",OFFSET('PARÁMETROS'!$K$56,MATCH(U318,JC_OP,0),MATCH(T318,CC_OP,0)),
IF(AA318="FINANCIERO",OFFSET('PARÁMETROS'!$K$56,MATCH(U318,JC_FI,0),MATCH(T318,CC_FI,0)),
OFFSET('PARÁMETROS'!$K$38,MATCH(U318,JC_L,0),MATCH(T318,CC_L,0))))))))),"")</f>
        <v/>
      </c>
      <c r="W318" s="130"/>
      <c r="X318" s="135"/>
      <c r="Y318" s="136"/>
      <c r="Z318" s="30"/>
      <c r="AA318" s="31" t="str">
        <f>E315</f>
        <v/>
      </c>
    </row>
    <row r="319" ht="87.0" customHeight="1">
      <c r="A319" s="129"/>
      <c r="B319" s="130"/>
      <c r="C319" s="130"/>
      <c r="D319" s="130"/>
      <c r="E319" s="130"/>
      <c r="F319" s="130"/>
      <c r="G319" s="130"/>
      <c r="H319" s="130"/>
      <c r="I319" s="130"/>
      <c r="J319" s="130"/>
      <c r="K319" s="130"/>
      <c r="L319" s="130"/>
      <c r="M319" s="130"/>
      <c r="N319" s="130"/>
      <c r="O319" s="130"/>
      <c r="P319" s="132"/>
      <c r="Q319" s="134"/>
      <c r="R319" s="134"/>
      <c r="S319" s="134"/>
      <c r="T319" s="135"/>
      <c r="U319" s="135"/>
      <c r="V319" s="135" t="str">
        <f>IFERROR(IF(AA319="SEGURIDAD",OFFSET('PARÁMETROS'!$K$2,MATCH(U319,JC_SE,0),MATCH(T319,CC_SE,0)),
IF(OR(AA319="DSRC/Estratégico",AA319="DSRC/Operativo"),OFFSET('PARÁMETROS'!$K$11,MATCH(U319,JC_DS,0),MATCH(T319,CC_DS,0)),
IF(AA319="SALUD",OFFSET('PARÁMETROS'!$K$29,MATCH(U319,JC_SA,0),MATCH(T319,CC_SA,0)),
IF(AA319="MEDIO AMBIENTE",OFFSET('PARÁMETROS'!$K$20,MATCH(U319,JC_MA,0),MATCH(T319,CC_MA,0)),
IF(AA319="Rel. Gubernamentales",OFFSET('PARÁMETROS'!$K$48,MATCH(U319,JC_G,0),MATCH(T319,CC_G,0)),
IF(AA319="OPERACIONAL",OFFSET('PARÁMETROS'!$K$56,MATCH(U319,JC_OP,0),MATCH(T319,CC_OP,0)),
IF(AA319="FINANCIERO",OFFSET('PARÁMETROS'!$K$56,MATCH(U319,JC_FI,0),MATCH(T319,CC_FI,0)),
OFFSET('PARÁMETROS'!$K$38,MATCH(U319,JC_L,0),MATCH(T319,CC_L,0))))))))),"")</f>
        <v/>
      </c>
      <c r="W319" s="130"/>
      <c r="X319" s="135"/>
      <c r="Y319" s="136"/>
      <c r="Z319" s="30"/>
      <c r="AA319" s="31" t="str">
        <f>E315</f>
        <v/>
      </c>
    </row>
    <row r="320" ht="87.0" customHeight="1">
      <c r="A320" s="129"/>
      <c r="B320" s="130"/>
      <c r="C320" s="130"/>
      <c r="D320" s="130"/>
      <c r="E320" s="130"/>
      <c r="F320" s="130"/>
      <c r="G320" s="130"/>
      <c r="H320" s="130"/>
      <c r="I320" s="130"/>
      <c r="J320" s="130"/>
      <c r="K320" s="130"/>
      <c r="L320" s="130"/>
      <c r="M320" s="130"/>
      <c r="N320" s="130"/>
      <c r="O320" s="130"/>
      <c r="P320" s="132"/>
      <c r="Q320" s="134"/>
      <c r="R320" s="134"/>
      <c r="S320" s="134"/>
      <c r="T320" s="135"/>
      <c r="U320" s="135"/>
      <c r="V320" s="135" t="str">
        <f>IFERROR(IF(AA320="SEGURIDAD",OFFSET('PARÁMETROS'!$K$2,MATCH(U320,JC_SE,0),MATCH(T320,CC_SE,0)),
IF(OR(AA320="DSRC/Estratégico",AA320="DSRC/Operativo"),OFFSET('PARÁMETROS'!$K$11,MATCH(U320,JC_DS,0),MATCH(T320,CC_DS,0)),
IF(AA320="SALUD",OFFSET('PARÁMETROS'!$K$29,MATCH(U320,JC_SA,0),MATCH(T320,CC_SA,0)),
IF(AA320="MEDIO AMBIENTE",OFFSET('PARÁMETROS'!$K$20,MATCH(U320,JC_MA,0),MATCH(T320,CC_MA,0)),
IF(AA320="Rel. Gubernamentales",OFFSET('PARÁMETROS'!$K$48,MATCH(U320,JC_G,0),MATCH(T320,CC_G,0)),
IF(AA320="OPERACIONAL",OFFSET('PARÁMETROS'!$K$56,MATCH(U320,JC_OP,0),MATCH(T320,CC_OP,0)),
IF(AA320="FINANCIERO",OFFSET('PARÁMETROS'!$K$56,MATCH(U320,JC_FI,0),MATCH(T320,CC_FI,0)),
OFFSET('PARÁMETROS'!$K$38,MATCH(U320,JC_L,0),MATCH(T320,CC_L,0))))))))),"")</f>
        <v/>
      </c>
      <c r="W320" s="130"/>
      <c r="X320" s="135"/>
      <c r="Y320" s="136"/>
      <c r="Z320" s="30"/>
      <c r="AA320" s="31" t="str">
        <f>E315</f>
        <v/>
      </c>
    </row>
    <row r="321" ht="87.0" customHeight="1">
      <c r="A321" s="129"/>
      <c r="B321" s="130"/>
      <c r="C321" s="130"/>
      <c r="D321" s="130"/>
      <c r="E321" s="130"/>
      <c r="F321" s="130"/>
      <c r="G321" s="130"/>
      <c r="H321" s="130"/>
      <c r="I321" s="130"/>
      <c r="J321" s="130"/>
      <c r="K321" s="130"/>
      <c r="L321" s="130"/>
      <c r="M321" s="130"/>
      <c r="N321" s="130"/>
      <c r="O321" s="130"/>
      <c r="P321" s="132"/>
      <c r="Q321" s="134"/>
      <c r="R321" s="134"/>
      <c r="S321" s="134"/>
      <c r="T321" s="135"/>
      <c r="U321" s="135"/>
      <c r="V321" s="135" t="str">
        <f>IFERROR(IF(AA321="SEGURIDAD",OFFSET('PARÁMETROS'!$K$2,MATCH(U321,JC_SE,0),MATCH(T321,CC_SE,0)),
IF(OR(AA321="DSRC/Estratégico",AA321="DSRC/Operativo"),OFFSET('PARÁMETROS'!$K$11,MATCH(U321,JC_DS,0),MATCH(T321,CC_DS,0)),
IF(AA321="SALUD",OFFSET('PARÁMETROS'!$K$29,MATCH(U321,JC_SA,0),MATCH(T321,CC_SA,0)),
IF(AA321="MEDIO AMBIENTE",OFFSET('PARÁMETROS'!$K$20,MATCH(U321,JC_MA,0),MATCH(T321,CC_MA,0)),
IF(AA321="Rel. Gubernamentales",OFFSET('PARÁMETROS'!$K$48,MATCH(U321,JC_G,0),MATCH(T321,CC_G,0)),
IF(AA321="OPERACIONAL",OFFSET('PARÁMETROS'!$K$56,MATCH(U321,JC_OP,0),MATCH(T321,CC_OP,0)),
IF(AA321="FINANCIERO",OFFSET('PARÁMETROS'!$K$56,MATCH(U321,JC_FI,0),MATCH(T321,CC_FI,0)),
OFFSET('PARÁMETROS'!$K$38,MATCH(U321,JC_L,0),MATCH(T321,CC_L,0))))))))),"")</f>
        <v/>
      </c>
      <c r="W321" s="130"/>
      <c r="X321" s="135"/>
      <c r="Y321" s="136"/>
      <c r="Z321" s="30"/>
      <c r="AA321" s="31" t="str">
        <f>E315</f>
        <v/>
      </c>
    </row>
    <row r="322" ht="87.0" customHeight="1">
      <c r="A322" s="129"/>
      <c r="B322" s="130"/>
      <c r="C322" s="130"/>
      <c r="D322" s="130"/>
      <c r="E322" s="130"/>
      <c r="F322" s="130"/>
      <c r="G322" s="130"/>
      <c r="H322" s="130"/>
      <c r="I322" s="130"/>
      <c r="J322" s="130"/>
      <c r="K322" s="130"/>
      <c r="L322" s="130"/>
      <c r="M322" s="130"/>
      <c r="N322" s="130"/>
      <c r="O322" s="130"/>
      <c r="P322" s="132"/>
      <c r="Q322" s="134"/>
      <c r="R322" s="134"/>
      <c r="S322" s="134"/>
      <c r="T322" s="135"/>
      <c r="U322" s="135"/>
      <c r="V322" s="135" t="str">
        <f>IFERROR(IF(AA322="SEGURIDAD",OFFSET('PARÁMETROS'!$K$2,MATCH(U322,JC_SE,0),MATCH(T322,CC_SE,0)),
IF(OR(AA322="DSRC/Estratégico",AA322="DSRC/Operativo"),OFFSET('PARÁMETROS'!$K$11,MATCH(U322,JC_DS,0),MATCH(T322,CC_DS,0)),
IF(AA322="SALUD",OFFSET('PARÁMETROS'!$K$29,MATCH(U322,JC_SA,0),MATCH(T322,CC_SA,0)),
IF(AA322="MEDIO AMBIENTE",OFFSET('PARÁMETROS'!$K$20,MATCH(U322,JC_MA,0),MATCH(T322,CC_MA,0)),
IF(AA322="Rel. Gubernamentales",OFFSET('PARÁMETROS'!$K$48,MATCH(U322,JC_G,0),MATCH(T322,CC_G,0)),
IF(AA322="OPERACIONAL",OFFSET('PARÁMETROS'!$K$56,MATCH(U322,JC_OP,0),MATCH(T322,CC_OP,0)),
IF(AA322="FINANCIERO",OFFSET('PARÁMETROS'!$K$56,MATCH(U322,JC_FI,0),MATCH(T322,CC_FI,0)),
OFFSET('PARÁMETROS'!$K$38,MATCH(U322,JC_L,0),MATCH(T322,CC_L,0))))))))),"")</f>
        <v/>
      </c>
      <c r="W322" s="130"/>
      <c r="X322" s="135"/>
      <c r="Y322" s="136"/>
      <c r="Z322" s="30"/>
      <c r="AA322" s="31" t="str">
        <f>E315</f>
        <v/>
      </c>
    </row>
    <row r="323" ht="87.0" customHeight="1">
      <c r="A323" s="129"/>
      <c r="B323" s="130"/>
      <c r="C323" s="130"/>
      <c r="D323" s="130"/>
      <c r="E323" s="130"/>
      <c r="F323" s="130"/>
      <c r="G323" s="130"/>
      <c r="H323" s="130"/>
      <c r="I323" s="130"/>
      <c r="J323" s="130"/>
      <c r="K323" s="130"/>
      <c r="L323" s="130"/>
      <c r="M323" s="130"/>
      <c r="N323" s="130"/>
      <c r="O323" s="130"/>
      <c r="P323" s="132"/>
      <c r="Q323" s="134"/>
      <c r="R323" s="134"/>
      <c r="S323" s="134"/>
      <c r="T323" s="135"/>
      <c r="U323" s="135"/>
      <c r="V323" s="135" t="str">
        <f>IFERROR(IF(AA323="SEGURIDAD",OFFSET('PARÁMETROS'!$K$2,MATCH(U323,JC_SE,0),MATCH(T323,CC_SE,0)),
IF(OR(AA323="DSRC/Estratégico",AA323="DSRC/Operativo"),OFFSET('PARÁMETROS'!$K$11,MATCH(U323,JC_DS,0),MATCH(T323,CC_DS,0)),
IF(AA323="SALUD",OFFSET('PARÁMETROS'!$K$29,MATCH(U323,JC_SA,0),MATCH(T323,CC_SA,0)),
IF(AA323="MEDIO AMBIENTE",OFFSET('PARÁMETROS'!$K$20,MATCH(U323,JC_MA,0),MATCH(T323,CC_MA,0)),
IF(AA323="Rel. Gubernamentales",OFFSET('PARÁMETROS'!$K$48,MATCH(U323,JC_G,0),MATCH(T323,CC_G,0)),
IF(AA323="OPERACIONAL",OFFSET('PARÁMETROS'!$K$56,MATCH(U323,JC_OP,0),MATCH(T323,CC_OP,0)),
IF(AA323="FINANCIERO",OFFSET('PARÁMETROS'!$K$56,MATCH(U323,JC_FI,0),MATCH(T323,CC_FI,0)),
OFFSET('PARÁMETROS'!$K$38,MATCH(U323,JC_L,0),MATCH(T323,CC_L,0))))))))),"")</f>
        <v/>
      </c>
      <c r="W323" s="130"/>
      <c r="X323" s="135"/>
      <c r="Y323" s="136"/>
      <c r="Z323" s="30"/>
      <c r="AA323" s="31" t="str">
        <f>E315</f>
        <v/>
      </c>
    </row>
    <row r="324" ht="87.0" customHeight="1">
      <c r="A324" s="129"/>
      <c r="B324" s="130"/>
      <c r="C324" s="130"/>
      <c r="D324" s="130"/>
      <c r="E324" s="130"/>
      <c r="F324" s="130"/>
      <c r="G324" s="130"/>
      <c r="H324" s="130"/>
      <c r="I324" s="130"/>
      <c r="J324" s="130"/>
      <c r="K324" s="130"/>
      <c r="L324" s="130"/>
      <c r="M324" s="130"/>
      <c r="N324" s="130"/>
      <c r="O324" s="130"/>
      <c r="P324" s="132"/>
      <c r="Q324" s="134"/>
      <c r="R324" s="134"/>
      <c r="S324" s="134"/>
      <c r="T324" s="135"/>
      <c r="U324" s="135"/>
      <c r="V324" s="135" t="str">
        <f>IFERROR(IF(AA324="SEGURIDAD",OFFSET('PARÁMETROS'!$K$2,MATCH(U324,JC_SE,0),MATCH(T324,CC_SE,0)),
IF(OR(AA324="DSRC/Estratégico",AA324="DSRC/Operativo"),OFFSET('PARÁMETROS'!$K$11,MATCH(U324,JC_DS,0),MATCH(T324,CC_DS,0)),
IF(AA324="SALUD",OFFSET('PARÁMETROS'!$K$29,MATCH(U324,JC_SA,0),MATCH(T324,CC_SA,0)),
IF(AA324="MEDIO AMBIENTE",OFFSET('PARÁMETROS'!$K$20,MATCH(U324,JC_MA,0),MATCH(T324,CC_MA,0)),
IF(AA324="Rel. Gubernamentales",OFFSET('PARÁMETROS'!$K$48,MATCH(U324,JC_G,0),MATCH(T324,CC_G,0)),
IF(AA324="OPERACIONAL",OFFSET('PARÁMETROS'!$K$56,MATCH(U324,JC_OP,0),MATCH(T324,CC_OP,0)),
IF(AA324="FINANCIERO",OFFSET('PARÁMETROS'!$K$56,MATCH(U324,JC_FI,0),MATCH(T324,CC_FI,0)),
OFFSET('PARÁMETROS'!$K$38,MATCH(U324,JC_L,0),MATCH(T324,CC_L,0))))))))),"")</f>
        <v/>
      </c>
      <c r="W324" s="130"/>
      <c r="X324" s="135"/>
      <c r="Y324" s="136"/>
      <c r="Z324" s="30"/>
      <c r="AA324" s="31" t="str">
        <f>E315</f>
        <v/>
      </c>
    </row>
    <row r="325" ht="87.0" customHeight="1">
      <c r="A325" s="129"/>
      <c r="B325" s="130"/>
      <c r="C325" s="130"/>
      <c r="D325" s="130"/>
      <c r="E325" s="130"/>
      <c r="F325" s="130"/>
      <c r="G325" s="130"/>
      <c r="H325" s="130"/>
      <c r="I325" s="130"/>
      <c r="J325" s="130"/>
      <c r="K325" s="130"/>
      <c r="L325" s="130"/>
      <c r="M325" s="130"/>
      <c r="N325" s="130"/>
      <c r="O325" s="130"/>
      <c r="P325" s="132"/>
      <c r="Q325" s="134"/>
      <c r="R325" s="134"/>
      <c r="S325" s="134"/>
      <c r="T325" s="135"/>
      <c r="U325" s="135"/>
      <c r="V325" s="135" t="str">
        <f>IFERROR(IF(AA325="SEGURIDAD",OFFSET('PARÁMETROS'!$K$2,MATCH(U325,JC_SE,0),MATCH(T325,CC_SE,0)),
IF(OR(AA325="DSRC/Estratégico",AA325="DSRC/Operativo"),OFFSET('PARÁMETROS'!$K$11,MATCH(U325,JC_DS,0),MATCH(T325,CC_DS,0)),
IF(AA325="SALUD",OFFSET('PARÁMETROS'!$K$29,MATCH(U325,JC_SA,0),MATCH(T325,CC_SA,0)),
IF(AA325="MEDIO AMBIENTE",OFFSET('PARÁMETROS'!$K$20,MATCH(U325,JC_MA,0),MATCH(T325,CC_MA,0)),
IF(AA325="Rel. Gubernamentales",OFFSET('PARÁMETROS'!$K$48,MATCH(U325,JC_G,0),MATCH(T325,CC_G,0)),
IF(AA325="OPERACIONAL",OFFSET('PARÁMETROS'!$K$56,MATCH(U325,JC_OP,0),MATCH(T325,CC_OP,0)),
IF(AA325="FINANCIERO",OFFSET('PARÁMETROS'!$K$56,MATCH(U325,JC_FI,0),MATCH(T325,CC_FI,0)),
OFFSET('PARÁMETROS'!$K$38,MATCH(U325,JC_L,0),MATCH(T325,CC_L,0))))))))),"")</f>
        <v/>
      </c>
      <c r="W325" s="130"/>
      <c r="X325" s="135"/>
      <c r="Y325" s="136"/>
      <c r="Z325" s="30"/>
      <c r="AA325" s="31" t="str">
        <f>E315</f>
        <v/>
      </c>
    </row>
    <row r="326" ht="87.0" customHeight="1">
      <c r="A326" s="129"/>
      <c r="B326" s="130"/>
      <c r="C326" s="130"/>
      <c r="D326" s="130"/>
      <c r="E326" s="130"/>
      <c r="F326" s="130"/>
      <c r="G326" s="130"/>
      <c r="H326" s="130"/>
      <c r="I326" s="130"/>
      <c r="J326" s="130"/>
      <c r="K326" s="130"/>
      <c r="L326" s="130"/>
      <c r="M326" s="130"/>
      <c r="N326" s="130"/>
      <c r="O326" s="130"/>
      <c r="P326" s="132"/>
      <c r="Q326" s="134"/>
      <c r="R326" s="134"/>
      <c r="S326" s="134"/>
      <c r="T326" s="135"/>
      <c r="U326" s="135"/>
      <c r="V326" s="135" t="str">
        <f>IFERROR(IF(AA326="SEGURIDAD",OFFSET('PARÁMETROS'!$K$2,MATCH(U326,JC_SE,0),MATCH(T326,CC_SE,0)),
IF(OR(AA326="DSRC/Estratégico",AA326="DSRC/Operativo"),OFFSET('PARÁMETROS'!$K$11,MATCH(U326,JC_DS,0),MATCH(T326,CC_DS,0)),
IF(AA326="SALUD",OFFSET('PARÁMETROS'!$K$29,MATCH(U326,JC_SA,0),MATCH(T326,CC_SA,0)),
IF(AA326="MEDIO AMBIENTE",OFFSET('PARÁMETROS'!$K$20,MATCH(U326,JC_MA,0),MATCH(T326,CC_MA,0)),
IF(AA326="Rel. Gubernamentales",OFFSET('PARÁMETROS'!$K$48,MATCH(U326,JC_G,0),MATCH(T326,CC_G,0)),
IF(AA326="OPERACIONAL",OFFSET('PARÁMETROS'!$K$56,MATCH(U326,JC_OP,0),MATCH(T326,CC_OP,0)),
IF(AA326="FINANCIERO",OFFSET('PARÁMETROS'!$K$56,MATCH(U326,JC_FI,0),MATCH(T326,CC_FI,0)),
OFFSET('PARÁMETROS'!$K$38,MATCH(U326,JC_L,0),MATCH(T326,CC_L,0))))))))),"")</f>
        <v/>
      </c>
      <c r="W326" s="130"/>
      <c r="X326" s="135"/>
      <c r="Y326" s="136"/>
      <c r="Z326" s="30"/>
      <c r="AA326" s="31" t="str">
        <f>E315</f>
        <v/>
      </c>
    </row>
    <row r="327" ht="87.0" customHeight="1">
      <c r="A327" s="129"/>
      <c r="B327" s="130"/>
      <c r="C327" s="130"/>
      <c r="D327" s="130"/>
      <c r="E327" s="130"/>
      <c r="F327" s="130"/>
      <c r="G327" s="130"/>
      <c r="H327" s="130"/>
      <c r="I327" s="130"/>
      <c r="J327" s="130"/>
      <c r="K327" s="130"/>
      <c r="L327" s="130"/>
      <c r="M327" s="130"/>
      <c r="N327" s="130"/>
      <c r="O327" s="130"/>
      <c r="P327" s="132"/>
      <c r="Q327" s="134"/>
      <c r="R327" s="134"/>
      <c r="S327" s="134"/>
      <c r="T327" s="135"/>
      <c r="U327" s="135"/>
      <c r="V327" s="135" t="str">
        <f>IFERROR(IF(AA327="SEGURIDAD",OFFSET('PARÁMETROS'!$K$2,MATCH(U327,JC_SE,0),MATCH(T327,CC_SE,0)),
IF(OR(AA327="DSRC/Estratégico",AA327="DSRC/Operativo"),OFFSET('PARÁMETROS'!$K$11,MATCH(U327,JC_DS,0),MATCH(T327,CC_DS,0)),
IF(AA327="SALUD",OFFSET('PARÁMETROS'!$K$29,MATCH(U327,JC_SA,0),MATCH(T327,CC_SA,0)),
IF(AA327="MEDIO AMBIENTE",OFFSET('PARÁMETROS'!$K$20,MATCH(U327,JC_MA,0),MATCH(T327,CC_MA,0)),
IF(AA327="Rel. Gubernamentales",OFFSET('PARÁMETROS'!$K$48,MATCH(U327,JC_G,0),MATCH(T327,CC_G,0)),
IF(AA327="OPERACIONAL",OFFSET('PARÁMETROS'!$K$56,MATCH(U327,JC_OP,0),MATCH(T327,CC_OP,0)),
IF(AA327="FINANCIERO",OFFSET('PARÁMETROS'!$K$56,MATCH(U327,JC_FI,0),MATCH(T327,CC_FI,0)),
OFFSET('PARÁMETROS'!$K$38,MATCH(U327,JC_L,0),MATCH(T327,CC_L,0))))))))),"")</f>
        <v/>
      </c>
      <c r="W327" s="130"/>
      <c r="X327" s="135"/>
      <c r="Y327" s="136"/>
      <c r="Z327" s="30"/>
      <c r="AA327" s="31" t="str">
        <f>E315</f>
        <v/>
      </c>
    </row>
    <row r="328" ht="87.0" customHeight="1">
      <c r="A328" s="129"/>
      <c r="B328" s="130"/>
      <c r="C328" s="130"/>
      <c r="D328" s="130"/>
      <c r="E328" s="130"/>
      <c r="F328" s="130"/>
      <c r="G328" s="130"/>
      <c r="H328" s="130"/>
      <c r="I328" s="130"/>
      <c r="J328" s="130"/>
      <c r="K328" s="130"/>
      <c r="L328" s="130"/>
      <c r="M328" s="130"/>
      <c r="N328" s="130"/>
      <c r="O328" s="130"/>
      <c r="P328" s="132"/>
      <c r="Q328" s="134"/>
      <c r="R328" s="134"/>
      <c r="S328" s="134"/>
      <c r="T328" s="135"/>
      <c r="U328" s="135"/>
      <c r="V328" s="135" t="str">
        <f>IFERROR(IF(AA328="SEGURIDAD",OFFSET('PARÁMETROS'!$K$2,MATCH(U328,JC_SE,0),MATCH(T328,CC_SE,0)),
IF(OR(AA328="DSRC/Estratégico",AA328="DSRC/Operativo"),OFFSET('PARÁMETROS'!$K$11,MATCH(U328,JC_DS,0),MATCH(T328,CC_DS,0)),
IF(AA328="SALUD",OFFSET('PARÁMETROS'!$K$29,MATCH(U328,JC_SA,0),MATCH(T328,CC_SA,0)),
IF(AA328="MEDIO AMBIENTE",OFFSET('PARÁMETROS'!$K$20,MATCH(U328,JC_MA,0),MATCH(T328,CC_MA,0)),
IF(AA328="Rel. Gubernamentales",OFFSET('PARÁMETROS'!$K$48,MATCH(U328,JC_G,0),MATCH(T328,CC_G,0)),
IF(AA328="OPERACIONAL",OFFSET('PARÁMETROS'!$K$56,MATCH(U328,JC_OP,0),MATCH(T328,CC_OP,0)),
IF(AA328="FINANCIERO",OFFSET('PARÁMETROS'!$K$56,MATCH(U328,JC_FI,0),MATCH(T328,CC_FI,0)),
OFFSET('PARÁMETROS'!$K$38,MATCH(U328,JC_L,0),MATCH(T328,CC_L,0))))))))),"")</f>
        <v/>
      </c>
      <c r="W328" s="130"/>
      <c r="X328" s="135"/>
      <c r="Y328" s="136"/>
      <c r="Z328" s="30"/>
      <c r="AA328" s="31" t="str">
        <f>E315</f>
        <v/>
      </c>
    </row>
    <row r="329" ht="87.0" customHeight="1">
      <c r="A329" s="129"/>
      <c r="B329" s="130"/>
      <c r="C329" s="130"/>
      <c r="D329" s="130"/>
      <c r="E329" s="130"/>
      <c r="F329" s="130"/>
      <c r="G329" s="130"/>
      <c r="H329" s="130"/>
      <c r="I329" s="130"/>
      <c r="J329" s="130"/>
      <c r="K329" s="130"/>
      <c r="L329" s="130"/>
      <c r="M329" s="130"/>
      <c r="N329" s="130"/>
      <c r="O329" s="130"/>
      <c r="P329" s="132"/>
      <c r="Q329" s="134"/>
      <c r="R329" s="134"/>
      <c r="S329" s="134"/>
      <c r="T329" s="135"/>
      <c r="U329" s="135"/>
      <c r="V329" s="135" t="str">
        <f>IFERROR(IF(AA329="SEGURIDAD",OFFSET('PARÁMETROS'!$K$2,MATCH(U329,JC_SE,0),MATCH(T329,CC_SE,0)),
IF(OR(AA329="DSRC/Estratégico",AA329="DSRC/Operativo"),OFFSET('PARÁMETROS'!$K$11,MATCH(U329,JC_DS,0),MATCH(T329,CC_DS,0)),
IF(AA329="SALUD",OFFSET('PARÁMETROS'!$K$29,MATCH(U329,JC_SA,0),MATCH(T329,CC_SA,0)),
IF(AA329="MEDIO AMBIENTE",OFFSET('PARÁMETROS'!$K$20,MATCH(U329,JC_MA,0),MATCH(T329,CC_MA,0)),
IF(AA329="Rel. Gubernamentales",OFFSET('PARÁMETROS'!$K$48,MATCH(U329,JC_G,0),MATCH(T329,CC_G,0)),
IF(AA329="OPERACIONAL",OFFSET('PARÁMETROS'!$K$56,MATCH(U329,JC_OP,0),MATCH(T329,CC_OP,0)),
IF(AA329="FINANCIERO",OFFSET('PARÁMETROS'!$K$56,MATCH(U329,JC_FI,0),MATCH(T329,CC_FI,0)),
OFFSET('PARÁMETROS'!$K$38,MATCH(U329,JC_L,0),MATCH(T329,CC_L,0))))))))),"")</f>
        <v/>
      </c>
      <c r="W329" s="130"/>
      <c r="X329" s="135"/>
      <c r="Y329" s="136"/>
      <c r="Z329" s="30"/>
      <c r="AA329" s="31" t="str">
        <f>E315</f>
        <v/>
      </c>
    </row>
    <row r="330" ht="87.0" customHeight="1">
      <c r="A330" s="89"/>
      <c r="B330" s="90"/>
      <c r="C330" s="90"/>
      <c r="D330" s="157"/>
      <c r="E330" s="157"/>
      <c r="F330" s="157"/>
      <c r="G330" s="157"/>
      <c r="H330" s="157"/>
      <c r="I330" s="90"/>
      <c r="J330" s="90"/>
      <c r="K330" s="90"/>
      <c r="L330" s="90"/>
      <c r="M330" s="90"/>
      <c r="N330" s="90"/>
      <c r="O330" s="90"/>
      <c r="P330" s="132"/>
      <c r="Q330" s="134"/>
      <c r="R330" s="145"/>
      <c r="S330" s="145"/>
      <c r="T330" s="135"/>
      <c r="U330" s="135"/>
      <c r="V330" s="135" t="str">
        <f>IFERROR(IF(AA330="SEGURIDAD",OFFSET('PARÁMETROS'!$K$2,MATCH(U330,JC_SE,0),MATCH(T330,CC_SE,0)),
IF(OR(AA330="DSRC/Estratégico",AA330="DSRC/Operativo"),OFFSET('PARÁMETROS'!$K$11,MATCH(U330,JC_DS,0),MATCH(T330,CC_DS,0)),
IF(AA330="SALUD",OFFSET('PARÁMETROS'!$K$29,MATCH(U330,JC_SA,0),MATCH(T330,CC_SA,0)),
IF(AA330="MEDIO AMBIENTE",OFFSET('PARÁMETROS'!$K$20,MATCH(U330,JC_MA,0),MATCH(T330,CC_MA,0)),
IF(AA330="Rel. Gubernamentales",OFFSET('PARÁMETROS'!$K$48,MATCH(U330,JC_G,0),MATCH(T330,CC_G,0)),
IF(AA330="OPERACIONAL",OFFSET('PARÁMETROS'!$K$56,MATCH(U330,JC_OP,0),MATCH(T330,CC_OP,0)),
IF(AA330="FINANCIERO",OFFSET('PARÁMETROS'!$K$56,MATCH(U330,JC_FI,0),MATCH(T330,CC_FI,0)),
OFFSET('PARÁMETROS'!$K$38,MATCH(U330,JC_L,0),MATCH(T330,CC_L,0))))))))),"")</f>
        <v/>
      </c>
      <c r="W330" s="90"/>
      <c r="X330" s="135"/>
      <c r="Y330" s="136"/>
      <c r="Z330" s="30"/>
      <c r="AA330" s="31" t="str">
        <f>E315</f>
        <v/>
      </c>
    </row>
    <row r="331" ht="87.0" customHeight="1">
      <c r="A331" s="102"/>
      <c r="B331" s="103"/>
      <c r="C331" s="103"/>
      <c r="D331" s="103"/>
      <c r="E331" s="103"/>
      <c r="F331" s="103"/>
      <c r="G331" s="105"/>
      <c r="H331" s="103"/>
      <c r="I331" s="105"/>
      <c r="J331" s="103"/>
      <c r="K331" s="103"/>
      <c r="L331" s="103" t="str">
        <f>IF(OR(J331&lt;&gt;"",K331&lt;&gt;""),OFFSET('PARÁMETROS'!$B$2,K331,J331),"")</f>
        <v/>
      </c>
      <c r="M331" s="103"/>
      <c r="N331" s="103">
        <f>IFERROR(L331*M331,"")</f>
        <v>0</v>
      </c>
      <c r="O331" s="108" t="str">
        <f>IF(N331="","",IFERROR(IF(N331&lt;=2,"ACEPTABLE",IF(N331&lt;=6,"BAJA",IF(N331&lt;=10,"ACEPTABLE CON REVISIÓN",IF(N331&lt;=15,"SUSTANCIAL","INACEPTABLE")))),""))</f>
        <v>ACEPTABLE</v>
      </c>
      <c r="P331" s="113"/>
      <c r="Q331" s="114"/>
      <c r="R331" s="114"/>
      <c r="S331" s="114"/>
      <c r="T331" s="115"/>
      <c r="U331" s="115"/>
      <c r="V331" s="115" t="str">
        <f>IFERROR(IF(AA331="SEGURIDAD",OFFSET('PARÁMETROS'!$K$2,MATCH(U331,JC_SE,0),MATCH(T331,CC_SE,0)),
IF(OR(AA331="DSRC/Estratégico",AA331="DSRC/Operativo"),OFFSET('PARÁMETROS'!$K$11,MATCH(U331,JC_DS,0),MATCH(T331,CC_DS,0)),
IF(AA331="SALUD",OFFSET('PARÁMETROS'!$K$29,MATCH(U331,JC_SA,0),MATCH(T331,CC_SA,0)),
IF(AA331="MEDIO AMBIENTE",OFFSET('PARÁMETROS'!$K$20,MATCH(U331,JC_MA,0),MATCH(T331,CC_MA,0)),
IF(AA331="Rel. Gubernamentales",OFFSET('PARÁMETROS'!$K$48,MATCH(U331,JC_G,0),MATCH(T331,CC_G,0)),
IF(AA331="OPERACIONAL",OFFSET('PARÁMETROS'!$K$56,MATCH(U331,JC_OP,0),MATCH(T331,CC_OP,0)),
IF(AA331="FINANCIERO",OFFSET('PARÁMETROS'!$K$56,MATCH(U331,JC_FI,0),MATCH(T331,CC_FI,0)),
OFFSET('PARÁMETROS'!$K$38,MATCH(U331,JC_L,0),MATCH(T331,CC_L,0))))))))),"")</f>
        <v/>
      </c>
      <c r="W331" s="108" t="str">
        <f>IF(E331="","",
IF(COUNTA(V331:V346)-COUNTBLANK(V331:V346)=1,
IF(O331="INACEPTABLE",IF(COUNTIF(V331:V346,"Control/Acción Eficaz")&gt;=1,"SUSTANCIAL","INACEPTABLE"),
IF(O331="SUSTANCIAL",IF(COUNTIF(V331:V346,"Control/Acción Eficaz")&gt;=1,"ACEPTABLE CON REVISIÓN","SUSTANCIAL"),
IF(O331="ACEPTABLE CON REVISIÓN",IF(COUNTIF(V331:V346,"Control/Acción Eficaz")&gt;=1,"BAJA","ACEPTABLE CON REVISIÓN"),
IF(O331="BAJA",IF(COUNTIF(V331:V346,"Control/Acción Eficaz")&gt;=1,"ACEPTABLE","BAJA"),)))),
IF(COUNTA(V331:V346)-COUNTBLANK(V331:V346)=2,
IF(O331="INACEPTABLE",IF(COUNTIF(V331:V346,"Control/Acción Eficaz")=2,"ACEPTABLE CON REVISIÓN",
IF(OR(AND(COUNTIF(V331:V346,"Control/Acción Eficaz")=1,COUNTIF(V331:V346,"Control/Acción Satisfactorio")=1),
AND(COUNTIF(V331:V346,"Control/Acción Eficaz")=1,COUNTIF(V331:V346,"Control/Acción No Eficaz")=1)),"SUSTANCIAL","INACEPTABLE")),
IF(O331="SUSTANCIAL",IF(COUNTIF(V331:V346,"Control/Acción Eficaz")=2,"BAJA",
IF(OR(AND(COUNTIF(V331:V346,"Control/Acción Eficaz")=1,COUNTIF(V331:V346,"Control/Acción Satisfactorio")=1),
AND(COUNTIF(V331:V346,"Control/Acción Eficaz")=1,COUNTIF(V331:V346,"Control/Acción No Eficaz")=1)),"ACEPTABLE CON REVISIÓN ","SUSTANCIAL")),
IF(O331="ACEPTABLE CON REVISIÓN",IF(COUNTIF(V331:V346,"Control/Acción Eficaz")=2,"ACEPTABLE",
IF(OR(AND(COUNTIF(V331:V346,"Control/Acción Eficaz")=1,COUNTIF(V331:V346,"Control/Acción Satisfactorio")=1),
AND(COUNTIF(V331:V346,"Control/Acción Eficaz")=1,COUNTIF(V331:V346,"Control/Acción No Eficaz")=1)),"BAJA","ACEPTABLE CON REVISIÓN")),
IF(O331="BAJA",IF(COUNTIF(V331:V346,"Control/Acción Eficaz")&gt;=2,"ACEPTABLE","BAJA"),)))),
IF(COUNTA(V331:V346)-COUNTBLANK(V331:V346)&gt;=3,
IF(O331="INACEPTABLE",
IF(COUNTBLANK(V331:V346)=COUNTA(V331:V346),"",
IF(COUNTIF(V331:V346,"Control/Acción No Eficaz")&gt;=2,"INACEPTABLE",
IF(AND(COUNTIF(V331:V346,"Control/Acción No Eficaz")=0,COUNTIF(V331:V346,"Control/Acción Eficaz")&gt;=2),"ACEPTABLE CON REVISIÓN ","SUSTANCIAL"))),
IF(O331="SUSTANCIAL",
IF(COUNTBLANK(V331:V346)=COUNTA(V331:V346),"",
IF(COUNTIF(V331:V346,"Control/Acción No Eficaz")&gt;=2,"SUSTANCIAL",
IF(AND(COUNTIF(V331:V346,"Control/Acción No Eficaz")=0,COUNTIF(V331:V346,"Control/Acción Eficaz")&gt;=2),"BAJA","ACEPTABLE CON REVISIÓN"))),
IF(O331="ACEPTABLE CON REVISIÓN",
IF(COUNTBLANK(V331:V346)=COUNTA(V331:V346),"",
IF(COUNTIF(V331:V346,"Control/Acción No Eficaz")&gt;=2,"ACEPTABLE CON REVISIÓN",
IF(AND(COUNTIF(V331:V346,"Control/Acción No Eficaz")=0,COUNTIF(V331:V346,"Control/Acción Eficaz")&gt;=2),"ACEPTABLE","BAJA"))),
IF(O331="BAJA",
IF(COUNTBLANK(V331:V346)=COUNTA(V331:V346),"",
IF(AND(COUNTBLANK(V331:V346)&lt;1,COUNTA(V331:V346)=1),
IF(COUNTIF(V331:V346,"Control/Acción No Eficaz")&gt;=2,"BAJA",
IF(AND(COUNTIF(V331:V346,"Control/Acción No Eficaz")=0,COUNTIF(V331:V346,"Control/Acción Eficaz")&gt;=2),"ACEPTABLE","BAJA")),
IF(COUNTIF(V331:V346,"Control/Acción No Eficaz")&gt;=2,"BAJA",
IF(AND(COUNTIF(V331:V346,"Control/Acción No Eficaz")=0,COUNTIF(V331:V346,"Control/Acción Eficaz")&gt;=2),"ACEPTABLE","BAJA")))),
IF(COUNTIF(V331:V346,"")&gt;=5,"",O331))))),
""))))</f>
        <v/>
      </c>
      <c r="X331" s="115"/>
      <c r="Y331" s="128"/>
      <c r="Z331" s="30"/>
      <c r="AA331" s="31" t="str">
        <f>E331</f>
        <v/>
      </c>
    </row>
    <row r="332" ht="87.0" customHeight="1">
      <c r="A332" s="129"/>
      <c r="B332" s="130"/>
      <c r="C332" s="130"/>
      <c r="D332" s="130"/>
      <c r="E332" s="130"/>
      <c r="F332" s="130"/>
      <c r="G332" s="130"/>
      <c r="H332" s="130"/>
      <c r="I332" s="130"/>
      <c r="J332" s="130"/>
      <c r="K332" s="130"/>
      <c r="L332" s="130"/>
      <c r="M332" s="130"/>
      <c r="N332" s="130"/>
      <c r="O332" s="130"/>
      <c r="P332" s="132"/>
      <c r="Q332" s="134"/>
      <c r="R332" s="134"/>
      <c r="S332" s="134"/>
      <c r="T332" s="135"/>
      <c r="U332" s="135"/>
      <c r="V332" s="135" t="str">
        <f>IFERROR(IF(AA332="SEGURIDAD",OFFSET('PARÁMETROS'!$K$2,MATCH(U332,JC_SE,0),MATCH(T332,CC_SE,0)),
IF(OR(AA332="DSRC/Estratégico",AA332="DSRC/Operativo"),OFFSET('PARÁMETROS'!$K$11,MATCH(U332,JC_DS,0),MATCH(T332,CC_DS,0)),
IF(AA332="SALUD",OFFSET('PARÁMETROS'!$K$29,MATCH(U332,JC_SA,0),MATCH(T332,CC_SA,0)),
IF(AA332="MEDIO AMBIENTE",OFFSET('PARÁMETROS'!$K$20,MATCH(U332,JC_MA,0),MATCH(T332,CC_MA,0)),
IF(AA332="Rel. Gubernamentales",OFFSET('PARÁMETROS'!$K$48,MATCH(U332,JC_G,0),MATCH(T332,CC_G,0)),
IF(AA332="OPERACIONAL",OFFSET('PARÁMETROS'!$K$56,MATCH(U332,JC_OP,0),MATCH(T332,CC_OP,0)),
IF(AA332="FINANCIERO",OFFSET('PARÁMETROS'!$K$56,MATCH(U332,JC_FI,0),MATCH(T332,CC_FI,0)),
OFFSET('PARÁMETROS'!$K$38,MATCH(U332,JC_L,0),MATCH(T332,CC_L,0))))))))),"")</f>
        <v/>
      </c>
      <c r="W332" s="130"/>
      <c r="X332" s="135"/>
      <c r="Y332" s="136"/>
      <c r="Z332" s="30"/>
      <c r="AA332" s="31" t="str">
        <f>E331</f>
        <v/>
      </c>
    </row>
    <row r="333" ht="87.0" customHeight="1">
      <c r="A333" s="129"/>
      <c r="B333" s="130"/>
      <c r="C333" s="130"/>
      <c r="D333" s="130"/>
      <c r="E333" s="130"/>
      <c r="F333" s="130"/>
      <c r="G333" s="130"/>
      <c r="H333" s="130"/>
      <c r="I333" s="130"/>
      <c r="J333" s="130"/>
      <c r="K333" s="130"/>
      <c r="L333" s="130"/>
      <c r="M333" s="130"/>
      <c r="N333" s="130"/>
      <c r="O333" s="130"/>
      <c r="P333" s="132"/>
      <c r="Q333" s="134"/>
      <c r="R333" s="134"/>
      <c r="S333" s="134"/>
      <c r="T333" s="135"/>
      <c r="U333" s="135"/>
      <c r="V333" s="135" t="str">
        <f>IFERROR(IF(AA333="SEGURIDAD",OFFSET('PARÁMETROS'!$K$2,MATCH(U333,JC_SE,0),MATCH(T333,CC_SE,0)),
IF(OR(AA333="DSRC/Estratégico",AA333="DSRC/Operativo"),OFFSET('PARÁMETROS'!$K$11,MATCH(U333,JC_DS,0),MATCH(T333,CC_DS,0)),
IF(AA333="SALUD",OFFSET('PARÁMETROS'!$K$29,MATCH(U333,JC_SA,0),MATCH(T333,CC_SA,0)),
IF(AA333="MEDIO AMBIENTE",OFFSET('PARÁMETROS'!$K$20,MATCH(U333,JC_MA,0),MATCH(T333,CC_MA,0)),
IF(AA333="Rel. Gubernamentales",OFFSET('PARÁMETROS'!$K$48,MATCH(U333,JC_G,0),MATCH(T333,CC_G,0)),
IF(AA333="OPERACIONAL",OFFSET('PARÁMETROS'!$K$56,MATCH(U333,JC_OP,0),MATCH(T333,CC_OP,0)),
IF(AA333="FINANCIERO",OFFSET('PARÁMETROS'!$K$56,MATCH(U333,JC_FI,0),MATCH(T333,CC_FI,0)),
OFFSET('PARÁMETROS'!$K$38,MATCH(U333,JC_L,0),MATCH(T333,CC_L,0))))))))),"")</f>
        <v/>
      </c>
      <c r="W333" s="130"/>
      <c r="X333" s="135"/>
      <c r="Y333" s="136"/>
      <c r="Z333" s="30"/>
      <c r="AA333" s="31" t="str">
        <f>E331</f>
        <v/>
      </c>
    </row>
    <row r="334" ht="87.0" customHeight="1">
      <c r="A334" s="129"/>
      <c r="B334" s="130"/>
      <c r="C334" s="130"/>
      <c r="D334" s="130"/>
      <c r="E334" s="130"/>
      <c r="F334" s="130"/>
      <c r="G334" s="130"/>
      <c r="H334" s="130"/>
      <c r="I334" s="130"/>
      <c r="J334" s="130"/>
      <c r="K334" s="130"/>
      <c r="L334" s="130"/>
      <c r="M334" s="130"/>
      <c r="N334" s="130"/>
      <c r="O334" s="130"/>
      <c r="P334" s="132"/>
      <c r="Q334" s="134"/>
      <c r="R334" s="134"/>
      <c r="S334" s="134"/>
      <c r="T334" s="135"/>
      <c r="U334" s="135"/>
      <c r="V334" s="135" t="str">
        <f>IFERROR(IF(AA334="SEGURIDAD",OFFSET('PARÁMETROS'!$K$2,MATCH(U334,JC_SE,0),MATCH(T334,CC_SE,0)),
IF(OR(AA334="DSRC/Estratégico",AA334="DSRC/Operativo"),OFFSET('PARÁMETROS'!$K$11,MATCH(U334,JC_DS,0),MATCH(T334,CC_DS,0)),
IF(AA334="SALUD",OFFSET('PARÁMETROS'!$K$29,MATCH(U334,JC_SA,0),MATCH(T334,CC_SA,0)),
IF(AA334="MEDIO AMBIENTE",OFFSET('PARÁMETROS'!$K$20,MATCH(U334,JC_MA,0),MATCH(T334,CC_MA,0)),
IF(AA334="Rel. Gubernamentales",OFFSET('PARÁMETROS'!$K$48,MATCH(U334,JC_G,0),MATCH(T334,CC_G,0)),
IF(AA334="OPERACIONAL",OFFSET('PARÁMETROS'!$K$56,MATCH(U334,JC_OP,0),MATCH(T334,CC_OP,0)),
IF(AA334="FINANCIERO",OFFSET('PARÁMETROS'!$K$56,MATCH(U334,JC_FI,0),MATCH(T334,CC_FI,0)),
OFFSET('PARÁMETROS'!$K$38,MATCH(U334,JC_L,0),MATCH(T334,CC_L,0))))))))),"")</f>
        <v/>
      </c>
      <c r="W334" s="130"/>
      <c r="X334" s="135"/>
      <c r="Y334" s="136"/>
      <c r="Z334" s="30"/>
      <c r="AA334" s="31" t="str">
        <f>E331</f>
        <v/>
      </c>
    </row>
    <row r="335" ht="87.0" customHeight="1">
      <c r="A335" s="129"/>
      <c r="B335" s="130"/>
      <c r="C335" s="130"/>
      <c r="D335" s="130"/>
      <c r="E335" s="130"/>
      <c r="F335" s="130"/>
      <c r="G335" s="130"/>
      <c r="H335" s="130"/>
      <c r="I335" s="130"/>
      <c r="J335" s="130"/>
      <c r="K335" s="130"/>
      <c r="L335" s="130"/>
      <c r="M335" s="130"/>
      <c r="N335" s="130"/>
      <c r="O335" s="130"/>
      <c r="P335" s="132"/>
      <c r="Q335" s="134"/>
      <c r="R335" s="134"/>
      <c r="S335" s="134"/>
      <c r="T335" s="135"/>
      <c r="U335" s="135"/>
      <c r="V335" s="135" t="str">
        <f>IFERROR(IF(AA335="SEGURIDAD",OFFSET('PARÁMETROS'!$K$2,MATCH(U335,JC_SE,0),MATCH(T335,CC_SE,0)),
IF(OR(AA335="DSRC/Estratégico",AA335="DSRC/Operativo"),OFFSET('PARÁMETROS'!$K$11,MATCH(U335,JC_DS,0),MATCH(T335,CC_DS,0)),
IF(AA335="SALUD",OFFSET('PARÁMETROS'!$K$29,MATCH(U335,JC_SA,0),MATCH(T335,CC_SA,0)),
IF(AA335="MEDIO AMBIENTE",OFFSET('PARÁMETROS'!$K$20,MATCH(U335,JC_MA,0),MATCH(T335,CC_MA,0)),
IF(AA335="Rel. Gubernamentales",OFFSET('PARÁMETROS'!$K$48,MATCH(U335,JC_G,0),MATCH(T335,CC_G,0)),
IF(AA335="OPERACIONAL",OFFSET('PARÁMETROS'!$K$56,MATCH(U335,JC_OP,0),MATCH(T335,CC_OP,0)),
IF(AA335="FINANCIERO",OFFSET('PARÁMETROS'!$K$56,MATCH(U335,JC_FI,0),MATCH(T335,CC_FI,0)),
OFFSET('PARÁMETROS'!$K$38,MATCH(U335,JC_L,0),MATCH(T335,CC_L,0))))))))),"")</f>
        <v/>
      </c>
      <c r="W335" s="130"/>
      <c r="X335" s="135"/>
      <c r="Y335" s="136"/>
      <c r="Z335" s="30"/>
      <c r="AA335" s="31" t="str">
        <f>E331</f>
        <v/>
      </c>
    </row>
    <row r="336" ht="87.0" customHeight="1">
      <c r="A336" s="129"/>
      <c r="B336" s="130"/>
      <c r="C336" s="130"/>
      <c r="D336" s="130"/>
      <c r="E336" s="130"/>
      <c r="F336" s="130"/>
      <c r="G336" s="130"/>
      <c r="H336" s="130"/>
      <c r="I336" s="130"/>
      <c r="J336" s="130"/>
      <c r="K336" s="130"/>
      <c r="L336" s="130"/>
      <c r="M336" s="130"/>
      <c r="N336" s="130"/>
      <c r="O336" s="130"/>
      <c r="P336" s="132"/>
      <c r="Q336" s="134"/>
      <c r="R336" s="134"/>
      <c r="S336" s="134"/>
      <c r="T336" s="135"/>
      <c r="U336" s="135"/>
      <c r="V336" s="135" t="str">
        <f>IFERROR(IF(AA336="SEGURIDAD",OFFSET('PARÁMETROS'!$K$2,MATCH(U336,JC_SE,0),MATCH(T336,CC_SE,0)),
IF(OR(AA336="DSRC/Estratégico",AA336="DSRC/Operativo"),OFFSET('PARÁMETROS'!$K$11,MATCH(U336,JC_DS,0),MATCH(T336,CC_DS,0)),
IF(AA336="SALUD",OFFSET('PARÁMETROS'!$K$29,MATCH(U336,JC_SA,0),MATCH(T336,CC_SA,0)),
IF(AA336="MEDIO AMBIENTE",OFFSET('PARÁMETROS'!$K$20,MATCH(U336,JC_MA,0),MATCH(T336,CC_MA,0)),
IF(AA336="Rel. Gubernamentales",OFFSET('PARÁMETROS'!$K$48,MATCH(U336,JC_G,0),MATCH(T336,CC_G,0)),
IF(AA336="OPERACIONAL",OFFSET('PARÁMETROS'!$K$56,MATCH(U336,JC_OP,0),MATCH(T336,CC_OP,0)),
IF(AA336="FINANCIERO",OFFSET('PARÁMETROS'!$K$56,MATCH(U336,JC_FI,0),MATCH(T336,CC_FI,0)),
OFFSET('PARÁMETROS'!$K$38,MATCH(U336,JC_L,0),MATCH(T336,CC_L,0))))))))),"")</f>
        <v/>
      </c>
      <c r="W336" s="130"/>
      <c r="X336" s="135"/>
      <c r="Y336" s="136"/>
      <c r="Z336" s="30"/>
      <c r="AA336" s="31" t="str">
        <f>E331</f>
        <v/>
      </c>
    </row>
    <row r="337" ht="87.0" customHeight="1">
      <c r="A337" s="129"/>
      <c r="B337" s="130"/>
      <c r="C337" s="130"/>
      <c r="D337" s="130"/>
      <c r="E337" s="130"/>
      <c r="F337" s="130"/>
      <c r="G337" s="130"/>
      <c r="H337" s="130"/>
      <c r="I337" s="130"/>
      <c r="J337" s="130"/>
      <c r="K337" s="130"/>
      <c r="L337" s="130"/>
      <c r="M337" s="130"/>
      <c r="N337" s="130"/>
      <c r="O337" s="130"/>
      <c r="P337" s="132"/>
      <c r="Q337" s="134"/>
      <c r="R337" s="134"/>
      <c r="S337" s="134"/>
      <c r="T337" s="135"/>
      <c r="U337" s="135"/>
      <c r="V337" s="135" t="str">
        <f>IFERROR(IF(AA337="SEGURIDAD",OFFSET('PARÁMETROS'!$K$2,MATCH(U337,JC_SE,0),MATCH(T337,CC_SE,0)),
IF(OR(AA337="DSRC/Estratégico",AA337="DSRC/Operativo"),OFFSET('PARÁMETROS'!$K$11,MATCH(U337,JC_DS,0),MATCH(T337,CC_DS,0)),
IF(AA337="SALUD",OFFSET('PARÁMETROS'!$K$29,MATCH(U337,JC_SA,0),MATCH(T337,CC_SA,0)),
IF(AA337="MEDIO AMBIENTE",OFFSET('PARÁMETROS'!$K$20,MATCH(U337,JC_MA,0),MATCH(T337,CC_MA,0)),
IF(AA337="Rel. Gubernamentales",OFFSET('PARÁMETROS'!$K$48,MATCH(U337,JC_G,0),MATCH(T337,CC_G,0)),
IF(AA337="OPERACIONAL",OFFSET('PARÁMETROS'!$K$56,MATCH(U337,JC_OP,0),MATCH(T337,CC_OP,0)),
IF(AA337="FINANCIERO",OFFSET('PARÁMETROS'!$K$56,MATCH(U337,JC_FI,0),MATCH(T337,CC_FI,0)),
OFFSET('PARÁMETROS'!$K$38,MATCH(U337,JC_L,0),MATCH(T337,CC_L,0))))))))),"")</f>
        <v/>
      </c>
      <c r="W337" s="130"/>
      <c r="X337" s="135"/>
      <c r="Y337" s="136"/>
      <c r="Z337" s="30"/>
      <c r="AA337" s="31" t="str">
        <f>E331</f>
        <v/>
      </c>
    </row>
    <row r="338" ht="87.0" customHeight="1">
      <c r="A338" s="129"/>
      <c r="B338" s="130"/>
      <c r="C338" s="130"/>
      <c r="D338" s="130"/>
      <c r="E338" s="130"/>
      <c r="F338" s="130"/>
      <c r="G338" s="130"/>
      <c r="H338" s="130"/>
      <c r="I338" s="130"/>
      <c r="J338" s="130"/>
      <c r="K338" s="130"/>
      <c r="L338" s="130"/>
      <c r="M338" s="130"/>
      <c r="N338" s="130"/>
      <c r="O338" s="130"/>
      <c r="P338" s="132"/>
      <c r="Q338" s="134"/>
      <c r="R338" s="134"/>
      <c r="S338" s="134"/>
      <c r="T338" s="135"/>
      <c r="U338" s="135"/>
      <c r="V338" s="135" t="str">
        <f>IFERROR(IF(AA338="SEGURIDAD",OFFSET('PARÁMETROS'!$K$2,MATCH(U338,JC_SE,0),MATCH(T338,CC_SE,0)),
IF(OR(AA338="DSRC/Estratégico",AA338="DSRC/Operativo"),OFFSET('PARÁMETROS'!$K$11,MATCH(U338,JC_DS,0),MATCH(T338,CC_DS,0)),
IF(AA338="SALUD",OFFSET('PARÁMETROS'!$K$29,MATCH(U338,JC_SA,0),MATCH(T338,CC_SA,0)),
IF(AA338="MEDIO AMBIENTE",OFFSET('PARÁMETROS'!$K$20,MATCH(U338,JC_MA,0),MATCH(T338,CC_MA,0)),
IF(AA338="Rel. Gubernamentales",OFFSET('PARÁMETROS'!$K$48,MATCH(U338,JC_G,0),MATCH(T338,CC_G,0)),
IF(AA338="OPERACIONAL",OFFSET('PARÁMETROS'!$K$56,MATCH(U338,JC_OP,0),MATCH(T338,CC_OP,0)),
IF(AA338="FINANCIERO",OFFSET('PARÁMETROS'!$K$56,MATCH(U338,JC_FI,0),MATCH(T338,CC_FI,0)),
OFFSET('PARÁMETROS'!$K$38,MATCH(U338,JC_L,0),MATCH(T338,CC_L,0))))))))),"")</f>
        <v/>
      </c>
      <c r="W338" s="130"/>
      <c r="X338" s="135"/>
      <c r="Y338" s="136"/>
      <c r="Z338" s="30"/>
      <c r="AA338" s="31" t="str">
        <f>E331</f>
        <v/>
      </c>
    </row>
    <row r="339" ht="87.0" customHeight="1">
      <c r="A339" s="129"/>
      <c r="B339" s="130"/>
      <c r="C339" s="130"/>
      <c r="D339" s="130"/>
      <c r="E339" s="130"/>
      <c r="F339" s="130"/>
      <c r="G339" s="130"/>
      <c r="H339" s="130"/>
      <c r="I339" s="130"/>
      <c r="J339" s="130"/>
      <c r="K339" s="130"/>
      <c r="L339" s="130"/>
      <c r="M339" s="130"/>
      <c r="N339" s="130"/>
      <c r="O339" s="130"/>
      <c r="P339" s="132"/>
      <c r="Q339" s="134"/>
      <c r="R339" s="134"/>
      <c r="S339" s="134"/>
      <c r="T339" s="135"/>
      <c r="U339" s="135"/>
      <c r="V339" s="135" t="str">
        <f>IFERROR(IF(AA339="SEGURIDAD",OFFSET('PARÁMETROS'!$K$2,MATCH(U339,JC_SE,0),MATCH(T339,CC_SE,0)),
IF(OR(AA339="DSRC/Estratégico",AA339="DSRC/Operativo"),OFFSET('PARÁMETROS'!$K$11,MATCH(U339,JC_DS,0),MATCH(T339,CC_DS,0)),
IF(AA339="SALUD",OFFSET('PARÁMETROS'!$K$29,MATCH(U339,JC_SA,0),MATCH(T339,CC_SA,0)),
IF(AA339="MEDIO AMBIENTE",OFFSET('PARÁMETROS'!$K$20,MATCH(U339,JC_MA,0),MATCH(T339,CC_MA,0)),
IF(AA339="Rel. Gubernamentales",OFFSET('PARÁMETROS'!$K$48,MATCH(U339,JC_G,0),MATCH(T339,CC_G,0)),
IF(AA339="OPERACIONAL",OFFSET('PARÁMETROS'!$K$56,MATCH(U339,JC_OP,0),MATCH(T339,CC_OP,0)),
IF(AA339="FINANCIERO",OFFSET('PARÁMETROS'!$K$56,MATCH(U339,JC_FI,0),MATCH(T339,CC_FI,0)),
OFFSET('PARÁMETROS'!$K$38,MATCH(U339,JC_L,0),MATCH(T339,CC_L,0))))))))),"")</f>
        <v/>
      </c>
      <c r="W339" s="130"/>
      <c r="X339" s="135"/>
      <c r="Y339" s="136"/>
      <c r="Z339" s="30"/>
      <c r="AA339" s="31" t="str">
        <f>E331</f>
        <v/>
      </c>
    </row>
    <row r="340" ht="87.0" customHeight="1">
      <c r="A340" s="129"/>
      <c r="B340" s="130"/>
      <c r="C340" s="130"/>
      <c r="D340" s="130"/>
      <c r="E340" s="130"/>
      <c r="F340" s="130"/>
      <c r="G340" s="130"/>
      <c r="H340" s="130"/>
      <c r="I340" s="130"/>
      <c r="J340" s="130"/>
      <c r="K340" s="130"/>
      <c r="L340" s="130"/>
      <c r="M340" s="130"/>
      <c r="N340" s="130"/>
      <c r="O340" s="130"/>
      <c r="P340" s="132"/>
      <c r="Q340" s="134"/>
      <c r="R340" s="134"/>
      <c r="S340" s="134"/>
      <c r="T340" s="135"/>
      <c r="U340" s="135"/>
      <c r="V340" s="135" t="str">
        <f>IFERROR(IF(AA340="SEGURIDAD",OFFSET('PARÁMETROS'!$K$2,MATCH(U340,JC_SE,0),MATCH(T340,CC_SE,0)),
IF(OR(AA340="DSRC/Estratégico",AA340="DSRC/Operativo"),OFFSET('PARÁMETROS'!$K$11,MATCH(U340,JC_DS,0),MATCH(T340,CC_DS,0)),
IF(AA340="SALUD",OFFSET('PARÁMETROS'!$K$29,MATCH(U340,JC_SA,0),MATCH(T340,CC_SA,0)),
IF(AA340="MEDIO AMBIENTE",OFFSET('PARÁMETROS'!$K$20,MATCH(U340,JC_MA,0),MATCH(T340,CC_MA,0)),
IF(AA340="Rel. Gubernamentales",OFFSET('PARÁMETROS'!$K$48,MATCH(U340,JC_G,0),MATCH(T340,CC_G,0)),
IF(AA340="OPERACIONAL",OFFSET('PARÁMETROS'!$K$56,MATCH(U340,JC_OP,0),MATCH(T340,CC_OP,0)),
IF(AA340="FINANCIERO",OFFSET('PARÁMETROS'!$K$56,MATCH(U340,JC_FI,0),MATCH(T340,CC_FI,0)),
OFFSET('PARÁMETROS'!$K$38,MATCH(U340,JC_L,0),MATCH(T340,CC_L,0))))))))),"")</f>
        <v/>
      </c>
      <c r="W340" s="130"/>
      <c r="X340" s="135"/>
      <c r="Y340" s="136"/>
      <c r="Z340" s="30"/>
      <c r="AA340" s="31" t="str">
        <f>E331</f>
        <v/>
      </c>
    </row>
    <row r="341" ht="87.0" customHeight="1">
      <c r="A341" s="129"/>
      <c r="B341" s="130"/>
      <c r="C341" s="130"/>
      <c r="D341" s="130"/>
      <c r="E341" s="130"/>
      <c r="F341" s="130"/>
      <c r="G341" s="130"/>
      <c r="H341" s="130"/>
      <c r="I341" s="130"/>
      <c r="J341" s="130"/>
      <c r="K341" s="130"/>
      <c r="L341" s="130"/>
      <c r="M341" s="130"/>
      <c r="N341" s="130"/>
      <c r="O341" s="130"/>
      <c r="P341" s="132"/>
      <c r="Q341" s="134"/>
      <c r="R341" s="134"/>
      <c r="S341" s="134"/>
      <c r="T341" s="135"/>
      <c r="U341" s="135"/>
      <c r="V341" s="135" t="str">
        <f>IFERROR(IF(AA341="SEGURIDAD",OFFSET('PARÁMETROS'!$K$2,MATCH(U341,JC_SE,0),MATCH(T341,CC_SE,0)),
IF(OR(AA341="DSRC/Estratégico",AA341="DSRC/Operativo"),OFFSET('PARÁMETROS'!$K$11,MATCH(U341,JC_DS,0),MATCH(T341,CC_DS,0)),
IF(AA341="SALUD",OFFSET('PARÁMETROS'!$K$29,MATCH(U341,JC_SA,0),MATCH(T341,CC_SA,0)),
IF(AA341="MEDIO AMBIENTE",OFFSET('PARÁMETROS'!$K$20,MATCH(U341,JC_MA,0),MATCH(T341,CC_MA,0)),
IF(AA341="Rel. Gubernamentales",OFFSET('PARÁMETROS'!$K$48,MATCH(U341,JC_G,0),MATCH(T341,CC_G,0)),
IF(AA341="OPERACIONAL",OFFSET('PARÁMETROS'!$K$56,MATCH(U341,JC_OP,0),MATCH(T341,CC_OP,0)),
IF(AA341="FINANCIERO",OFFSET('PARÁMETROS'!$K$56,MATCH(U341,JC_FI,0),MATCH(T341,CC_FI,0)),
OFFSET('PARÁMETROS'!$K$38,MATCH(U341,JC_L,0),MATCH(T341,CC_L,0))))))))),"")</f>
        <v/>
      </c>
      <c r="W341" s="130"/>
      <c r="X341" s="135"/>
      <c r="Y341" s="136"/>
      <c r="Z341" s="30"/>
      <c r="AA341" s="31" t="str">
        <f>E331</f>
        <v/>
      </c>
    </row>
    <row r="342" ht="87.0" customHeight="1">
      <c r="A342" s="129"/>
      <c r="B342" s="130"/>
      <c r="C342" s="130"/>
      <c r="D342" s="130"/>
      <c r="E342" s="130"/>
      <c r="F342" s="130"/>
      <c r="G342" s="130"/>
      <c r="H342" s="130"/>
      <c r="I342" s="130"/>
      <c r="J342" s="130"/>
      <c r="K342" s="130"/>
      <c r="L342" s="130"/>
      <c r="M342" s="130"/>
      <c r="N342" s="130"/>
      <c r="O342" s="130"/>
      <c r="P342" s="132"/>
      <c r="Q342" s="134"/>
      <c r="R342" s="134"/>
      <c r="S342" s="134"/>
      <c r="T342" s="135"/>
      <c r="U342" s="135"/>
      <c r="V342" s="135" t="str">
        <f>IFERROR(IF(AA342="SEGURIDAD",OFFSET('PARÁMETROS'!$K$2,MATCH(U342,JC_SE,0),MATCH(T342,CC_SE,0)),
IF(OR(AA342="DSRC/Estratégico",AA342="DSRC/Operativo"),OFFSET('PARÁMETROS'!$K$11,MATCH(U342,JC_DS,0),MATCH(T342,CC_DS,0)),
IF(AA342="SALUD",OFFSET('PARÁMETROS'!$K$29,MATCH(U342,JC_SA,0),MATCH(T342,CC_SA,0)),
IF(AA342="MEDIO AMBIENTE",OFFSET('PARÁMETROS'!$K$20,MATCH(U342,JC_MA,0),MATCH(T342,CC_MA,0)),
IF(AA342="Rel. Gubernamentales",OFFSET('PARÁMETROS'!$K$48,MATCH(U342,JC_G,0),MATCH(T342,CC_G,0)),
IF(AA342="OPERACIONAL",OFFSET('PARÁMETROS'!$K$56,MATCH(U342,JC_OP,0),MATCH(T342,CC_OP,0)),
IF(AA342="FINANCIERO",OFFSET('PARÁMETROS'!$K$56,MATCH(U342,JC_FI,0),MATCH(T342,CC_FI,0)),
OFFSET('PARÁMETROS'!$K$38,MATCH(U342,JC_L,0),MATCH(T342,CC_L,0))))))))),"")</f>
        <v/>
      </c>
      <c r="W342" s="130"/>
      <c r="X342" s="135"/>
      <c r="Y342" s="136"/>
      <c r="Z342" s="30"/>
      <c r="AA342" s="31" t="str">
        <f>E331</f>
        <v/>
      </c>
    </row>
    <row r="343" ht="87.0" customHeight="1">
      <c r="A343" s="129"/>
      <c r="B343" s="130"/>
      <c r="C343" s="130"/>
      <c r="D343" s="130"/>
      <c r="E343" s="130"/>
      <c r="F343" s="130"/>
      <c r="G343" s="130"/>
      <c r="H343" s="130"/>
      <c r="I343" s="130"/>
      <c r="J343" s="130"/>
      <c r="K343" s="130"/>
      <c r="L343" s="130"/>
      <c r="M343" s="130"/>
      <c r="N343" s="130"/>
      <c r="O343" s="130"/>
      <c r="P343" s="132"/>
      <c r="Q343" s="134"/>
      <c r="R343" s="134"/>
      <c r="S343" s="134"/>
      <c r="T343" s="135"/>
      <c r="U343" s="135"/>
      <c r="V343" s="135" t="str">
        <f>IFERROR(IF(AA343="SEGURIDAD",OFFSET('PARÁMETROS'!$K$2,MATCH(U343,JC_SE,0),MATCH(T343,CC_SE,0)),
IF(OR(AA343="DSRC/Estratégico",AA343="DSRC/Operativo"),OFFSET('PARÁMETROS'!$K$11,MATCH(U343,JC_DS,0),MATCH(T343,CC_DS,0)),
IF(AA343="SALUD",OFFSET('PARÁMETROS'!$K$29,MATCH(U343,JC_SA,0),MATCH(T343,CC_SA,0)),
IF(AA343="MEDIO AMBIENTE",OFFSET('PARÁMETROS'!$K$20,MATCH(U343,JC_MA,0),MATCH(T343,CC_MA,0)),
IF(AA343="Rel. Gubernamentales",OFFSET('PARÁMETROS'!$K$48,MATCH(U343,JC_G,0),MATCH(T343,CC_G,0)),
IF(AA343="OPERACIONAL",OFFSET('PARÁMETROS'!$K$56,MATCH(U343,JC_OP,0),MATCH(T343,CC_OP,0)),
IF(AA343="FINANCIERO",OFFSET('PARÁMETROS'!$K$56,MATCH(U343,JC_FI,0),MATCH(T343,CC_FI,0)),
OFFSET('PARÁMETROS'!$K$38,MATCH(U343,JC_L,0),MATCH(T343,CC_L,0))))))))),"")</f>
        <v/>
      </c>
      <c r="W343" s="130"/>
      <c r="X343" s="135"/>
      <c r="Y343" s="136"/>
      <c r="Z343" s="30"/>
      <c r="AA343" s="31" t="str">
        <f>E331</f>
        <v/>
      </c>
    </row>
    <row r="344" ht="87.0" customHeight="1">
      <c r="A344" s="129"/>
      <c r="B344" s="130"/>
      <c r="C344" s="130"/>
      <c r="D344" s="130"/>
      <c r="E344" s="130"/>
      <c r="F344" s="130"/>
      <c r="G344" s="130"/>
      <c r="H344" s="130"/>
      <c r="I344" s="130"/>
      <c r="J344" s="130"/>
      <c r="K344" s="130"/>
      <c r="L344" s="130"/>
      <c r="M344" s="130"/>
      <c r="N344" s="130"/>
      <c r="O344" s="130"/>
      <c r="P344" s="132"/>
      <c r="Q344" s="134"/>
      <c r="R344" s="134"/>
      <c r="S344" s="134"/>
      <c r="T344" s="135"/>
      <c r="U344" s="135"/>
      <c r="V344" s="135" t="str">
        <f>IFERROR(IF(AA344="SEGURIDAD",OFFSET('PARÁMETROS'!$K$2,MATCH(U344,JC_SE,0),MATCH(T344,CC_SE,0)),
IF(OR(AA344="DSRC/Estratégico",AA344="DSRC/Operativo"),OFFSET('PARÁMETROS'!$K$11,MATCH(U344,JC_DS,0),MATCH(T344,CC_DS,0)),
IF(AA344="SALUD",OFFSET('PARÁMETROS'!$K$29,MATCH(U344,JC_SA,0),MATCH(T344,CC_SA,0)),
IF(AA344="MEDIO AMBIENTE",OFFSET('PARÁMETROS'!$K$20,MATCH(U344,JC_MA,0),MATCH(T344,CC_MA,0)),
IF(AA344="Rel. Gubernamentales",OFFSET('PARÁMETROS'!$K$48,MATCH(U344,JC_G,0),MATCH(T344,CC_G,0)),
IF(AA344="OPERACIONAL",OFFSET('PARÁMETROS'!$K$56,MATCH(U344,JC_OP,0),MATCH(T344,CC_OP,0)),
IF(AA344="FINANCIERO",OFFSET('PARÁMETROS'!$K$56,MATCH(U344,JC_FI,0),MATCH(T344,CC_FI,0)),
OFFSET('PARÁMETROS'!$K$38,MATCH(U344,JC_L,0),MATCH(T344,CC_L,0))))))))),"")</f>
        <v/>
      </c>
      <c r="W344" s="130"/>
      <c r="X344" s="135"/>
      <c r="Y344" s="136"/>
      <c r="Z344" s="30"/>
      <c r="AA344" s="31" t="str">
        <f>E331</f>
        <v/>
      </c>
    </row>
    <row r="345" ht="87.0" customHeight="1">
      <c r="A345" s="129"/>
      <c r="B345" s="130"/>
      <c r="C345" s="130"/>
      <c r="D345" s="130"/>
      <c r="E345" s="130"/>
      <c r="F345" s="130"/>
      <c r="G345" s="130"/>
      <c r="H345" s="130"/>
      <c r="I345" s="130"/>
      <c r="J345" s="130"/>
      <c r="K345" s="130"/>
      <c r="L345" s="130"/>
      <c r="M345" s="130"/>
      <c r="N345" s="130"/>
      <c r="O345" s="130"/>
      <c r="P345" s="132"/>
      <c r="Q345" s="134"/>
      <c r="R345" s="134"/>
      <c r="S345" s="134"/>
      <c r="T345" s="135"/>
      <c r="U345" s="135"/>
      <c r="V345" s="135" t="str">
        <f>IFERROR(IF(AA345="SEGURIDAD",OFFSET('PARÁMETROS'!$K$2,MATCH(U345,JC_SE,0),MATCH(T345,CC_SE,0)),
IF(OR(AA345="DSRC/Estratégico",AA345="DSRC/Operativo"),OFFSET('PARÁMETROS'!$K$11,MATCH(U345,JC_DS,0),MATCH(T345,CC_DS,0)),
IF(AA345="SALUD",OFFSET('PARÁMETROS'!$K$29,MATCH(U345,JC_SA,0),MATCH(T345,CC_SA,0)),
IF(AA345="MEDIO AMBIENTE",OFFSET('PARÁMETROS'!$K$20,MATCH(U345,JC_MA,0),MATCH(T345,CC_MA,0)),
IF(AA345="Rel. Gubernamentales",OFFSET('PARÁMETROS'!$K$48,MATCH(U345,JC_G,0),MATCH(T345,CC_G,0)),
IF(AA345="OPERACIONAL",OFFSET('PARÁMETROS'!$K$56,MATCH(U345,JC_OP,0),MATCH(T345,CC_OP,0)),
IF(AA345="FINANCIERO",OFFSET('PARÁMETROS'!$K$56,MATCH(U345,JC_FI,0),MATCH(T345,CC_FI,0)),
OFFSET('PARÁMETROS'!$K$38,MATCH(U345,JC_L,0),MATCH(T345,CC_L,0))))))))),"")</f>
        <v/>
      </c>
      <c r="W345" s="130"/>
      <c r="X345" s="135"/>
      <c r="Y345" s="136"/>
      <c r="Z345" s="30"/>
      <c r="AA345" s="31" t="str">
        <f>E331</f>
        <v/>
      </c>
    </row>
    <row r="346" ht="87.0" customHeight="1">
      <c r="A346" s="89"/>
      <c r="B346" s="90"/>
      <c r="C346" s="90"/>
      <c r="D346" s="157"/>
      <c r="E346" s="157"/>
      <c r="F346" s="157"/>
      <c r="G346" s="157"/>
      <c r="H346" s="157"/>
      <c r="I346" s="90"/>
      <c r="J346" s="90"/>
      <c r="K346" s="90"/>
      <c r="L346" s="90"/>
      <c r="M346" s="90"/>
      <c r="N346" s="90"/>
      <c r="O346" s="90"/>
      <c r="P346" s="132"/>
      <c r="Q346" s="134"/>
      <c r="R346" s="145"/>
      <c r="S346" s="145"/>
      <c r="T346" s="135"/>
      <c r="U346" s="135"/>
      <c r="V346" s="135" t="str">
        <f>IFERROR(IF(AA346="SEGURIDAD",OFFSET('PARÁMETROS'!$K$2,MATCH(U346,JC_SE,0),MATCH(T346,CC_SE,0)),
IF(OR(AA346="DSRC/Estratégico",AA346="DSRC/Operativo"),OFFSET('PARÁMETROS'!$K$11,MATCH(U346,JC_DS,0),MATCH(T346,CC_DS,0)),
IF(AA346="SALUD",OFFSET('PARÁMETROS'!$K$29,MATCH(U346,JC_SA,0),MATCH(T346,CC_SA,0)),
IF(AA346="MEDIO AMBIENTE",OFFSET('PARÁMETROS'!$K$20,MATCH(U346,JC_MA,0),MATCH(T346,CC_MA,0)),
IF(AA346="Rel. Gubernamentales",OFFSET('PARÁMETROS'!$K$48,MATCH(U346,JC_G,0),MATCH(T346,CC_G,0)),
IF(AA346="OPERACIONAL",OFFSET('PARÁMETROS'!$K$56,MATCH(U346,JC_OP,0),MATCH(T346,CC_OP,0)),
IF(AA346="FINANCIERO",OFFSET('PARÁMETROS'!$K$56,MATCH(U346,JC_FI,0),MATCH(T346,CC_FI,0)),
OFFSET('PARÁMETROS'!$K$38,MATCH(U346,JC_L,0),MATCH(T346,CC_L,0))))))))),"")</f>
        <v/>
      </c>
      <c r="W346" s="90"/>
      <c r="X346" s="135"/>
      <c r="Y346" s="136"/>
      <c r="Z346" s="30"/>
      <c r="AA346" s="31" t="str">
        <f>E331</f>
        <v/>
      </c>
    </row>
    <row r="347" ht="87.0" customHeight="1">
      <c r="A347" s="102"/>
      <c r="B347" s="103"/>
      <c r="C347" s="103"/>
      <c r="D347" s="103"/>
      <c r="E347" s="103"/>
      <c r="F347" s="103"/>
      <c r="G347" s="105"/>
      <c r="H347" s="103"/>
      <c r="I347" s="105"/>
      <c r="J347" s="103"/>
      <c r="K347" s="103"/>
      <c r="L347" s="103" t="str">
        <f>IF(OR(J347&lt;&gt;"",K347&lt;&gt;""),OFFSET('PARÁMETROS'!$B$2,K347,J347),"")</f>
        <v/>
      </c>
      <c r="M347" s="103"/>
      <c r="N347" s="103">
        <f>IFERROR(L347*M347,"")</f>
        <v>0</v>
      </c>
      <c r="O347" s="108" t="str">
        <f>IF(N347="","",IFERROR(IF(N347&lt;=2,"ACEPTABLE",IF(N347&lt;=6,"BAJA",IF(N347&lt;=10,"ACEPTABLE CON REVISIÓN",IF(N347&lt;=15,"SUSTANCIAL","INACEPTABLE")))),""))</f>
        <v>ACEPTABLE</v>
      </c>
      <c r="P347" s="113"/>
      <c r="Q347" s="114"/>
      <c r="R347" s="114"/>
      <c r="S347" s="114"/>
      <c r="T347" s="115"/>
      <c r="U347" s="115"/>
      <c r="V347" s="115" t="str">
        <f>IFERROR(IF(AA347="SEGURIDAD",OFFSET('PARÁMETROS'!$K$2,MATCH(U347,JC_SE,0),MATCH(T347,CC_SE,0)),
IF(OR(AA347="DSRC/Estratégico",AA347="DSRC/Operativo"),OFFSET('PARÁMETROS'!$K$11,MATCH(U347,JC_DS,0),MATCH(T347,CC_DS,0)),
IF(AA347="SALUD",OFFSET('PARÁMETROS'!$K$29,MATCH(U347,JC_SA,0),MATCH(T347,CC_SA,0)),
IF(AA347="MEDIO AMBIENTE",OFFSET('PARÁMETROS'!$K$20,MATCH(U347,JC_MA,0),MATCH(T347,CC_MA,0)),
IF(AA347="Rel. Gubernamentales",OFFSET('PARÁMETROS'!$K$48,MATCH(U347,JC_G,0),MATCH(T347,CC_G,0)),
IF(AA347="OPERACIONAL",OFFSET('PARÁMETROS'!$K$56,MATCH(U347,JC_OP,0),MATCH(T347,CC_OP,0)),
IF(AA347="FINANCIERO",OFFSET('PARÁMETROS'!$K$56,MATCH(U347,JC_FI,0),MATCH(T347,CC_FI,0)),
OFFSET('PARÁMETROS'!$K$38,MATCH(U347,JC_L,0),MATCH(T347,CC_L,0))))))))),"")</f>
        <v/>
      </c>
      <c r="W347" s="108" t="str">
        <f>IF(E347="","",
IF(COUNTA(V347:V362)-COUNTBLANK(V347:V362)=1,
IF(O347="INACEPTABLE",IF(COUNTIF(V347:V362,"Control/Acción Eficaz")&gt;=1,"SUSTANCIAL","INACEPTABLE"),
IF(O347="SUSTANCIAL",IF(COUNTIF(V347:V362,"Control/Acción Eficaz")&gt;=1,"ACEPTABLE CON REVISIÓN","SUSTANCIAL"),
IF(O347="ACEPTABLE CON REVISIÓN",IF(COUNTIF(V347:V362,"Control/Acción Eficaz")&gt;=1,"BAJA","ACEPTABLE CON REVISIÓN"),
IF(O347="BAJA",IF(COUNTIF(V347:V362,"Control/Acción Eficaz")&gt;=1,"ACEPTABLE","BAJA"),)))),
IF(COUNTA(V347:V362)-COUNTBLANK(V347:V362)=2,
IF(O347="INACEPTABLE",IF(COUNTIF(V347:V362,"Control/Acción Eficaz")=2,"ACEPTABLE CON REVISIÓN",
IF(OR(AND(COUNTIF(V347:V362,"Control/Acción Eficaz")=1,COUNTIF(V347:V362,"Control/Acción Satisfactorio")=1),
AND(COUNTIF(V347:V362,"Control/Acción Eficaz")=1,COUNTIF(V347:V362,"Control/Acción No Eficaz")=1)),"SUSTANCIAL","INACEPTABLE")),
IF(O347="SUSTANCIAL",IF(COUNTIF(V347:V362,"Control/Acción Eficaz")=2,"BAJA",
IF(OR(AND(COUNTIF(V347:V362,"Control/Acción Eficaz")=1,COUNTIF(V347:V362,"Control/Acción Satisfactorio")=1),
AND(COUNTIF(V347:V362,"Control/Acción Eficaz")=1,COUNTIF(V347:V362,"Control/Acción No Eficaz")=1)),"ACEPTABLE CON REVISIÓN ","SUSTANCIAL")),
IF(O347="ACEPTABLE CON REVISIÓN",IF(COUNTIF(V347:V362,"Control/Acción Eficaz")=2,"ACEPTABLE",
IF(OR(AND(COUNTIF(V347:V362,"Control/Acción Eficaz")=1,COUNTIF(V347:V362,"Control/Acción Satisfactorio")=1),
AND(COUNTIF(V347:V362,"Control/Acción Eficaz")=1,COUNTIF(V347:V362,"Control/Acción No Eficaz")=1)),"BAJA","ACEPTABLE CON REVISIÓN")),
IF(O347="BAJA",IF(COUNTIF(V347:V362,"Control/Acción Eficaz")&gt;=2,"ACEPTABLE","BAJA"),)))),
IF(COUNTA(V347:V362)-COUNTBLANK(V347:V362)&gt;=3,
IF(O347="INACEPTABLE",
IF(COUNTBLANK(V347:V362)=COUNTA(V347:V362),"",
IF(COUNTIF(V347:V362,"Control/Acción No Eficaz")&gt;=2,"INACEPTABLE",
IF(AND(COUNTIF(V347:V362,"Control/Acción No Eficaz")=0,COUNTIF(V347:V362,"Control/Acción Eficaz")&gt;=2),"ACEPTABLE CON REVISIÓN ","SUSTANCIAL"))),
IF(O347="SUSTANCIAL",
IF(COUNTBLANK(V347:V362)=COUNTA(V347:V362),"",
IF(COUNTIF(V347:V362,"Control/Acción No Eficaz")&gt;=2,"SUSTANCIAL",
IF(AND(COUNTIF(V347:V362,"Control/Acción No Eficaz")=0,COUNTIF(V347:V362,"Control/Acción Eficaz")&gt;=2),"BAJA","ACEPTABLE CON REVISIÓN"))),
IF(O347="ACEPTABLE CON REVISIÓN",
IF(COUNTBLANK(V347:V362)=COUNTA(V347:V362),"",
IF(COUNTIF(V347:V362,"Control/Acción No Eficaz")&gt;=2,"ACEPTABLE CON REVISIÓN",
IF(AND(COUNTIF(V347:V362,"Control/Acción No Eficaz")=0,COUNTIF(V347:V362,"Control/Acción Eficaz")&gt;=2),"ACEPTABLE","BAJA"))),
IF(O347="BAJA",
IF(COUNTBLANK(V347:V362)=COUNTA(V347:V362),"",
IF(AND(COUNTBLANK(V347:V362)&lt;1,COUNTA(V347:V362)=1),
IF(COUNTIF(V347:V362,"Control/Acción No Eficaz")&gt;=2,"BAJA",
IF(AND(COUNTIF(V347:V362,"Control/Acción No Eficaz")=0,COUNTIF(V347:V362,"Control/Acción Eficaz")&gt;=2),"ACEPTABLE","BAJA")),
IF(COUNTIF(V347:V362,"Control/Acción No Eficaz")&gt;=2,"BAJA",
IF(AND(COUNTIF(V347:V362,"Control/Acción No Eficaz")=0,COUNTIF(V347:V362,"Control/Acción Eficaz")&gt;=2),"ACEPTABLE","BAJA")))),
IF(COUNTIF(V347:V362,"")&gt;=5,"",O347))))),
""))))</f>
        <v/>
      </c>
      <c r="X347" s="115"/>
      <c r="Y347" s="128"/>
      <c r="Z347" s="30"/>
      <c r="AA347" s="31" t="str">
        <f>E347</f>
        <v/>
      </c>
    </row>
    <row r="348" ht="87.0" customHeight="1">
      <c r="A348" s="129"/>
      <c r="B348" s="130"/>
      <c r="C348" s="130"/>
      <c r="D348" s="130"/>
      <c r="E348" s="130"/>
      <c r="F348" s="130"/>
      <c r="G348" s="130"/>
      <c r="H348" s="130"/>
      <c r="I348" s="130"/>
      <c r="J348" s="130"/>
      <c r="K348" s="130"/>
      <c r="L348" s="130"/>
      <c r="M348" s="130"/>
      <c r="N348" s="130"/>
      <c r="O348" s="130"/>
      <c r="P348" s="132"/>
      <c r="Q348" s="134"/>
      <c r="R348" s="134"/>
      <c r="S348" s="134"/>
      <c r="T348" s="135"/>
      <c r="U348" s="135"/>
      <c r="V348" s="135" t="str">
        <f>IFERROR(IF(AA348="SEGURIDAD",OFFSET('PARÁMETROS'!$K$2,MATCH(U348,JC_SE,0),MATCH(T348,CC_SE,0)),
IF(OR(AA348="DSRC/Estratégico",AA348="DSRC/Operativo"),OFFSET('PARÁMETROS'!$K$11,MATCH(U348,JC_DS,0),MATCH(T348,CC_DS,0)),
IF(AA348="SALUD",OFFSET('PARÁMETROS'!$K$29,MATCH(U348,JC_SA,0),MATCH(T348,CC_SA,0)),
IF(AA348="MEDIO AMBIENTE",OFFSET('PARÁMETROS'!$K$20,MATCH(U348,JC_MA,0),MATCH(T348,CC_MA,0)),
IF(AA348="Rel. Gubernamentales",OFFSET('PARÁMETROS'!$K$48,MATCH(U348,JC_G,0),MATCH(T348,CC_G,0)),
IF(AA348="OPERACIONAL",OFFSET('PARÁMETROS'!$K$56,MATCH(U348,JC_OP,0),MATCH(T348,CC_OP,0)),
IF(AA348="FINANCIERO",OFFSET('PARÁMETROS'!$K$56,MATCH(U348,JC_FI,0),MATCH(T348,CC_FI,0)),
OFFSET('PARÁMETROS'!$K$38,MATCH(U348,JC_L,0),MATCH(T348,CC_L,0))))))))),"")</f>
        <v/>
      </c>
      <c r="W348" s="130"/>
      <c r="X348" s="135"/>
      <c r="Y348" s="136"/>
      <c r="Z348" s="30"/>
      <c r="AA348" s="31" t="str">
        <f>E347</f>
        <v/>
      </c>
    </row>
    <row r="349" ht="87.0" customHeight="1">
      <c r="A349" s="129"/>
      <c r="B349" s="130"/>
      <c r="C349" s="130"/>
      <c r="D349" s="130"/>
      <c r="E349" s="130"/>
      <c r="F349" s="130"/>
      <c r="G349" s="130"/>
      <c r="H349" s="130"/>
      <c r="I349" s="130"/>
      <c r="J349" s="130"/>
      <c r="K349" s="130"/>
      <c r="L349" s="130"/>
      <c r="M349" s="130"/>
      <c r="N349" s="130"/>
      <c r="O349" s="130"/>
      <c r="P349" s="132"/>
      <c r="Q349" s="134"/>
      <c r="R349" s="134"/>
      <c r="S349" s="134"/>
      <c r="T349" s="135"/>
      <c r="U349" s="135"/>
      <c r="V349" s="135" t="str">
        <f>IFERROR(IF(AA349="SEGURIDAD",OFFSET('PARÁMETROS'!$K$2,MATCH(U349,JC_SE,0),MATCH(T349,CC_SE,0)),
IF(OR(AA349="DSRC/Estratégico",AA349="DSRC/Operativo"),OFFSET('PARÁMETROS'!$K$11,MATCH(U349,JC_DS,0),MATCH(T349,CC_DS,0)),
IF(AA349="SALUD",OFFSET('PARÁMETROS'!$K$29,MATCH(U349,JC_SA,0),MATCH(T349,CC_SA,0)),
IF(AA349="MEDIO AMBIENTE",OFFSET('PARÁMETROS'!$K$20,MATCH(U349,JC_MA,0),MATCH(T349,CC_MA,0)),
IF(AA349="Rel. Gubernamentales",OFFSET('PARÁMETROS'!$K$48,MATCH(U349,JC_G,0),MATCH(T349,CC_G,0)),
IF(AA349="OPERACIONAL",OFFSET('PARÁMETROS'!$K$56,MATCH(U349,JC_OP,0),MATCH(T349,CC_OP,0)),
IF(AA349="FINANCIERO",OFFSET('PARÁMETROS'!$K$56,MATCH(U349,JC_FI,0),MATCH(T349,CC_FI,0)),
OFFSET('PARÁMETROS'!$K$38,MATCH(U349,JC_L,0),MATCH(T349,CC_L,0))))))))),"")</f>
        <v/>
      </c>
      <c r="W349" s="130"/>
      <c r="X349" s="135"/>
      <c r="Y349" s="136"/>
      <c r="Z349" s="30"/>
      <c r="AA349" s="31" t="str">
        <f>E347</f>
        <v/>
      </c>
    </row>
    <row r="350" ht="87.0" customHeight="1">
      <c r="A350" s="129"/>
      <c r="B350" s="130"/>
      <c r="C350" s="130"/>
      <c r="D350" s="130"/>
      <c r="E350" s="130"/>
      <c r="F350" s="130"/>
      <c r="G350" s="130"/>
      <c r="H350" s="130"/>
      <c r="I350" s="130"/>
      <c r="J350" s="130"/>
      <c r="K350" s="130"/>
      <c r="L350" s="130"/>
      <c r="M350" s="130"/>
      <c r="N350" s="130"/>
      <c r="O350" s="130"/>
      <c r="P350" s="132"/>
      <c r="Q350" s="134"/>
      <c r="R350" s="134"/>
      <c r="S350" s="134"/>
      <c r="T350" s="135"/>
      <c r="U350" s="135"/>
      <c r="V350" s="135" t="str">
        <f>IFERROR(IF(AA350="SEGURIDAD",OFFSET('PARÁMETROS'!$K$2,MATCH(U350,JC_SE,0),MATCH(T350,CC_SE,0)),
IF(OR(AA350="DSRC/Estratégico",AA350="DSRC/Operativo"),OFFSET('PARÁMETROS'!$K$11,MATCH(U350,JC_DS,0),MATCH(T350,CC_DS,0)),
IF(AA350="SALUD",OFFSET('PARÁMETROS'!$K$29,MATCH(U350,JC_SA,0),MATCH(T350,CC_SA,0)),
IF(AA350="MEDIO AMBIENTE",OFFSET('PARÁMETROS'!$K$20,MATCH(U350,JC_MA,0),MATCH(T350,CC_MA,0)),
IF(AA350="Rel. Gubernamentales",OFFSET('PARÁMETROS'!$K$48,MATCH(U350,JC_G,0),MATCH(T350,CC_G,0)),
IF(AA350="OPERACIONAL",OFFSET('PARÁMETROS'!$K$56,MATCH(U350,JC_OP,0),MATCH(T350,CC_OP,0)),
IF(AA350="FINANCIERO",OFFSET('PARÁMETROS'!$K$56,MATCH(U350,JC_FI,0),MATCH(T350,CC_FI,0)),
OFFSET('PARÁMETROS'!$K$38,MATCH(U350,JC_L,0),MATCH(T350,CC_L,0))))))))),"")</f>
        <v/>
      </c>
      <c r="W350" s="130"/>
      <c r="X350" s="135"/>
      <c r="Y350" s="136"/>
      <c r="Z350" s="30"/>
      <c r="AA350" s="31" t="str">
        <f>E347</f>
        <v/>
      </c>
    </row>
    <row r="351" ht="87.0" customHeight="1">
      <c r="A351" s="129"/>
      <c r="B351" s="130"/>
      <c r="C351" s="130"/>
      <c r="D351" s="130"/>
      <c r="E351" s="130"/>
      <c r="F351" s="130"/>
      <c r="G351" s="130"/>
      <c r="H351" s="130"/>
      <c r="I351" s="130"/>
      <c r="J351" s="130"/>
      <c r="K351" s="130"/>
      <c r="L351" s="130"/>
      <c r="M351" s="130"/>
      <c r="N351" s="130"/>
      <c r="O351" s="130"/>
      <c r="P351" s="132"/>
      <c r="Q351" s="134"/>
      <c r="R351" s="134"/>
      <c r="S351" s="134"/>
      <c r="T351" s="135"/>
      <c r="U351" s="135"/>
      <c r="V351" s="135" t="str">
        <f>IFERROR(IF(AA351="SEGURIDAD",OFFSET('PARÁMETROS'!$K$2,MATCH(U351,JC_SE,0),MATCH(T351,CC_SE,0)),
IF(OR(AA351="DSRC/Estratégico",AA351="DSRC/Operativo"),OFFSET('PARÁMETROS'!$K$11,MATCH(U351,JC_DS,0),MATCH(T351,CC_DS,0)),
IF(AA351="SALUD",OFFSET('PARÁMETROS'!$K$29,MATCH(U351,JC_SA,0),MATCH(T351,CC_SA,0)),
IF(AA351="MEDIO AMBIENTE",OFFSET('PARÁMETROS'!$K$20,MATCH(U351,JC_MA,0),MATCH(T351,CC_MA,0)),
IF(AA351="Rel. Gubernamentales",OFFSET('PARÁMETROS'!$K$48,MATCH(U351,JC_G,0),MATCH(T351,CC_G,0)),
IF(AA351="OPERACIONAL",OFFSET('PARÁMETROS'!$K$56,MATCH(U351,JC_OP,0),MATCH(T351,CC_OP,0)),
IF(AA351="FINANCIERO",OFFSET('PARÁMETROS'!$K$56,MATCH(U351,JC_FI,0),MATCH(T351,CC_FI,0)),
OFFSET('PARÁMETROS'!$K$38,MATCH(U351,JC_L,0),MATCH(T351,CC_L,0))))))))),"")</f>
        <v/>
      </c>
      <c r="W351" s="130"/>
      <c r="X351" s="135"/>
      <c r="Y351" s="136"/>
      <c r="Z351" s="30"/>
      <c r="AA351" s="31" t="str">
        <f>E347</f>
        <v/>
      </c>
    </row>
    <row r="352" ht="87.0" customHeight="1">
      <c r="A352" s="129"/>
      <c r="B352" s="130"/>
      <c r="C352" s="130"/>
      <c r="D352" s="130"/>
      <c r="E352" s="130"/>
      <c r="F352" s="130"/>
      <c r="G352" s="130"/>
      <c r="H352" s="130"/>
      <c r="I352" s="130"/>
      <c r="J352" s="130"/>
      <c r="K352" s="130"/>
      <c r="L352" s="130"/>
      <c r="M352" s="130"/>
      <c r="N352" s="130"/>
      <c r="O352" s="130"/>
      <c r="P352" s="132"/>
      <c r="Q352" s="134"/>
      <c r="R352" s="134"/>
      <c r="S352" s="134"/>
      <c r="T352" s="135"/>
      <c r="U352" s="135"/>
      <c r="V352" s="135" t="str">
        <f>IFERROR(IF(AA352="SEGURIDAD",OFFSET('PARÁMETROS'!$K$2,MATCH(U352,JC_SE,0),MATCH(T352,CC_SE,0)),
IF(OR(AA352="DSRC/Estratégico",AA352="DSRC/Operativo"),OFFSET('PARÁMETROS'!$K$11,MATCH(U352,JC_DS,0),MATCH(T352,CC_DS,0)),
IF(AA352="SALUD",OFFSET('PARÁMETROS'!$K$29,MATCH(U352,JC_SA,0),MATCH(T352,CC_SA,0)),
IF(AA352="MEDIO AMBIENTE",OFFSET('PARÁMETROS'!$K$20,MATCH(U352,JC_MA,0),MATCH(T352,CC_MA,0)),
IF(AA352="Rel. Gubernamentales",OFFSET('PARÁMETROS'!$K$48,MATCH(U352,JC_G,0),MATCH(T352,CC_G,0)),
IF(AA352="OPERACIONAL",OFFSET('PARÁMETROS'!$K$56,MATCH(U352,JC_OP,0),MATCH(T352,CC_OP,0)),
IF(AA352="FINANCIERO",OFFSET('PARÁMETROS'!$K$56,MATCH(U352,JC_FI,0),MATCH(T352,CC_FI,0)),
OFFSET('PARÁMETROS'!$K$38,MATCH(U352,JC_L,0),MATCH(T352,CC_L,0))))))))),"")</f>
        <v/>
      </c>
      <c r="W352" s="130"/>
      <c r="X352" s="135"/>
      <c r="Y352" s="136"/>
      <c r="Z352" s="30"/>
      <c r="AA352" s="31" t="str">
        <f>E347</f>
        <v/>
      </c>
    </row>
    <row r="353" ht="87.0" customHeight="1">
      <c r="A353" s="129"/>
      <c r="B353" s="130"/>
      <c r="C353" s="130"/>
      <c r="D353" s="130"/>
      <c r="E353" s="130"/>
      <c r="F353" s="130"/>
      <c r="G353" s="130"/>
      <c r="H353" s="130"/>
      <c r="I353" s="130"/>
      <c r="J353" s="130"/>
      <c r="K353" s="130"/>
      <c r="L353" s="130"/>
      <c r="M353" s="130"/>
      <c r="N353" s="130"/>
      <c r="O353" s="130"/>
      <c r="P353" s="132"/>
      <c r="Q353" s="134"/>
      <c r="R353" s="134"/>
      <c r="S353" s="134"/>
      <c r="T353" s="135"/>
      <c r="U353" s="135"/>
      <c r="V353" s="135" t="str">
        <f>IFERROR(IF(AA353="SEGURIDAD",OFFSET('PARÁMETROS'!$K$2,MATCH(U353,JC_SE,0),MATCH(T353,CC_SE,0)),
IF(OR(AA353="DSRC/Estratégico",AA353="DSRC/Operativo"),OFFSET('PARÁMETROS'!$K$11,MATCH(U353,JC_DS,0),MATCH(T353,CC_DS,0)),
IF(AA353="SALUD",OFFSET('PARÁMETROS'!$K$29,MATCH(U353,JC_SA,0),MATCH(T353,CC_SA,0)),
IF(AA353="MEDIO AMBIENTE",OFFSET('PARÁMETROS'!$K$20,MATCH(U353,JC_MA,0),MATCH(T353,CC_MA,0)),
IF(AA353="Rel. Gubernamentales",OFFSET('PARÁMETROS'!$K$48,MATCH(U353,JC_G,0),MATCH(T353,CC_G,0)),
IF(AA353="OPERACIONAL",OFFSET('PARÁMETROS'!$K$56,MATCH(U353,JC_OP,0),MATCH(T353,CC_OP,0)),
IF(AA353="FINANCIERO",OFFSET('PARÁMETROS'!$K$56,MATCH(U353,JC_FI,0),MATCH(T353,CC_FI,0)),
OFFSET('PARÁMETROS'!$K$38,MATCH(U353,JC_L,0),MATCH(T353,CC_L,0))))))))),"")</f>
        <v/>
      </c>
      <c r="W353" s="130"/>
      <c r="X353" s="135"/>
      <c r="Y353" s="136"/>
      <c r="Z353" s="30"/>
      <c r="AA353" s="31" t="str">
        <f>E347</f>
        <v/>
      </c>
    </row>
    <row r="354" ht="87.0" customHeight="1">
      <c r="A354" s="129"/>
      <c r="B354" s="130"/>
      <c r="C354" s="130"/>
      <c r="D354" s="130"/>
      <c r="E354" s="130"/>
      <c r="F354" s="130"/>
      <c r="G354" s="130"/>
      <c r="H354" s="130"/>
      <c r="I354" s="130"/>
      <c r="J354" s="130"/>
      <c r="K354" s="130"/>
      <c r="L354" s="130"/>
      <c r="M354" s="130"/>
      <c r="N354" s="130"/>
      <c r="O354" s="130"/>
      <c r="P354" s="132"/>
      <c r="Q354" s="134"/>
      <c r="R354" s="134"/>
      <c r="S354" s="134"/>
      <c r="T354" s="135"/>
      <c r="U354" s="135"/>
      <c r="V354" s="135" t="str">
        <f>IFERROR(IF(AA354="SEGURIDAD",OFFSET('PARÁMETROS'!$K$2,MATCH(U354,JC_SE,0),MATCH(T354,CC_SE,0)),
IF(OR(AA354="DSRC/Estratégico",AA354="DSRC/Operativo"),OFFSET('PARÁMETROS'!$K$11,MATCH(U354,JC_DS,0),MATCH(T354,CC_DS,0)),
IF(AA354="SALUD",OFFSET('PARÁMETROS'!$K$29,MATCH(U354,JC_SA,0),MATCH(T354,CC_SA,0)),
IF(AA354="MEDIO AMBIENTE",OFFSET('PARÁMETROS'!$K$20,MATCH(U354,JC_MA,0),MATCH(T354,CC_MA,0)),
IF(AA354="Rel. Gubernamentales",OFFSET('PARÁMETROS'!$K$48,MATCH(U354,JC_G,0),MATCH(T354,CC_G,0)),
IF(AA354="OPERACIONAL",OFFSET('PARÁMETROS'!$K$56,MATCH(U354,JC_OP,0),MATCH(T354,CC_OP,0)),
IF(AA354="FINANCIERO",OFFSET('PARÁMETROS'!$K$56,MATCH(U354,JC_FI,0),MATCH(T354,CC_FI,0)),
OFFSET('PARÁMETROS'!$K$38,MATCH(U354,JC_L,0),MATCH(T354,CC_L,0))))))))),"")</f>
        <v/>
      </c>
      <c r="W354" s="130"/>
      <c r="X354" s="135"/>
      <c r="Y354" s="136"/>
      <c r="Z354" s="30"/>
      <c r="AA354" s="31" t="str">
        <f>E347</f>
        <v/>
      </c>
    </row>
    <row r="355" ht="87.0" customHeight="1">
      <c r="A355" s="129"/>
      <c r="B355" s="130"/>
      <c r="C355" s="130"/>
      <c r="D355" s="130"/>
      <c r="E355" s="130"/>
      <c r="F355" s="130"/>
      <c r="G355" s="130"/>
      <c r="H355" s="130"/>
      <c r="I355" s="130"/>
      <c r="J355" s="130"/>
      <c r="K355" s="130"/>
      <c r="L355" s="130"/>
      <c r="M355" s="130"/>
      <c r="N355" s="130"/>
      <c r="O355" s="130"/>
      <c r="P355" s="132"/>
      <c r="Q355" s="134"/>
      <c r="R355" s="134"/>
      <c r="S355" s="134"/>
      <c r="T355" s="135"/>
      <c r="U355" s="135"/>
      <c r="V355" s="135" t="str">
        <f>IFERROR(IF(AA355="SEGURIDAD",OFFSET('PARÁMETROS'!$K$2,MATCH(U355,JC_SE,0),MATCH(T355,CC_SE,0)),
IF(OR(AA355="DSRC/Estratégico",AA355="DSRC/Operativo"),OFFSET('PARÁMETROS'!$K$11,MATCH(U355,JC_DS,0),MATCH(T355,CC_DS,0)),
IF(AA355="SALUD",OFFSET('PARÁMETROS'!$K$29,MATCH(U355,JC_SA,0),MATCH(T355,CC_SA,0)),
IF(AA355="MEDIO AMBIENTE",OFFSET('PARÁMETROS'!$K$20,MATCH(U355,JC_MA,0),MATCH(T355,CC_MA,0)),
IF(AA355="Rel. Gubernamentales",OFFSET('PARÁMETROS'!$K$48,MATCH(U355,JC_G,0),MATCH(T355,CC_G,0)),
IF(AA355="OPERACIONAL",OFFSET('PARÁMETROS'!$K$56,MATCH(U355,JC_OP,0),MATCH(T355,CC_OP,0)),
IF(AA355="FINANCIERO",OFFSET('PARÁMETROS'!$K$56,MATCH(U355,JC_FI,0),MATCH(T355,CC_FI,0)),
OFFSET('PARÁMETROS'!$K$38,MATCH(U355,JC_L,0),MATCH(T355,CC_L,0))))))))),"")</f>
        <v/>
      </c>
      <c r="W355" s="130"/>
      <c r="X355" s="135"/>
      <c r="Y355" s="136"/>
      <c r="Z355" s="30"/>
      <c r="AA355" s="31" t="str">
        <f>E347</f>
        <v/>
      </c>
    </row>
    <row r="356" ht="87.0" customHeight="1">
      <c r="A356" s="129"/>
      <c r="B356" s="130"/>
      <c r="C356" s="130"/>
      <c r="D356" s="130"/>
      <c r="E356" s="130"/>
      <c r="F356" s="130"/>
      <c r="G356" s="130"/>
      <c r="H356" s="130"/>
      <c r="I356" s="130"/>
      <c r="J356" s="130"/>
      <c r="K356" s="130"/>
      <c r="L356" s="130"/>
      <c r="M356" s="130"/>
      <c r="N356" s="130"/>
      <c r="O356" s="130"/>
      <c r="P356" s="132"/>
      <c r="Q356" s="134"/>
      <c r="R356" s="134"/>
      <c r="S356" s="134"/>
      <c r="T356" s="135"/>
      <c r="U356" s="135"/>
      <c r="V356" s="135" t="str">
        <f>IFERROR(IF(AA356="SEGURIDAD",OFFSET('PARÁMETROS'!$K$2,MATCH(U356,JC_SE,0),MATCH(T356,CC_SE,0)),
IF(OR(AA356="DSRC/Estratégico",AA356="DSRC/Operativo"),OFFSET('PARÁMETROS'!$K$11,MATCH(U356,JC_DS,0),MATCH(T356,CC_DS,0)),
IF(AA356="SALUD",OFFSET('PARÁMETROS'!$K$29,MATCH(U356,JC_SA,0),MATCH(T356,CC_SA,0)),
IF(AA356="MEDIO AMBIENTE",OFFSET('PARÁMETROS'!$K$20,MATCH(U356,JC_MA,0),MATCH(T356,CC_MA,0)),
IF(AA356="Rel. Gubernamentales",OFFSET('PARÁMETROS'!$K$48,MATCH(U356,JC_G,0),MATCH(T356,CC_G,0)),
IF(AA356="OPERACIONAL",OFFSET('PARÁMETROS'!$K$56,MATCH(U356,JC_OP,0),MATCH(T356,CC_OP,0)),
IF(AA356="FINANCIERO",OFFSET('PARÁMETROS'!$K$56,MATCH(U356,JC_FI,0),MATCH(T356,CC_FI,0)),
OFFSET('PARÁMETROS'!$K$38,MATCH(U356,JC_L,0),MATCH(T356,CC_L,0))))))))),"")</f>
        <v/>
      </c>
      <c r="W356" s="130"/>
      <c r="X356" s="135"/>
      <c r="Y356" s="136"/>
      <c r="Z356" s="30"/>
      <c r="AA356" s="31" t="str">
        <f>E347</f>
        <v/>
      </c>
    </row>
    <row r="357" ht="87.0" customHeight="1">
      <c r="A357" s="129"/>
      <c r="B357" s="130"/>
      <c r="C357" s="130"/>
      <c r="D357" s="130"/>
      <c r="E357" s="130"/>
      <c r="F357" s="130"/>
      <c r="G357" s="130"/>
      <c r="H357" s="130"/>
      <c r="I357" s="130"/>
      <c r="J357" s="130"/>
      <c r="K357" s="130"/>
      <c r="L357" s="130"/>
      <c r="M357" s="130"/>
      <c r="N357" s="130"/>
      <c r="O357" s="130"/>
      <c r="P357" s="132"/>
      <c r="Q357" s="134"/>
      <c r="R357" s="134"/>
      <c r="S357" s="134"/>
      <c r="T357" s="135"/>
      <c r="U357" s="135"/>
      <c r="V357" s="135" t="str">
        <f>IFERROR(IF(AA357="SEGURIDAD",OFFSET('PARÁMETROS'!$K$2,MATCH(U357,JC_SE,0),MATCH(T357,CC_SE,0)),
IF(OR(AA357="DSRC/Estratégico",AA357="DSRC/Operativo"),OFFSET('PARÁMETROS'!$K$11,MATCH(U357,JC_DS,0),MATCH(T357,CC_DS,0)),
IF(AA357="SALUD",OFFSET('PARÁMETROS'!$K$29,MATCH(U357,JC_SA,0),MATCH(T357,CC_SA,0)),
IF(AA357="MEDIO AMBIENTE",OFFSET('PARÁMETROS'!$K$20,MATCH(U357,JC_MA,0),MATCH(T357,CC_MA,0)),
IF(AA357="Rel. Gubernamentales",OFFSET('PARÁMETROS'!$K$48,MATCH(U357,JC_G,0),MATCH(T357,CC_G,0)),
IF(AA357="OPERACIONAL",OFFSET('PARÁMETROS'!$K$56,MATCH(U357,JC_OP,0),MATCH(T357,CC_OP,0)),
IF(AA357="FINANCIERO",OFFSET('PARÁMETROS'!$K$56,MATCH(U357,JC_FI,0),MATCH(T357,CC_FI,0)),
OFFSET('PARÁMETROS'!$K$38,MATCH(U357,JC_L,0),MATCH(T357,CC_L,0))))))))),"")</f>
        <v/>
      </c>
      <c r="W357" s="130"/>
      <c r="X357" s="135"/>
      <c r="Y357" s="136"/>
      <c r="Z357" s="30"/>
      <c r="AA357" s="31" t="str">
        <f>E347</f>
        <v/>
      </c>
    </row>
    <row r="358" ht="87.0" customHeight="1">
      <c r="A358" s="129"/>
      <c r="B358" s="130"/>
      <c r="C358" s="130"/>
      <c r="D358" s="130"/>
      <c r="E358" s="130"/>
      <c r="F358" s="130"/>
      <c r="G358" s="130"/>
      <c r="H358" s="130"/>
      <c r="I358" s="130"/>
      <c r="J358" s="130"/>
      <c r="K358" s="130"/>
      <c r="L358" s="130"/>
      <c r="M358" s="130"/>
      <c r="N358" s="130"/>
      <c r="O358" s="130"/>
      <c r="P358" s="132"/>
      <c r="Q358" s="134"/>
      <c r="R358" s="134"/>
      <c r="S358" s="134"/>
      <c r="T358" s="135"/>
      <c r="U358" s="135"/>
      <c r="V358" s="135" t="str">
        <f>IFERROR(IF(AA358="SEGURIDAD",OFFSET('PARÁMETROS'!$K$2,MATCH(U358,JC_SE,0),MATCH(T358,CC_SE,0)),
IF(OR(AA358="DSRC/Estratégico",AA358="DSRC/Operativo"),OFFSET('PARÁMETROS'!$K$11,MATCH(U358,JC_DS,0),MATCH(T358,CC_DS,0)),
IF(AA358="SALUD",OFFSET('PARÁMETROS'!$K$29,MATCH(U358,JC_SA,0),MATCH(T358,CC_SA,0)),
IF(AA358="MEDIO AMBIENTE",OFFSET('PARÁMETROS'!$K$20,MATCH(U358,JC_MA,0),MATCH(T358,CC_MA,0)),
IF(AA358="Rel. Gubernamentales",OFFSET('PARÁMETROS'!$K$48,MATCH(U358,JC_G,0),MATCH(T358,CC_G,0)),
IF(AA358="OPERACIONAL",OFFSET('PARÁMETROS'!$K$56,MATCH(U358,JC_OP,0),MATCH(T358,CC_OP,0)),
IF(AA358="FINANCIERO",OFFSET('PARÁMETROS'!$K$56,MATCH(U358,JC_FI,0),MATCH(T358,CC_FI,0)),
OFFSET('PARÁMETROS'!$K$38,MATCH(U358,JC_L,0),MATCH(T358,CC_L,0))))))))),"")</f>
        <v/>
      </c>
      <c r="W358" s="130"/>
      <c r="X358" s="135"/>
      <c r="Y358" s="136"/>
      <c r="Z358" s="30"/>
      <c r="AA358" s="31" t="str">
        <f>E347</f>
        <v/>
      </c>
    </row>
    <row r="359" ht="87.0" customHeight="1">
      <c r="A359" s="129"/>
      <c r="B359" s="130"/>
      <c r="C359" s="130"/>
      <c r="D359" s="130"/>
      <c r="E359" s="130"/>
      <c r="F359" s="130"/>
      <c r="G359" s="130"/>
      <c r="H359" s="130"/>
      <c r="I359" s="130"/>
      <c r="J359" s="130"/>
      <c r="K359" s="130"/>
      <c r="L359" s="130"/>
      <c r="M359" s="130"/>
      <c r="N359" s="130"/>
      <c r="O359" s="130"/>
      <c r="P359" s="132"/>
      <c r="Q359" s="134"/>
      <c r="R359" s="134"/>
      <c r="S359" s="134"/>
      <c r="T359" s="135"/>
      <c r="U359" s="135"/>
      <c r="V359" s="135" t="str">
        <f>IFERROR(IF(AA359="SEGURIDAD",OFFSET('PARÁMETROS'!$K$2,MATCH(U359,JC_SE,0),MATCH(T359,CC_SE,0)),
IF(OR(AA359="DSRC/Estratégico",AA359="DSRC/Operativo"),OFFSET('PARÁMETROS'!$K$11,MATCH(U359,JC_DS,0),MATCH(T359,CC_DS,0)),
IF(AA359="SALUD",OFFSET('PARÁMETROS'!$K$29,MATCH(U359,JC_SA,0),MATCH(T359,CC_SA,0)),
IF(AA359="MEDIO AMBIENTE",OFFSET('PARÁMETROS'!$K$20,MATCH(U359,JC_MA,0),MATCH(T359,CC_MA,0)),
IF(AA359="Rel. Gubernamentales",OFFSET('PARÁMETROS'!$K$48,MATCH(U359,JC_G,0),MATCH(T359,CC_G,0)),
IF(AA359="OPERACIONAL",OFFSET('PARÁMETROS'!$K$56,MATCH(U359,JC_OP,0),MATCH(T359,CC_OP,0)),
IF(AA359="FINANCIERO",OFFSET('PARÁMETROS'!$K$56,MATCH(U359,JC_FI,0),MATCH(T359,CC_FI,0)),
OFFSET('PARÁMETROS'!$K$38,MATCH(U359,JC_L,0),MATCH(T359,CC_L,0))))))))),"")</f>
        <v/>
      </c>
      <c r="W359" s="130"/>
      <c r="X359" s="135"/>
      <c r="Y359" s="136"/>
      <c r="Z359" s="30"/>
      <c r="AA359" s="31" t="str">
        <f>E347</f>
        <v/>
      </c>
    </row>
    <row r="360" ht="87.0" customHeight="1">
      <c r="A360" s="129"/>
      <c r="B360" s="130"/>
      <c r="C360" s="130"/>
      <c r="D360" s="130"/>
      <c r="E360" s="130"/>
      <c r="F360" s="130"/>
      <c r="G360" s="130"/>
      <c r="H360" s="130"/>
      <c r="I360" s="130"/>
      <c r="J360" s="130"/>
      <c r="K360" s="130"/>
      <c r="L360" s="130"/>
      <c r="M360" s="130"/>
      <c r="N360" s="130"/>
      <c r="O360" s="130"/>
      <c r="P360" s="132"/>
      <c r="Q360" s="134"/>
      <c r="R360" s="134"/>
      <c r="S360" s="134"/>
      <c r="T360" s="135"/>
      <c r="U360" s="135"/>
      <c r="V360" s="135" t="str">
        <f>IFERROR(IF(AA360="SEGURIDAD",OFFSET('PARÁMETROS'!$K$2,MATCH(U360,JC_SE,0),MATCH(T360,CC_SE,0)),
IF(OR(AA360="DSRC/Estratégico",AA360="DSRC/Operativo"),OFFSET('PARÁMETROS'!$K$11,MATCH(U360,JC_DS,0),MATCH(T360,CC_DS,0)),
IF(AA360="SALUD",OFFSET('PARÁMETROS'!$K$29,MATCH(U360,JC_SA,0),MATCH(T360,CC_SA,0)),
IF(AA360="MEDIO AMBIENTE",OFFSET('PARÁMETROS'!$K$20,MATCH(U360,JC_MA,0),MATCH(T360,CC_MA,0)),
IF(AA360="Rel. Gubernamentales",OFFSET('PARÁMETROS'!$K$48,MATCH(U360,JC_G,0),MATCH(T360,CC_G,0)),
IF(AA360="OPERACIONAL",OFFSET('PARÁMETROS'!$K$56,MATCH(U360,JC_OP,0),MATCH(T360,CC_OP,0)),
IF(AA360="FINANCIERO",OFFSET('PARÁMETROS'!$K$56,MATCH(U360,JC_FI,0),MATCH(T360,CC_FI,0)),
OFFSET('PARÁMETROS'!$K$38,MATCH(U360,JC_L,0),MATCH(T360,CC_L,0))))))))),"")</f>
        <v/>
      </c>
      <c r="W360" s="130"/>
      <c r="X360" s="135"/>
      <c r="Y360" s="136"/>
      <c r="Z360" s="30"/>
      <c r="AA360" s="31" t="str">
        <f>E347</f>
        <v/>
      </c>
    </row>
    <row r="361" ht="87.0" customHeight="1">
      <c r="A361" s="129"/>
      <c r="B361" s="130"/>
      <c r="C361" s="130"/>
      <c r="D361" s="130"/>
      <c r="E361" s="130"/>
      <c r="F361" s="130"/>
      <c r="G361" s="130"/>
      <c r="H361" s="130"/>
      <c r="I361" s="130"/>
      <c r="J361" s="130"/>
      <c r="K361" s="130"/>
      <c r="L361" s="130"/>
      <c r="M361" s="130"/>
      <c r="N361" s="130"/>
      <c r="O361" s="130"/>
      <c r="P361" s="132"/>
      <c r="Q361" s="134"/>
      <c r="R361" s="134"/>
      <c r="S361" s="134"/>
      <c r="T361" s="135"/>
      <c r="U361" s="135"/>
      <c r="V361" s="135" t="str">
        <f>IFERROR(IF(AA361="SEGURIDAD",OFFSET('PARÁMETROS'!$K$2,MATCH(U361,JC_SE,0),MATCH(T361,CC_SE,0)),
IF(OR(AA361="DSRC/Estratégico",AA361="DSRC/Operativo"),OFFSET('PARÁMETROS'!$K$11,MATCH(U361,JC_DS,0),MATCH(T361,CC_DS,0)),
IF(AA361="SALUD",OFFSET('PARÁMETROS'!$K$29,MATCH(U361,JC_SA,0),MATCH(T361,CC_SA,0)),
IF(AA361="MEDIO AMBIENTE",OFFSET('PARÁMETROS'!$K$20,MATCH(U361,JC_MA,0),MATCH(T361,CC_MA,0)),
IF(AA361="Rel. Gubernamentales",OFFSET('PARÁMETROS'!$K$48,MATCH(U361,JC_G,0),MATCH(T361,CC_G,0)),
IF(AA361="OPERACIONAL",OFFSET('PARÁMETROS'!$K$56,MATCH(U361,JC_OP,0),MATCH(T361,CC_OP,0)),
IF(AA361="FINANCIERO",OFFSET('PARÁMETROS'!$K$56,MATCH(U361,JC_FI,0),MATCH(T361,CC_FI,0)),
OFFSET('PARÁMETROS'!$K$38,MATCH(U361,JC_L,0),MATCH(T361,CC_L,0))))))))),"")</f>
        <v/>
      </c>
      <c r="W361" s="130"/>
      <c r="X361" s="135"/>
      <c r="Y361" s="136"/>
      <c r="Z361" s="30"/>
      <c r="AA361" s="31" t="str">
        <f>E347</f>
        <v/>
      </c>
    </row>
    <row r="362" ht="87.0" customHeight="1">
      <c r="A362" s="89"/>
      <c r="B362" s="90"/>
      <c r="C362" s="90"/>
      <c r="D362" s="157"/>
      <c r="E362" s="157"/>
      <c r="F362" s="157"/>
      <c r="G362" s="157"/>
      <c r="H362" s="157"/>
      <c r="I362" s="90"/>
      <c r="J362" s="90"/>
      <c r="K362" s="90"/>
      <c r="L362" s="90"/>
      <c r="M362" s="90"/>
      <c r="N362" s="90"/>
      <c r="O362" s="90"/>
      <c r="P362" s="132"/>
      <c r="Q362" s="134"/>
      <c r="R362" s="145"/>
      <c r="S362" s="145"/>
      <c r="T362" s="135"/>
      <c r="U362" s="135"/>
      <c r="V362" s="135" t="str">
        <f>IFERROR(IF(AA362="SEGURIDAD",OFFSET('PARÁMETROS'!$K$2,MATCH(U362,JC_SE,0),MATCH(T362,CC_SE,0)),
IF(OR(AA362="DSRC/Estratégico",AA362="DSRC/Operativo"),OFFSET('PARÁMETROS'!$K$11,MATCH(U362,JC_DS,0),MATCH(T362,CC_DS,0)),
IF(AA362="SALUD",OFFSET('PARÁMETROS'!$K$29,MATCH(U362,JC_SA,0),MATCH(T362,CC_SA,0)),
IF(AA362="MEDIO AMBIENTE",OFFSET('PARÁMETROS'!$K$20,MATCH(U362,JC_MA,0),MATCH(T362,CC_MA,0)),
IF(AA362="Rel. Gubernamentales",OFFSET('PARÁMETROS'!$K$48,MATCH(U362,JC_G,0),MATCH(T362,CC_G,0)),
IF(AA362="OPERACIONAL",OFFSET('PARÁMETROS'!$K$56,MATCH(U362,JC_OP,0),MATCH(T362,CC_OP,0)),
IF(AA362="FINANCIERO",OFFSET('PARÁMETROS'!$K$56,MATCH(U362,JC_FI,0),MATCH(T362,CC_FI,0)),
OFFSET('PARÁMETROS'!$K$38,MATCH(U362,JC_L,0),MATCH(T362,CC_L,0))))))))),"")</f>
        <v/>
      </c>
      <c r="W362" s="90"/>
      <c r="X362" s="135"/>
      <c r="Y362" s="136"/>
      <c r="Z362" s="30"/>
      <c r="AA362" s="31" t="str">
        <f>E347</f>
        <v/>
      </c>
    </row>
    <row r="363" ht="87.0" customHeight="1">
      <c r="A363" s="102"/>
      <c r="B363" s="103"/>
      <c r="C363" s="103"/>
      <c r="D363" s="103"/>
      <c r="E363" s="103"/>
      <c r="F363" s="103"/>
      <c r="G363" s="105"/>
      <c r="H363" s="103"/>
      <c r="I363" s="105"/>
      <c r="J363" s="103"/>
      <c r="K363" s="103"/>
      <c r="L363" s="103" t="str">
        <f>IF(OR(J363&lt;&gt;"",K363&lt;&gt;""),OFFSET('PARÁMETROS'!$B$2,K363,J363),"")</f>
        <v/>
      </c>
      <c r="M363" s="103"/>
      <c r="N363" s="103">
        <f>IFERROR(L363*M363,"")</f>
        <v>0</v>
      </c>
      <c r="O363" s="108" t="str">
        <f>IF(N363="","",IFERROR(IF(N363&lt;=2,"ACEPTABLE",IF(N363&lt;=6,"BAJA",IF(N363&lt;=10,"ACEPTABLE CON REVISIÓN",IF(N363&lt;=15,"SUSTANCIAL","INACEPTABLE")))),""))</f>
        <v>ACEPTABLE</v>
      </c>
      <c r="P363" s="113"/>
      <c r="Q363" s="114"/>
      <c r="R363" s="114"/>
      <c r="S363" s="114"/>
      <c r="T363" s="115"/>
      <c r="U363" s="115"/>
      <c r="V363" s="115" t="str">
        <f>IFERROR(IF(AA363="SEGURIDAD",OFFSET('PARÁMETROS'!$K$2,MATCH(U363,JC_SE,0),MATCH(T363,CC_SE,0)),
IF(OR(AA363="DSRC/Estratégico",AA363="DSRC/Operativo"),OFFSET('PARÁMETROS'!$K$11,MATCH(U363,JC_DS,0),MATCH(T363,CC_DS,0)),
IF(AA363="SALUD",OFFSET('PARÁMETROS'!$K$29,MATCH(U363,JC_SA,0),MATCH(T363,CC_SA,0)),
IF(AA363="MEDIO AMBIENTE",OFFSET('PARÁMETROS'!$K$20,MATCH(U363,JC_MA,0),MATCH(T363,CC_MA,0)),
IF(AA363="Rel. Gubernamentales",OFFSET('PARÁMETROS'!$K$48,MATCH(U363,JC_G,0),MATCH(T363,CC_G,0)),
IF(AA363="OPERACIONAL",OFFSET('PARÁMETROS'!$K$56,MATCH(U363,JC_OP,0),MATCH(T363,CC_OP,0)),
IF(AA363="FINANCIERO",OFFSET('PARÁMETROS'!$K$56,MATCH(U363,JC_FI,0),MATCH(T363,CC_FI,0)),
OFFSET('PARÁMETROS'!$K$38,MATCH(U363,JC_L,0),MATCH(T363,CC_L,0))))))))),"")</f>
        <v/>
      </c>
      <c r="W363" s="108" t="str">
        <f>IF(E363="","",
IF(COUNTA(V363:V378)-COUNTBLANK(V363:V378)=1,
IF(O363="INACEPTABLE",IF(COUNTIF(V363:V378,"Control/Acción Eficaz")&gt;=1,"SUSTANCIAL","INACEPTABLE"),
IF(O363="SUSTANCIAL",IF(COUNTIF(V363:V378,"Control/Acción Eficaz")&gt;=1,"ACEPTABLE CON REVISIÓN","SUSTANCIAL"),
IF(O363="ACEPTABLE CON REVISIÓN",IF(COUNTIF(V363:V378,"Control/Acción Eficaz")&gt;=1,"BAJA","ACEPTABLE CON REVISIÓN"),
IF(O363="BAJA",IF(COUNTIF(V363:V378,"Control/Acción Eficaz")&gt;=1,"ACEPTABLE","BAJA"),)))),
IF(COUNTA(V363:V378)-COUNTBLANK(V363:V378)=2,
IF(O363="INACEPTABLE",IF(COUNTIF(V363:V378,"Control/Acción Eficaz")=2,"ACEPTABLE CON REVISIÓN",
IF(OR(AND(COUNTIF(V363:V378,"Control/Acción Eficaz")=1,COUNTIF(V363:V378,"Control/Acción Satisfactorio")=1),
AND(COUNTIF(V363:V378,"Control/Acción Eficaz")=1,COUNTIF(V363:V378,"Control/Acción No Eficaz")=1)),"SUSTANCIAL","INACEPTABLE")),
IF(O363="SUSTANCIAL",IF(COUNTIF(V363:V378,"Control/Acción Eficaz")=2,"BAJA",
IF(OR(AND(COUNTIF(V363:V378,"Control/Acción Eficaz")=1,COUNTIF(V363:V378,"Control/Acción Satisfactorio")=1),
AND(COUNTIF(V363:V378,"Control/Acción Eficaz")=1,COUNTIF(V363:V378,"Control/Acción No Eficaz")=1)),"ACEPTABLE CON REVISIÓN ","SUSTANCIAL")),
IF(O363="ACEPTABLE CON REVISIÓN",IF(COUNTIF(V363:V378,"Control/Acción Eficaz")=2,"ACEPTABLE",
IF(OR(AND(COUNTIF(V363:V378,"Control/Acción Eficaz")=1,COUNTIF(V363:V378,"Control/Acción Satisfactorio")=1),
AND(COUNTIF(V363:V378,"Control/Acción Eficaz")=1,COUNTIF(V363:V378,"Control/Acción No Eficaz")=1)),"BAJA","ACEPTABLE CON REVISIÓN")),
IF(O363="BAJA",IF(COUNTIF(V363:V378,"Control/Acción Eficaz")&gt;=2,"ACEPTABLE","BAJA"),)))),
IF(COUNTA(V363:V378)-COUNTBLANK(V363:V378)&gt;=3,
IF(O363="INACEPTABLE",
IF(COUNTBLANK(V363:V378)=COUNTA(V363:V378),"",
IF(COUNTIF(V363:V378,"Control/Acción No Eficaz")&gt;=2,"INACEPTABLE",
IF(AND(COUNTIF(V363:V378,"Control/Acción No Eficaz")=0,COUNTIF(V363:V378,"Control/Acción Eficaz")&gt;=2),"ACEPTABLE CON REVISIÓN ","SUSTANCIAL"))),
IF(O363="SUSTANCIAL",
IF(COUNTBLANK(V363:V378)=COUNTA(V363:V378),"",
IF(COUNTIF(V363:V378,"Control/Acción No Eficaz")&gt;=2,"SUSTANCIAL",
IF(AND(COUNTIF(V363:V378,"Control/Acción No Eficaz")=0,COUNTIF(V363:V378,"Control/Acción Eficaz")&gt;=2),"BAJA","ACEPTABLE CON REVISIÓN"))),
IF(O363="ACEPTABLE CON REVISIÓN",
IF(COUNTBLANK(V363:V378)=COUNTA(V363:V378),"",
IF(COUNTIF(V363:V378,"Control/Acción No Eficaz")&gt;=2,"ACEPTABLE CON REVISIÓN",
IF(AND(COUNTIF(V363:V378,"Control/Acción No Eficaz")=0,COUNTIF(V363:V378,"Control/Acción Eficaz")&gt;=2),"ACEPTABLE","BAJA"))),
IF(O363="BAJA",
IF(COUNTBLANK(V363:V378)=COUNTA(V363:V378),"",
IF(AND(COUNTBLANK(V363:V378)&lt;1,COUNTA(V363:V378)=1),
IF(COUNTIF(V363:V378,"Control/Acción No Eficaz")&gt;=2,"BAJA",
IF(AND(COUNTIF(V363:V378,"Control/Acción No Eficaz")=0,COUNTIF(V363:V378,"Control/Acción Eficaz")&gt;=2),"ACEPTABLE","BAJA")),
IF(COUNTIF(V363:V378,"Control/Acción No Eficaz")&gt;=2,"BAJA",
IF(AND(COUNTIF(V363:V378,"Control/Acción No Eficaz")=0,COUNTIF(V363:V378,"Control/Acción Eficaz")&gt;=2),"ACEPTABLE","BAJA")))),
IF(COUNTIF(V363:V378,"")&gt;=5,"",O363))))),
""))))</f>
        <v/>
      </c>
      <c r="X363" s="115"/>
      <c r="Y363" s="128"/>
      <c r="Z363" s="30"/>
      <c r="AA363" s="31" t="str">
        <f>E363</f>
        <v/>
      </c>
    </row>
    <row r="364" ht="87.0" customHeight="1">
      <c r="A364" s="129"/>
      <c r="B364" s="130"/>
      <c r="C364" s="130"/>
      <c r="D364" s="130"/>
      <c r="E364" s="130"/>
      <c r="F364" s="130"/>
      <c r="G364" s="130"/>
      <c r="H364" s="130"/>
      <c r="I364" s="130"/>
      <c r="J364" s="130"/>
      <c r="K364" s="130"/>
      <c r="L364" s="130"/>
      <c r="M364" s="130"/>
      <c r="N364" s="130"/>
      <c r="O364" s="130"/>
      <c r="P364" s="132"/>
      <c r="Q364" s="134"/>
      <c r="R364" s="134"/>
      <c r="S364" s="134"/>
      <c r="T364" s="135"/>
      <c r="U364" s="135"/>
      <c r="V364" s="135" t="str">
        <f>IFERROR(IF(AA364="SEGURIDAD",OFFSET('PARÁMETROS'!$K$2,MATCH(U364,JC_SE,0),MATCH(T364,CC_SE,0)),
IF(OR(AA364="DSRC/Estratégico",AA364="DSRC/Operativo"),OFFSET('PARÁMETROS'!$K$11,MATCH(U364,JC_DS,0),MATCH(T364,CC_DS,0)),
IF(AA364="SALUD",OFFSET('PARÁMETROS'!$K$29,MATCH(U364,JC_SA,0),MATCH(T364,CC_SA,0)),
IF(AA364="MEDIO AMBIENTE",OFFSET('PARÁMETROS'!$K$20,MATCH(U364,JC_MA,0),MATCH(T364,CC_MA,0)),
IF(AA364="Rel. Gubernamentales",OFFSET('PARÁMETROS'!$K$48,MATCH(U364,JC_G,0),MATCH(T364,CC_G,0)),
IF(AA364="OPERACIONAL",OFFSET('PARÁMETROS'!$K$56,MATCH(U364,JC_OP,0),MATCH(T364,CC_OP,0)),
IF(AA364="FINANCIERO",OFFSET('PARÁMETROS'!$K$56,MATCH(U364,JC_FI,0),MATCH(T364,CC_FI,0)),
OFFSET('PARÁMETROS'!$K$38,MATCH(U364,JC_L,0),MATCH(T364,CC_L,0))))))))),"")</f>
        <v/>
      </c>
      <c r="W364" s="130"/>
      <c r="X364" s="135"/>
      <c r="Y364" s="136"/>
      <c r="Z364" s="30"/>
      <c r="AA364" s="31" t="str">
        <f>E363</f>
        <v/>
      </c>
    </row>
    <row r="365" ht="87.0" customHeight="1">
      <c r="A365" s="129"/>
      <c r="B365" s="130"/>
      <c r="C365" s="130"/>
      <c r="D365" s="130"/>
      <c r="E365" s="130"/>
      <c r="F365" s="130"/>
      <c r="G365" s="130"/>
      <c r="H365" s="130"/>
      <c r="I365" s="130"/>
      <c r="J365" s="130"/>
      <c r="K365" s="130"/>
      <c r="L365" s="130"/>
      <c r="M365" s="130"/>
      <c r="N365" s="130"/>
      <c r="O365" s="130"/>
      <c r="P365" s="132"/>
      <c r="Q365" s="134"/>
      <c r="R365" s="134"/>
      <c r="S365" s="134"/>
      <c r="T365" s="135"/>
      <c r="U365" s="135"/>
      <c r="V365" s="135" t="str">
        <f>IFERROR(IF(AA365="SEGURIDAD",OFFSET('PARÁMETROS'!$K$2,MATCH(U365,JC_SE,0),MATCH(T365,CC_SE,0)),
IF(OR(AA365="DSRC/Estratégico",AA365="DSRC/Operativo"),OFFSET('PARÁMETROS'!$K$11,MATCH(U365,JC_DS,0),MATCH(T365,CC_DS,0)),
IF(AA365="SALUD",OFFSET('PARÁMETROS'!$K$29,MATCH(U365,JC_SA,0),MATCH(T365,CC_SA,0)),
IF(AA365="MEDIO AMBIENTE",OFFSET('PARÁMETROS'!$K$20,MATCH(U365,JC_MA,0),MATCH(T365,CC_MA,0)),
IF(AA365="Rel. Gubernamentales",OFFSET('PARÁMETROS'!$K$48,MATCH(U365,JC_G,0),MATCH(T365,CC_G,0)),
IF(AA365="OPERACIONAL",OFFSET('PARÁMETROS'!$K$56,MATCH(U365,JC_OP,0),MATCH(T365,CC_OP,0)),
IF(AA365="FINANCIERO",OFFSET('PARÁMETROS'!$K$56,MATCH(U365,JC_FI,0),MATCH(T365,CC_FI,0)),
OFFSET('PARÁMETROS'!$K$38,MATCH(U365,JC_L,0),MATCH(T365,CC_L,0))))))))),"")</f>
        <v/>
      </c>
      <c r="W365" s="130"/>
      <c r="X365" s="135"/>
      <c r="Y365" s="136"/>
      <c r="Z365" s="30"/>
      <c r="AA365" s="31" t="str">
        <f>E363</f>
        <v/>
      </c>
    </row>
    <row r="366" ht="87.0" customHeight="1">
      <c r="A366" s="129"/>
      <c r="B366" s="130"/>
      <c r="C366" s="130"/>
      <c r="D366" s="130"/>
      <c r="E366" s="130"/>
      <c r="F366" s="130"/>
      <c r="G366" s="130"/>
      <c r="H366" s="130"/>
      <c r="I366" s="130"/>
      <c r="J366" s="130"/>
      <c r="K366" s="130"/>
      <c r="L366" s="130"/>
      <c r="M366" s="130"/>
      <c r="N366" s="130"/>
      <c r="O366" s="130"/>
      <c r="P366" s="132"/>
      <c r="Q366" s="134"/>
      <c r="R366" s="134"/>
      <c r="S366" s="134"/>
      <c r="T366" s="135"/>
      <c r="U366" s="135"/>
      <c r="V366" s="135" t="str">
        <f>IFERROR(IF(AA366="SEGURIDAD",OFFSET('PARÁMETROS'!$K$2,MATCH(U366,JC_SE,0),MATCH(T366,CC_SE,0)),
IF(OR(AA366="DSRC/Estratégico",AA366="DSRC/Operativo"),OFFSET('PARÁMETROS'!$K$11,MATCH(U366,JC_DS,0),MATCH(T366,CC_DS,0)),
IF(AA366="SALUD",OFFSET('PARÁMETROS'!$K$29,MATCH(U366,JC_SA,0),MATCH(T366,CC_SA,0)),
IF(AA366="MEDIO AMBIENTE",OFFSET('PARÁMETROS'!$K$20,MATCH(U366,JC_MA,0),MATCH(T366,CC_MA,0)),
IF(AA366="Rel. Gubernamentales",OFFSET('PARÁMETROS'!$K$48,MATCH(U366,JC_G,0),MATCH(T366,CC_G,0)),
IF(AA366="OPERACIONAL",OFFSET('PARÁMETROS'!$K$56,MATCH(U366,JC_OP,0),MATCH(T366,CC_OP,0)),
IF(AA366="FINANCIERO",OFFSET('PARÁMETROS'!$K$56,MATCH(U366,JC_FI,0),MATCH(T366,CC_FI,0)),
OFFSET('PARÁMETROS'!$K$38,MATCH(U366,JC_L,0),MATCH(T366,CC_L,0))))))))),"")</f>
        <v/>
      </c>
      <c r="W366" s="130"/>
      <c r="X366" s="135"/>
      <c r="Y366" s="136"/>
      <c r="Z366" s="30"/>
      <c r="AA366" s="31" t="str">
        <f>E363</f>
        <v/>
      </c>
    </row>
    <row r="367" ht="87.0" customHeight="1">
      <c r="A367" s="129"/>
      <c r="B367" s="130"/>
      <c r="C367" s="130"/>
      <c r="D367" s="130"/>
      <c r="E367" s="130"/>
      <c r="F367" s="130"/>
      <c r="G367" s="130"/>
      <c r="H367" s="130"/>
      <c r="I367" s="130"/>
      <c r="J367" s="130"/>
      <c r="K367" s="130"/>
      <c r="L367" s="130"/>
      <c r="M367" s="130"/>
      <c r="N367" s="130"/>
      <c r="O367" s="130"/>
      <c r="P367" s="132"/>
      <c r="Q367" s="134"/>
      <c r="R367" s="134"/>
      <c r="S367" s="134"/>
      <c r="T367" s="135"/>
      <c r="U367" s="135"/>
      <c r="V367" s="135" t="str">
        <f>IFERROR(IF(AA367="SEGURIDAD",OFFSET('PARÁMETROS'!$K$2,MATCH(U367,JC_SE,0),MATCH(T367,CC_SE,0)),
IF(OR(AA367="DSRC/Estratégico",AA367="DSRC/Operativo"),OFFSET('PARÁMETROS'!$K$11,MATCH(U367,JC_DS,0),MATCH(T367,CC_DS,0)),
IF(AA367="SALUD",OFFSET('PARÁMETROS'!$K$29,MATCH(U367,JC_SA,0),MATCH(T367,CC_SA,0)),
IF(AA367="MEDIO AMBIENTE",OFFSET('PARÁMETROS'!$K$20,MATCH(U367,JC_MA,0),MATCH(T367,CC_MA,0)),
IF(AA367="Rel. Gubernamentales",OFFSET('PARÁMETROS'!$K$48,MATCH(U367,JC_G,0),MATCH(T367,CC_G,0)),
IF(AA367="OPERACIONAL",OFFSET('PARÁMETROS'!$K$56,MATCH(U367,JC_OP,0),MATCH(T367,CC_OP,0)),
IF(AA367="FINANCIERO",OFFSET('PARÁMETROS'!$K$56,MATCH(U367,JC_FI,0),MATCH(T367,CC_FI,0)),
OFFSET('PARÁMETROS'!$K$38,MATCH(U367,JC_L,0),MATCH(T367,CC_L,0))))))))),"")</f>
        <v/>
      </c>
      <c r="W367" s="130"/>
      <c r="X367" s="135"/>
      <c r="Y367" s="136"/>
      <c r="Z367" s="30"/>
      <c r="AA367" s="31" t="str">
        <f>E363</f>
        <v/>
      </c>
    </row>
    <row r="368" ht="87.0" customHeight="1">
      <c r="A368" s="129"/>
      <c r="B368" s="130"/>
      <c r="C368" s="130"/>
      <c r="D368" s="130"/>
      <c r="E368" s="130"/>
      <c r="F368" s="130"/>
      <c r="G368" s="130"/>
      <c r="H368" s="130"/>
      <c r="I368" s="130"/>
      <c r="J368" s="130"/>
      <c r="K368" s="130"/>
      <c r="L368" s="130"/>
      <c r="M368" s="130"/>
      <c r="N368" s="130"/>
      <c r="O368" s="130"/>
      <c r="P368" s="132"/>
      <c r="Q368" s="134"/>
      <c r="R368" s="134"/>
      <c r="S368" s="134"/>
      <c r="T368" s="135"/>
      <c r="U368" s="135"/>
      <c r="V368" s="135" t="str">
        <f>IFERROR(IF(AA368="SEGURIDAD",OFFSET('PARÁMETROS'!$K$2,MATCH(U368,JC_SE,0),MATCH(T368,CC_SE,0)),
IF(OR(AA368="DSRC/Estratégico",AA368="DSRC/Operativo"),OFFSET('PARÁMETROS'!$K$11,MATCH(U368,JC_DS,0),MATCH(T368,CC_DS,0)),
IF(AA368="SALUD",OFFSET('PARÁMETROS'!$K$29,MATCH(U368,JC_SA,0),MATCH(T368,CC_SA,0)),
IF(AA368="MEDIO AMBIENTE",OFFSET('PARÁMETROS'!$K$20,MATCH(U368,JC_MA,0),MATCH(T368,CC_MA,0)),
IF(AA368="Rel. Gubernamentales",OFFSET('PARÁMETROS'!$K$48,MATCH(U368,JC_G,0),MATCH(T368,CC_G,0)),
IF(AA368="OPERACIONAL",OFFSET('PARÁMETROS'!$K$56,MATCH(U368,JC_OP,0),MATCH(T368,CC_OP,0)),
IF(AA368="FINANCIERO",OFFSET('PARÁMETROS'!$K$56,MATCH(U368,JC_FI,0),MATCH(T368,CC_FI,0)),
OFFSET('PARÁMETROS'!$K$38,MATCH(U368,JC_L,0),MATCH(T368,CC_L,0))))))))),"")</f>
        <v/>
      </c>
      <c r="W368" s="130"/>
      <c r="X368" s="135"/>
      <c r="Y368" s="136"/>
      <c r="Z368" s="30"/>
      <c r="AA368" s="31" t="str">
        <f>E363</f>
        <v/>
      </c>
    </row>
    <row r="369" ht="87.0" customHeight="1">
      <c r="A369" s="129"/>
      <c r="B369" s="130"/>
      <c r="C369" s="130"/>
      <c r="D369" s="130"/>
      <c r="E369" s="130"/>
      <c r="F369" s="130"/>
      <c r="G369" s="130"/>
      <c r="H369" s="130"/>
      <c r="I369" s="130"/>
      <c r="J369" s="130"/>
      <c r="K369" s="130"/>
      <c r="L369" s="130"/>
      <c r="M369" s="130"/>
      <c r="N369" s="130"/>
      <c r="O369" s="130"/>
      <c r="P369" s="132"/>
      <c r="Q369" s="134"/>
      <c r="R369" s="134"/>
      <c r="S369" s="134"/>
      <c r="T369" s="135"/>
      <c r="U369" s="135"/>
      <c r="V369" s="135" t="str">
        <f>IFERROR(IF(AA369="SEGURIDAD",OFFSET('PARÁMETROS'!$K$2,MATCH(U369,JC_SE,0),MATCH(T369,CC_SE,0)),
IF(OR(AA369="DSRC/Estratégico",AA369="DSRC/Operativo"),OFFSET('PARÁMETROS'!$K$11,MATCH(U369,JC_DS,0),MATCH(T369,CC_DS,0)),
IF(AA369="SALUD",OFFSET('PARÁMETROS'!$K$29,MATCH(U369,JC_SA,0),MATCH(T369,CC_SA,0)),
IF(AA369="MEDIO AMBIENTE",OFFSET('PARÁMETROS'!$K$20,MATCH(U369,JC_MA,0),MATCH(T369,CC_MA,0)),
IF(AA369="Rel. Gubernamentales",OFFSET('PARÁMETROS'!$K$48,MATCH(U369,JC_G,0),MATCH(T369,CC_G,0)),
IF(AA369="OPERACIONAL",OFFSET('PARÁMETROS'!$K$56,MATCH(U369,JC_OP,0),MATCH(T369,CC_OP,0)),
IF(AA369="FINANCIERO",OFFSET('PARÁMETROS'!$K$56,MATCH(U369,JC_FI,0),MATCH(T369,CC_FI,0)),
OFFSET('PARÁMETROS'!$K$38,MATCH(U369,JC_L,0),MATCH(T369,CC_L,0))))))))),"")</f>
        <v/>
      </c>
      <c r="W369" s="130"/>
      <c r="X369" s="135"/>
      <c r="Y369" s="136"/>
      <c r="Z369" s="30"/>
      <c r="AA369" s="31" t="str">
        <f>E363</f>
        <v/>
      </c>
    </row>
    <row r="370" ht="87.0" customHeight="1">
      <c r="A370" s="129"/>
      <c r="B370" s="130"/>
      <c r="C370" s="130"/>
      <c r="D370" s="130"/>
      <c r="E370" s="130"/>
      <c r="F370" s="130"/>
      <c r="G370" s="130"/>
      <c r="H370" s="130"/>
      <c r="I370" s="130"/>
      <c r="J370" s="130"/>
      <c r="K370" s="130"/>
      <c r="L370" s="130"/>
      <c r="M370" s="130"/>
      <c r="N370" s="130"/>
      <c r="O370" s="130"/>
      <c r="P370" s="132"/>
      <c r="Q370" s="134"/>
      <c r="R370" s="134"/>
      <c r="S370" s="134"/>
      <c r="T370" s="135"/>
      <c r="U370" s="135"/>
      <c r="V370" s="135" t="str">
        <f>IFERROR(IF(AA370="SEGURIDAD",OFFSET('PARÁMETROS'!$K$2,MATCH(U370,JC_SE,0),MATCH(T370,CC_SE,0)),
IF(OR(AA370="DSRC/Estratégico",AA370="DSRC/Operativo"),OFFSET('PARÁMETROS'!$K$11,MATCH(U370,JC_DS,0),MATCH(T370,CC_DS,0)),
IF(AA370="SALUD",OFFSET('PARÁMETROS'!$K$29,MATCH(U370,JC_SA,0),MATCH(T370,CC_SA,0)),
IF(AA370="MEDIO AMBIENTE",OFFSET('PARÁMETROS'!$K$20,MATCH(U370,JC_MA,0),MATCH(T370,CC_MA,0)),
IF(AA370="Rel. Gubernamentales",OFFSET('PARÁMETROS'!$K$48,MATCH(U370,JC_G,0),MATCH(T370,CC_G,0)),
IF(AA370="OPERACIONAL",OFFSET('PARÁMETROS'!$K$56,MATCH(U370,JC_OP,0),MATCH(T370,CC_OP,0)),
IF(AA370="FINANCIERO",OFFSET('PARÁMETROS'!$K$56,MATCH(U370,JC_FI,0),MATCH(T370,CC_FI,0)),
OFFSET('PARÁMETROS'!$K$38,MATCH(U370,JC_L,0),MATCH(T370,CC_L,0))))))))),"")</f>
        <v/>
      </c>
      <c r="W370" s="130"/>
      <c r="X370" s="135"/>
      <c r="Y370" s="136"/>
      <c r="Z370" s="30"/>
      <c r="AA370" s="31" t="str">
        <f>E363</f>
        <v/>
      </c>
    </row>
    <row r="371" ht="87.0" customHeight="1">
      <c r="A371" s="129"/>
      <c r="B371" s="130"/>
      <c r="C371" s="130"/>
      <c r="D371" s="130"/>
      <c r="E371" s="130"/>
      <c r="F371" s="130"/>
      <c r="G371" s="130"/>
      <c r="H371" s="130"/>
      <c r="I371" s="130"/>
      <c r="J371" s="130"/>
      <c r="K371" s="130"/>
      <c r="L371" s="130"/>
      <c r="M371" s="130"/>
      <c r="N371" s="130"/>
      <c r="O371" s="130"/>
      <c r="P371" s="132"/>
      <c r="Q371" s="134"/>
      <c r="R371" s="134"/>
      <c r="S371" s="134"/>
      <c r="T371" s="135"/>
      <c r="U371" s="135"/>
      <c r="V371" s="135" t="str">
        <f>IFERROR(IF(AA371="SEGURIDAD",OFFSET('PARÁMETROS'!$K$2,MATCH(U371,JC_SE,0),MATCH(T371,CC_SE,0)),
IF(OR(AA371="DSRC/Estratégico",AA371="DSRC/Operativo"),OFFSET('PARÁMETROS'!$K$11,MATCH(U371,JC_DS,0),MATCH(T371,CC_DS,0)),
IF(AA371="SALUD",OFFSET('PARÁMETROS'!$K$29,MATCH(U371,JC_SA,0),MATCH(T371,CC_SA,0)),
IF(AA371="MEDIO AMBIENTE",OFFSET('PARÁMETROS'!$K$20,MATCH(U371,JC_MA,0),MATCH(T371,CC_MA,0)),
IF(AA371="Rel. Gubernamentales",OFFSET('PARÁMETROS'!$K$48,MATCH(U371,JC_G,0),MATCH(T371,CC_G,0)),
IF(AA371="OPERACIONAL",OFFSET('PARÁMETROS'!$K$56,MATCH(U371,JC_OP,0),MATCH(T371,CC_OP,0)),
IF(AA371="FINANCIERO",OFFSET('PARÁMETROS'!$K$56,MATCH(U371,JC_FI,0),MATCH(T371,CC_FI,0)),
OFFSET('PARÁMETROS'!$K$38,MATCH(U371,JC_L,0),MATCH(T371,CC_L,0))))))))),"")</f>
        <v/>
      </c>
      <c r="W371" s="130"/>
      <c r="X371" s="135"/>
      <c r="Y371" s="136"/>
      <c r="Z371" s="30"/>
      <c r="AA371" s="31" t="str">
        <f>E363</f>
        <v/>
      </c>
    </row>
    <row r="372" ht="87.0" customHeight="1">
      <c r="A372" s="129"/>
      <c r="B372" s="130"/>
      <c r="C372" s="130"/>
      <c r="D372" s="130"/>
      <c r="E372" s="130"/>
      <c r="F372" s="130"/>
      <c r="G372" s="130"/>
      <c r="H372" s="130"/>
      <c r="I372" s="130"/>
      <c r="J372" s="130"/>
      <c r="K372" s="130"/>
      <c r="L372" s="130"/>
      <c r="M372" s="130"/>
      <c r="N372" s="130"/>
      <c r="O372" s="130"/>
      <c r="P372" s="132"/>
      <c r="Q372" s="134"/>
      <c r="R372" s="134"/>
      <c r="S372" s="134"/>
      <c r="T372" s="135"/>
      <c r="U372" s="135"/>
      <c r="V372" s="135" t="str">
        <f>IFERROR(IF(AA372="SEGURIDAD",OFFSET('PARÁMETROS'!$K$2,MATCH(U372,JC_SE,0),MATCH(T372,CC_SE,0)),
IF(OR(AA372="DSRC/Estratégico",AA372="DSRC/Operativo"),OFFSET('PARÁMETROS'!$K$11,MATCH(U372,JC_DS,0),MATCH(T372,CC_DS,0)),
IF(AA372="SALUD",OFFSET('PARÁMETROS'!$K$29,MATCH(U372,JC_SA,0),MATCH(T372,CC_SA,0)),
IF(AA372="MEDIO AMBIENTE",OFFSET('PARÁMETROS'!$K$20,MATCH(U372,JC_MA,0),MATCH(T372,CC_MA,0)),
IF(AA372="Rel. Gubernamentales",OFFSET('PARÁMETROS'!$K$48,MATCH(U372,JC_G,0),MATCH(T372,CC_G,0)),
IF(AA372="OPERACIONAL",OFFSET('PARÁMETROS'!$K$56,MATCH(U372,JC_OP,0),MATCH(T372,CC_OP,0)),
IF(AA372="FINANCIERO",OFFSET('PARÁMETROS'!$K$56,MATCH(U372,JC_FI,0),MATCH(T372,CC_FI,0)),
OFFSET('PARÁMETROS'!$K$38,MATCH(U372,JC_L,0),MATCH(T372,CC_L,0))))))))),"")</f>
        <v/>
      </c>
      <c r="W372" s="130"/>
      <c r="X372" s="135"/>
      <c r="Y372" s="136"/>
      <c r="Z372" s="30"/>
      <c r="AA372" s="31" t="str">
        <f>E363</f>
        <v/>
      </c>
    </row>
    <row r="373" ht="87.0" customHeight="1">
      <c r="A373" s="129"/>
      <c r="B373" s="130"/>
      <c r="C373" s="130"/>
      <c r="D373" s="130"/>
      <c r="E373" s="130"/>
      <c r="F373" s="130"/>
      <c r="G373" s="130"/>
      <c r="H373" s="130"/>
      <c r="I373" s="130"/>
      <c r="J373" s="130"/>
      <c r="K373" s="130"/>
      <c r="L373" s="130"/>
      <c r="M373" s="130"/>
      <c r="N373" s="130"/>
      <c r="O373" s="130"/>
      <c r="P373" s="132"/>
      <c r="Q373" s="134"/>
      <c r="R373" s="134"/>
      <c r="S373" s="134"/>
      <c r="T373" s="135"/>
      <c r="U373" s="135"/>
      <c r="V373" s="135" t="str">
        <f>IFERROR(IF(AA373="SEGURIDAD",OFFSET('PARÁMETROS'!$K$2,MATCH(U373,JC_SE,0),MATCH(T373,CC_SE,0)),
IF(OR(AA373="DSRC/Estratégico",AA373="DSRC/Operativo"),OFFSET('PARÁMETROS'!$K$11,MATCH(U373,JC_DS,0),MATCH(T373,CC_DS,0)),
IF(AA373="SALUD",OFFSET('PARÁMETROS'!$K$29,MATCH(U373,JC_SA,0),MATCH(T373,CC_SA,0)),
IF(AA373="MEDIO AMBIENTE",OFFSET('PARÁMETROS'!$K$20,MATCH(U373,JC_MA,0),MATCH(T373,CC_MA,0)),
IF(AA373="Rel. Gubernamentales",OFFSET('PARÁMETROS'!$K$48,MATCH(U373,JC_G,0),MATCH(T373,CC_G,0)),
IF(AA373="OPERACIONAL",OFFSET('PARÁMETROS'!$K$56,MATCH(U373,JC_OP,0),MATCH(T373,CC_OP,0)),
IF(AA373="FINANCIERO",OFFSET('PARÁMETROS'!$K$56,MATCH(U373,JC_FI,0),MATCH(T373,CC_FI,0)),
OFFSET('PARÁMETROS'!$K$38,MATCH(U373,JC_L,0),MATCH(T373,CC_L,0))))))))),"")</f>
        <v/>
      </c>
      <c r="W373" s="130"/>
      <c r="X373" s="135"/>
      <c r="Y373" s="136"/>
      <c r="Z373" s="30"/>
      <c r="AA373" s="31" t="str">
        <f>E363</f>
        <v/>
      </c>
    </row>
    <row r="374" ht="87.0" customHeight="1">
      <c r="A374" s="129"/>
      <c r="B374" s="130"/>
      <c r="C374" s="130"/>
      <c r="D374" s="130"/>
      <c r="E374" s="130"/>
      <c r="F374" s="130"/>
      <c r="G374" s="130"/>
      <c r="H374" s="130"/>
      <c r="I374" s="130"/>
      <c r="J374" s="130"/>
      <c r="K374" s="130"/>
      <c r="L374" s="130"/>
      <c r="M374" s="130"/>
      <c r="N374" s="130"/>
      <c r="O374" s="130"/>
      <c r="P374" s="132"/>
      <c r="Q374" s="134"/>
      <c r="R374" s="134"/>
      <c r="S374" s="134"/>
      <c r="T374" s="135"/>
      <c r="U374" s="135"/>
      <c r="V374" s="135" t="str">
        <f>IFERROR(IF(AA374="SEGURIDAD",OFFSET('PARÁMETROS'!$K$2,MATCH(U374,JC_SE,0),MATCH(T374,CC_SE,0)),
IF(OR(AA374="DSRC/Estratégico",AA374="DSRC/Operativo"),OFFSET('PARÁMETROS'!$K$11,MATCH(U374,JC_DS,0),MATCH(T374,CC_DS,0)),
IF(AA374="SALUD",OFFSET('PARÁMETROS'!$K$29,MATCH(U374,JC_SA,0),MATCH(T374,CC_SA,0)),
IF(AA374="MEDIO AMBIENTE",OFFSET('PARÁMETROS'!$K$20,MATCH(U374,JC_MA,0),MATCH(T374,CC_MA,0)),
IF(AA374="Rel. Gubernamentales",OFFSET('PARÁMETROS'!$K$48,MATCH(U374,JC_G,0),MATCH(T374,CC_G,0)),
IF(AA374="OPERACIONAL",OFFSET('PARÁMETROS'!$K$56,MATCH(U374,JC_OP,0),MATCH(T374,CC_OP,0)),
IF(AA374="FINANCIERO",OFFSET('PARÁMETROS'!$K$56,MATCH(U374,JC_FI,0),MATCH(T374,CC_FI,0)),
OFFSET('PARÁMETROS'!$K$38,MATCH(U374,JC_L,0),MATCH(T374,CC_L,0))))))))),"")</f>
        <v/>
      </c>
      <c r="W374" s="130"/>
      <c r="X374" s="135"/>
      <c r="Y374" s="136"/>
      <c r="Z374" s="30"/>
      <c r="AA374" s="31" t="str">
        <f>E363</f>
        <v/>
      </c>
    </row>
    <row r="375" ht="87.0" customHeight="1">
      <c r="A375" s="129"/>
      <c r="B375" s="130"/>
      <c r="C375" s="130"/>
      <c r="D375" s="130"/>
      <c r="E375" s="130"/>
      <c r="F375" s="130"/>
      <c r="G375" s="130"/>
      <c r="H375" s="130"/>
      <c r="I375" s="130"/>
      <c r="J375" s="130"/>
      <c r="K375" s="130"/>
      <c r="L375" s="130"/>
      <c r="M375" s="130"/>
      <c r="N375" s="130"/>
      <c r="O375" s="130"/>
      <c r="P375" s="132"/>
      <c r="Q375" s="134"/>
      <c r="R375" s="134"/>
      <c r="S375" s="134"/>
      <c r="T375" s="135"/>
      <c r="U375" s="135"/>
      <c r="V375" s="135" t="str">
        <f>IFERROR(IF(AA375="SEGURIDAD",OFFSET('PARÁMETROS'!$K$2,MATCH(U375,JC_SE,0),MATCH(T375,CC_SE,0)),
IF(OR(AA375="DSRC/Estratégico",AA375="DSRC/Operativo"),OFFSET('PARÁMETROS'!$K$11,MATCH(U375,JC_DS,0),MATCH(T375,CC_DS,0)),
IF(AA375="SALUD",OFFSET('PARÁMETROS'!$K$29,MATCH(U375,JC_SA,0),MATCH(T375,CC_SA,0)),
IF(AA375="MEDIO AMBIENTE",OFFSET('PARÁMETROS'!$K$20,MATCH(U375,JC_MA,0),MATCH(T375,CC_MA,0)),
IF(AA375="Rel. Gubernamentales",OFFSET('PARÁMETROS'!$K$48,MATCH(U375,JC_G,0),MATCH(T375,CC_G,0)),
IF(AA375="OPERACIONAL",OFFSET('PARÁMETROS'!$K$56,MATCH(U375,JC_OP,0),MATCH(T375,CC_OP,0)),
IF(AA375="FINANCIERO",OFFSET('PARÁMETROS'!$K$56,MATCH(U375,JC_FI,0),MATCH(T375,CC_FI,0)),
OFFSET('PARÁMETROS'!$K$38,MATCH(U375,JC_L,0),MATCH(T375,CC_L,0))))))))),"")</f>
        <v/>
      </c>
      <c r="W375" s="130"/>
      <c r="X375" s="135"/>
      <c r="Y375" s="136"/>
      <c r="Z375" s="30"/>
      <c r="AA375" s="31" t="str">
        <f>E363</f>
        <v/>
      </c>
    </row>
    <row r="376" ht="87.0" customHeight="1">
      <c r="A376" s="129"/>
      <c r="B376" s="130"/>
      <c r="C376" s="130"/>
      <c r="D376" s="130"/>
      <c r="E376" s="130"/>
      <c r="F376" s="130"/>
      <c r="G376" s="130"/>
      <c r="H376" s="130"/>
      <c r="I376" s="130"/>
      <c r="J376" s="130"/>
      <c r="K376" s="130"/>
      <c r="L376" s="130"/>
      <c r="M376" s="130"/>
      <c r="N376" s="130"/>
      <c r="O376" s="130"/>
      <c r="P376" s="132"/>
      <c r="Q376" s="134"/>
      <c r="R376" s="134"/>
      <c r="S376" s="134"/>
      <c r="T376" s="135"/>
      <c r="U376" s="135"/>
      <c r="V376" s="135" t="str">
        <f>IFERROR(IF(AA376="SEGURIDAD",OFFSET('PARÁMETROS'!$K$2,MATCH(U376,JC_SE,0),MATCH(T376,CC_SE,0)),
IF(OR(AA376="DSRC/Estratégico",AA376="DSRC/Operativo"),OFFSET('PARÁMETROS'!$K$11,MATCH(U376,JC_DS,0),MATCH(T376,CC_DS,0)),
IF(AA376="SALUD",OFFSET('PARÁMETROS'!$K$29,MATCH(U376,JC_SA,0),MATCH(T376,CC_SA,0)),
IF(AA376="MEDIO AMBIENTE",OFFSET('PARÁMETROS'!$K$20,MATCH(U376,JC_MA,0),MATCH(T376,CC_MA,0)),
IF(AA376="Rel. Gubernamentales",OFFSET('PARÁMETROS'!$K$48,MATCH(U376,JC_G,0),MATCH(T376,CC_G,0)),
IF(AA376="OPERACIONAL",OFFSET('PARÁMETROS'!$K$56,MATCH(U376,JC_OP,0),MATCH(T376,CC_OP,0)),
IF(AA376="FINANCIERO",OFFSET('PARÁMETROS'!$K$56,MATCH(U376,JC_FI,0),MATCH(T376,CC_FI,0)),
OFFSET('PARÁMETROS'!$K$38,MATCH(U376,JC_L,0),MATCH(T376,CC_L,0))))))))),"")</f>
        <v/>
      </c>
      <c r="W376" s="130"/>
      <c r="X376" s="135"/>
      <c r="Y376" s="136"/>
      <c r="Z376" s="30"/>
      <c r="AA376" s="31" t="str">
        <f>E363</f>
        <v/>
      </c>
    </row>
    <row r="377" ht="87.0" customHeight="1">
      <c r="A377" s="129"/>
      <c r="B377" s="130"/>
      <c r="C377" s="130"/>
      <c r="D377" s="130"/>
      <c r="E377" s="130"/>
      <c r="F377" s="130"/>
      <c r="G377" s="130"/>
      <c r="H377" s="130"/>
      <c r="I377" s="130"/>
      <c r="J377" s="130"/>
      <c r="K377" s="130"/>
      <c r="L377" s="130"/>
      <c r="M377" s="130"/>
      <c r="N377" s="130"/>
      <c r="O377" s="130"/>
      <c r="P377" s="132"/>
      <c r="Q377" s="134"/>
      <c r="R377" s="134"/>
      <c r="S377" s="134"/>
      <c r="T377" s="135"/>
      <c r="U377" s="135"/>
      <c r="V377" s="135" t="str">
        <f>IFERROR(IF(AA377="SEGURIDAD",OFFSET('PARÁMETROS'!$K$2,MATCH(U377,JC_SE,0),MATCH(T377,CC_SE,0)),
IF(OR(AA377="DSRC/Estratégico",AA377="DSRC/Operativo"),OFFSET('PARÁMETROS'!$K$11,MATCH(U377,JC_DS,0),MATCH(T377,CC_DS,0)),
IF(AA377="SALUD",OFFSET('PARÁMETROS'!$K$29,MATCH(U377,JC_SA,0),MATCH(T377,CC_SA,0)),
IF(AA377="MEDIO AMBIENTE",OFFSET('PARÁMETROS'!$K$20,MATCH(U377,JC_MA,0),MATCH(T377,CC_MA,0)),
IF(AA377="Rel. Gubernamentales",OFFSET('PARÁMETROS'!$K$48,MATCH(U377,JC_G,0),MATCH(T377,CC_G,0)),
IF(AA377="OPERACIONAL",OFFSET('PARÁMETROS'!$K$56,MATCH(U377,JC_OP,0),MATCH(T377,CC_OP,0)),
IF(AA377="FINANCIERO",OFFSET('PARÁMETROS'!$K$56,MATCH(U377,JC_FI,0),MATCH(T377,CC_FI,0)),
OFFSET('PARÁMETROS'!$K$38,MATCH(U377,JC_L,0),MATCH(T377,CC_L,0))))))))),"")</f>
        <v/>
      </c>
      <c r="W377" s="130"/>
      <c r="X377" s="135"/>
      <c r="Y377" s="136"/>
      <c r="Z377" s="30"/>
      <c r="AA377" s="31" t="str">
        <f>E363</f>
        <v/>
      </c>
    </row>
    <row r="378" ht="87.0" customHeight="1">
      <c r="A378" s="89"/>
      <c r="B378" s="90"/>
      <c r="C378" s="90"/>
      <c r="D378" s="157"/>
      <c r="E378" s="157"/>
      <c r="F378" s="157"/>
      <c r="G378" s="157"/>
      <c r="H378" s="157"/>
      <c r="I378" s="90"/>
      <c r="J378" s="90"/>
      <c r="K378" s="90"/>
      <c r="L378" s="90"/>
      <c r="M378" s="90"/>
      <c r="N378" s="90"/>
      <c r="O378" s="90"/>
      <c r="P378" s="132"/>
      <c r="Q378" s="134"/>
      <c r="R378" s="145"/>
      <c r="S378" s="145"/>
      <c r="T378" s="135"/>
      <c r="U378" s="135"/>
      <c r="V378" s="135" t="str">
        <f>IFERROR(IF(AA378="SEGURIDAD",OFFSET('PARÁMETROS'!$K$2,MATCH(U378,JC_SE,0),MATCH(T378,CC_SE,0)),
IF(OR(AA378="DSRC/Estratégico",AA378="DSRC/Operativo"),OFFSET('PARÁMETROS'!$K$11,MATCH(U378,JC_DS,0),MATCH(T378,CC_DS,0)),
IF(AA378="SALUD",OFFSET('PARÁMETROS'!$K$29,MATCH(U378,JC_SA,0),MATCH(T378,CC_SA,0)),
IF(AA378="MEDIO AMBIENTE",OFFSET('PARÁMETROS'!$K$20,MATCH(U378,JC_MA,0),MATCH(T378,CC_MA,0)),
IF(AA378="Rel. Gubernamentales",OFFSET('PARÁMETROS'!$K$48,MATCH(U378,JC_G,0),MATCH(T378,CC_G,0)),
IF(AA378="OPERACIONAL",OFFSET('PARÁMETROS'!$K$56,MATCH(U378,JC_OP,0),MATCH(T378,CC_OP,0)),
IF(AA378="FINANCIERO",OFFSET('PARÁMETROS'!$K$56,MATCH(U378,JC_FI,0),MATCH(T378,CC_FI,0)),
OFFSET('PARÁMETROS'!$K$38,MATCH(U378,JC_L,0),MATCH(T378,CC_L,0))))))))),"")</f>
        <v/>
      </c>
      <c r="W378" s="90"/>
      <c r="X378" s="135"/>
      <c r="Y378" s="136"/>
      <c r="Z378" s="30"/>
      <c r="AA378" s="31" t="str">
        <f>E363</f>
        <v/>
      </c>
    </row>
    <row r="379" ht="87.0" customHeight="1">
      <c r="A379" s="102"/>
      <c r="B379" s="103"/>
      <c r="C379" s="103"/>
      <c r="D379" s="103"/>
      <c r="E379" s="103"/>
      <c r="F379" s="103"/>
      <c r="G379" s="105"/>
      <c r="H379" s="103"/>
      <c r="I379" s="105"/>
      <c r="J379" s="103"/>
      <c r="K379" s="103"/>
      <c r="L379" s="103" t="str">
        <f>IF(OR(J379&lt;&gt;"",K379&lt;&gt;""),OFFSET('PARÁMETROS'!$B$2,K379,J379),"")</f>
        <v/>
      </c>
      <c r="M379" s="103"/>
      <c r="N379" s="103">
        <f>IFERROR(L379*M379,"")</f>
        <v>0</v>
      </c>
      <c r="O379" s="108" t="str">
        <f>IF(N379="","",IFERROR(IF(N379&lt;=2,"ACEPTABLE",IF(N379&lt;=6,"BAJA",IF(N379&lt;=10,"ACEPTABLE CON REVISIÓN",IF(N379&lt;=15,"SUSTANCIAL","INACEPTABLE")))),""))</f>
        <v>ACEPTABLE</v>
      </c>
      <c r="P379" s="113"/>
      <c r="Q379" s="114"/>
      <c r="R379" s="114"/>
      <c r="S379" s="114"/>
      <c r="T379" s="115"/>
      <c r="U379" s="115"/>
      <c r="V379" s="115" t="str">
        <f>IFERROR(IF(AA379="SEGURIDAD",OFFSET('PARÁMETROS'!$K$2,MATCH(U379,JC_SE,0),MATCH(T379,CC_SE,0)),
IF(OR(AA379="DSRC/Estratégico",AA379="DSRC/Operativo"),OFFSET('PARÁMETROS'!$K$11,MATCH(U379,JC_DS,0),MATCH(T379,CC_DS,0)),
IF(AA379="SALUD",OFFSET('PARÁMETROS'!$K$29,MATCH(U379,JC_SA,0),MATCH(T379,CC_SA,0)),
IF(AA379="MEDIO AMBIENTE",OFFSET('PARÁMETROS'!$K$20,MATCH(U379,JC_MA,0),MATCH(T379,CC_MA,0)),
IF(AA379="Rel. Gubernamentales",OFFSET('PARÁMETROS'!$K$48,MATCH(U379,JC_G,0),MATCH(T379,CC_G,0)),
IF(AA379="OPERACIONAL",OFFSET('PARÁMETROS'!$K$56,MATCH(U379,JC_OP,0),MATCH(T379,CC_OP,0)),
IF(AA379="FINANCIERO",OFFSET('PARÁMETROS'!$K$56,MATCH(U379,JC_FI,0),MATCH(T379,CC_FI,0)),
OFFSET('PARÁMETROS'!$K$38,MATCH(U379,JC_L,0),MATCH(T379,CC_L,0))))))))),"")</f>
        <v/>
      </c>
      <c r="W379" s="108" t="str">
        <f>IF(E379="","",
IF(COUNTA(V379:V394)-COUNTBLANK(V379:V394)=1,
IF(O379="INACEPTABLE",IF(COUNTIF(V379:V394,"Control/Acción Eficaz")&gt;=1,"SUSTANCIAL","INACEPTABLE"),
IF(O379="SUSTANCIAL",IF(COUNTIF(V379:V394,"Control/Acción Eficaz")&gt;=1,"ACEPTABLE CON REVISIÓN","SUSTANCIAL"),
IF(O379="ACEPTABLE CON REVISIÓN",IF(COUNTIF(V379:V394,"Control/Acción Eficaz")&gt;=1,"BAJA","ACEPTABLE CON REVISIÓN"),
IF(O379="BAJA",IF(COUNTIF(V379:V394,"Control/Acción Eficaz")&gt;=1,"ACEPTABLE","BAJA"),)))),
IF(COUNTA(V379:V394)-COUNTBLANK(V379:V394)=2,
IF(O379="INACEPTABLE",IF(COUNTIF(V379:V394,"Control/Acción Eficaz")=2,"ACEPTABLE CON REVISIÓN",
IF(OR(AND(COUNTIF(V379:V394,"Control/Acción Eficaz")=1,COUNTIF(V379:V394,"Control/Acción Satisfactorio")=1),
AND(COUNTIF(V379:V394,"Control/Acción Eficaz")=1,COUNTIF(V379:V394,"Control/Acción No Eficaz")=1)),"SUSTANCIAL","INACEPTABLE")),
IF(O379="SUSTANCIAL",IF(COUNTIF(V379:V394,"Control/Acción Eficaz")=2,"BAJA",
IF(OR(AND(COUNTIF(V379:V394,"Control/Acción Eficaz")=1,COUNTIF(V379:V394,"Control/Acción Satisfactorio")=1),
AND(COUNTIF(V379:V394,"Control/Acción Eficaz")=1,COUNTIF(V379:V394,"Control/Acción No Eficaz")=1)),"ACEPTABLE CON REVISIÓN ","SUSTANCIAL")),
IF(O379="ACEPTABLE CON REVISIÓN",IF(COUNTIF(V379:V394,"Control/Acción Eficaz")=2,"ACEPTABLE",
IF(OR(AND(COUNTIF(V379:V394,"Control/Acción Eficaz")=1,COUNTIF(V379:V394,"Control/Acción Satisfactorio")=1),
AND(COUNTIF(V379:V394,"Control/Acción Eficaz")=1,COUNTIF(V379:V394,"Control/Acción No Eficaz")=1)),"BAJA","ACEPTABLE CON REVISIÓN")),
IF(O379="BAJA",IF(COUNTIF(V379:V394,"Control/Acción Eficaz")&gt;=2,"ACEPTABLE","BAJA"),)))),
IF(COUNTA(V379:V394)-COUNTBLANK(V379:V394)&gt;=3,
IF(O379="INACEPTABLE",
IF(COUNTBLANK(V379:V394)=COUNTA(V379:V394),"",
IF(COUNTIF(V379:V394,"Control/Acción No Eficaz")&gt;=2,"INACEPTABLE",
IF(AND(COUNTIF(V379:V394,"Control/Acción No Eficaz")=0,COUNTIF(V379:V394,"Control/Acción Eficaz")&gt;=2),"ACEPTABLE CON REVISIÓN ","SUSTANCIAL"))),
IF(O379="SUSTANCIAL",
IF(COUNTBLANK(V379:V394)=COUNTA(V379:V394),"",
IF(COUNTIF(V379:V394,"Control/Acción No Eficaz")&gt;=2,"SUSTANCIAL",
IF(AND(COUNTIF(V379:V394,"Control/Acción No Eficaz")=0,COUNTIF(V379:V394,"Control/Acción Eficaz")&gt;=2),"BAJA","ACEPTABLE CON REVISIÓN"))),
IF(O379="ACEPTABLE CON REVISIÓN",
IF(COUNTBLANK(V379:V394)=COUNTA(V379:V394),"",
IF(COUNTIF(V379:V394,"Control/Acción No Eficaz")&gt;=2,"ACEPTABLE CON REVISIÓN",
IF(AND(COUNTIF(V379:V394,"Control/Acción No Eficaz")=0,COUNTIF(V379:V394,"Control/Acción Eficaz")&gt;=2),"ACEPTABLE","BAJA"))),
IF(O379="BAJA",
IF(COUNTBLANK(V379:V394)=COUNTA(V379:V394),"",
IF(AND(COUNTBLANK(V379:V394)&lt;1,COUNTA(V379:V394)=1),
IF(COUNTIF(V379:V394,"Control/Acción No Eficaz")&gt;=2,"BAJA",
IF(AND(COUNTIF(V379:V394,"Control/Acción No Eficaz")=0,COUNTIF(V379:V394,"Control/Acción Eficaz")&gt;=2),"ACEPTABLE","BAJA")),
IF(COUNTIF(V379:V394,"Control/Acción No Eficaz")&gt;=2,"BAJA",
IF(AND(COUNTIF(V379:V394,"Control/Acción No Eficaz")=0,COUNTIF(V379:V394,"Control/Acción Eficaz")&gt;=2),"ACEPTABLE","BAJA")))),
IF(COUNTIF(V379:V394,"")&gt;=5,"",O379))))),
""))))</f>
        <v/>
      </c>
      <c r="X379" s="115"/>
      <c r="Y379" s="128"/>
      <c r="Z379" s="30"/>
      <c r="AA379" s="31" t="str">
        <f>E379</f>
        <v/>
      </c>
    </row>
    <row r="380" ht="87.0" customHeight="1">
      <c r="A380" s="129"/>
      <c r="B380" s="130"/>
      <c r="C380" s="130"/>
      <c r="D380" s="130"/>
      <c r="E380" s="130"/>
      <c r="F380" s="130"/>
      <c r="G380" s="130"/>
      <c r="H380" s="130"/>
      <c r="I380" s="130"/>
      <c r="J380" s="130"/>
      <c r="K380" s="130"/>
      <c r="L380" s="130"/>
      <c r="M380" s="130"/>
      <c r="N380" s="130"/>
      <c r="O380" s="130"/>
      <c r="P380" s="132"/>
      <c r="Q380" s="134"/>
      <c r="R380" s="134"/>
      <c r="S380" s="134"/>
      <c r="T380" s="135"/>
      <c r="U380" s="135"/>
      <c r="V380" s="135" t="str">
        <f>IFERROR(IF(AA380="SEGURIDAD",OFFSET('PARÁMETROS'!$K$2,MATCH(U380,JC_SE,0),MATCH(T380,CC_SE,0)),
IF(OR(AA380="DSRC/Estratégico",AA380="DSRC/Operativo"),OFFSET('PARÁMETROS'!$K$11,MATCH(U380,JC_DS,0),MATCH(T380,CC_DS,0)),
IF(AA380="SALUD",OFFSET('PARÁMETROS'!$K$29,MATCH(U380,JC_SA,0),MATCH(T380,CC_SA,0)),
IF(AA380="MEDIO AMBIENTE",OFFSET('PARÁMETROS'!$K$20,MATCH(U380,JC_MA,0),MATCH(T380,CC_MA,0)),
IF(AA380="Rel. Gubernamentales",OFFSET('PARÁMETROS'!$K$48,MATCH(U380,JC_G,0),MATCH(T380,CC_G,0)),
IF(AA380="OPERACIONAL",OFFSET('PARÁMETROS'!$K$56,MATCH(U380,JC_OP,0),MATCH(T380,CC_OP,0)),
IF(AA380="FINANCIERO",OFFSET('PARÁMETROS'!$K$56,MATCH(U380,JC_FI,0),MATCH(T380,CC_FI,0)),
OFFSET('PARÁMETROS'!$K$38,MATCH(U380,JC_L,0),MATCH(T380,CC_L,0))))))))),"")</f>
        <v/>
      </c>
      <c r="W380" s="130"/>
      <c r="X380" s="135"/>
      <c r="Y380" s="136"/>
      <c r="Z380" s="30"/>
      <c r="AA380" s="31" t="str">
        <f>E379</f>
        <v/>
      </c>
    </row>
    <row r="381" ht="87.0" customHeight="1">
      <c r="A381" s="129"/>
      <c r="B381" s="130"/>
      <c r="C381" s="130"/>
      <c r="D381" s="130"/>
      <c r="E381" s="130"/>
      <c r="F381" s="130"/>
      <c r="G381" s="130"/>
      <c r="H381" s="130"/>
      <c r="I381" s="130"/>
      <c r="J381" s="130"/>
      <c r="K381" s="130"/>
      <c r="L381" s="130"/>
      <c r="M381" s="130"/>
      <c r="N381" s="130"/>
      <c r="O381" s="130"/>
      <c r="P381" s="132"/>
      <c r="Q381" s="134"/>
      <c r="R381" s="134"/>
      <c r="S381" s="134"/>
      <c r="T381" s="135"/>
      <c r="U381" s="135"/>
      <c r="V381" s="135" t="str">
        <f>IFERROR(IF(AA381="SEGURIDAD",OFFSET('PARÁMETROS'!$K$2,MATCH(U381,JC_SE,0),MATCH(T381,CC_SE,0)),
IF(OR(AA381="DSRC/Estratégico",AA381="DSRC/Operativo"),OFFSET('PARÁMETROS'!$K$11,MATCH(U381,JC_DS,0),MATCH(T381,CC_DS,0)),
IF(AA381="SALUD",OFFSET('PARÁMETROS'!$K$29,MATCH(U381,JC_SA,0),MATCH(T381,CC_SA,0)),
IF(AA381="MEDIO AMBIENTE",OFFSET('PARÁMETROS'!$K$20,MATCH(U381,JC_MA,0),MATCH(T381,CC_MA,0)),
IF(AA381="Rel. Gubernamentales",OFFSET('PARÁMETROS'!$K$48,MATCH(U381,JC_G,0),MATCH(T381,CC_G,0)),
IF(AA381="OPERACIONAL",OFFSET('PARÁMETROS'!$K$56,MATCH(U381,JC_OP,0),MATCH(T381,CC_OP,0)),
IF(AA381="FINANCIERO",OFFSET('PARÁMETROS'!$K$56,MATCH(U381,JC_FI,0),MATCH(T381,CC_FI,0)),
OFFSET('PARÁMETROS'!$K$38,MATCH(U381,JC_L,0),MATCH(T381,CC_L,0))))))))),"")</f>
        <v/>
      </c>
      <c r="W381" s="130"/>
      <c r="X381" s="135"/>
      <c r="Y381" s="136"/>
      <c r="Z381" s="30"/>
      <c r="AA381" s="31" t="str">
        <f>E379</f>
        <v/>
      </c>
    </row>
    <row r="382" ht="87.0" customHeight="1">
      <c r="A382" s="129"/>
      <c r="B382" s="130"/>
      <c r="C382" s="130"/>
      <c r="D382" s="130"/>
      <c r="E382" s="130"/>
      <c r="F382" s="130"/>
      <c r="G382" s="130"/>
      <c r="H382" s="130"/>
      <c r="I382" s="130"/>
      <c r="J382" s="130"/>
      <c r="K382" s="130"/>
      <c r="L382" s="130"/>
      <c r="M382" s="130"/>
      <c r="N382" s="130"/>
      <c r="O382" s="130"/>
      <c r="P382" s="132"/>
      <c r="Q382" s="134"/>
      <c r="R382" s="134"/>
      <c r="S382" s="134"/>
      <c r="T382" s="135"/>
      <c r="U382" s="135"/>
      <c r="V382" s="135" t="str">
        <f>IFERROR(IF(AA382="SEGURIDAD",OFFSET('PARÁMETROS'!$K$2,MATCH(U382,JC_SE,0),MATCH(T382,CC_SE,0)),
IF(OR(AA382="DSRC/Estratégico",AA382="DSRC/Operativo"),OFFSET('PARÁMETROS'!$K$11,MATCH(U382,JC_DS,0),MATCH(T382,CC_DS,0)),
IF(AA382="SALUD",OFFSET('PARÁMETROS'!$K$29,MATCH(U382,JC_SA,0),MATCH(T382,CC_SA,0)),
IF(AA382="MEDIO AMBIENTE",OFFSET('PARÁMETROS'!$K$20,MATCH(U382,JC_MA,0),MATCH(T382,CC_MA,0)),
IF(AA382="Rel. Gubernamentales",OFFSET('PARÁMETROS'!$K$48,MATCH(U382,JC_G,0),MATCH(T382,CC_G,0)),
IF(AA382="OPERACIONAL",OFFSET('PARÁMETROS'!$K$56,MATCH(U382,JC_OP,0),MATCH(T382,CC_OP,0)),
IF(AA382="FINANCIERO",OFFSET('PARÁMETROS'!$K$56,MATCH(U382,JC_FI,0),MATCH(T382,CC_FI,0)),
OFFSET('PARÁMETROS'!$K$38,MATCH(U382,JC_L,0),MATCH(T382,CC_L,0))))))))),"")</f>
        <v/>
      </c>
      <c r="W382" s="130"/>
      <c r="X382" s="135"/>
      <c r="Y382" s="136"/>
      <c r="Z382" s="30"/>
      <c r="AA382" s="31" t="str">
        <f>E379</f>
        <v/>
      </c>
    </row>
    <row r="383" ht="87.0" customHeight="1">
      <c r="A383" s="129"/>
      <c r="B383" s="130"/>
      <c r="C383" s="130"/>
      <c r="D383" s="130"/>
      <c r="E383" s="130"/>
      <c r="F383" s="130"/>
      <c r="G383" s="130"/>
      <c r="H383" s="130"/>
      <c r="I383" s="130"/>
      <c r="J383" s="130"/>
      <c r="K383" s="130"/>
      <c r="L383" s="130"/>
      <c r="M383" s="130"/>
      <c r="N383" s="130"/>
      <c r="O383" s="130"/>
      <c r="P383" s="132"/>
      <c r="Q383" s="134"/>
      <c r="R383" s="134"/>
      <c r="S383" s="134"/>
      <c r="T383" s="135"/>
      <c r="U383" s="135"/>
      <c r="V383" s="135" t="str">
        <f>IFERROR(IF(AA383="SEGURIDAD",OFFSET('PARÁMETROS'!$K$2,MATCH(U383,JC_SE,0),MATCH(T383,CC_SE,0)),
IF(OR(AA383="DSRC/Estratégico",AA383="DSRC/Operativo"),OFFSET('PARÁMETROS'!$K$11,MATCH(U383,JC_DS,0),MATCH(T383,CC_DS,0)),
IF(AA383="SALUD",OFFSET('PARÁMETROS'!$K$29,MATCH(U383,JC_SA,0),MATCH(T383,CC_SA,0)),
IF(AA383="MEDIO AMBIENTE",OFFSET('PARÁMETROS'!$K$20,MATCH(U383,JC_MA,0),MATCH(T383,CC_MA,0)),
IF(AA383="Rel. Gubernamentales",OFFSET('PARÁMETROS'!$K$48,MATCH(U383,JC_G,0),MATCH(T383,CC_G,0)),
IF(AA383="OPERACIONAL",OFFSET('PARÁMETROS'!$K$56,MATCH(U383,JC_OP,0),MATCH(T383,CC_OP,0)),
IF(AA383="FINANCIERO",OFFSET('PARÁMETROS'!$K$56,MATCH(U383,JC_FI,0),MATCH(T383,CC_FI,0)),
OFFSET('PARÁMETROS'!$K$38,MATCH(U383,JC_L,0),MATCH(T383,CC_L,0))))))))),"")</f>
        <v/>
      </c>
      <c r="W383" s="130"/>
      <c r="X383" s="135"/>
      <c r="Y383" s="136"/>
      <c r="Z383" s="30"/>
      <c r="AA383" s="31" t="str">
        <f>E379</f>
        <v/>
      </c>
    </row>
    <row r="384" ht="87.0" customHeight="1">
      <c r="A384" s="129"/>
      <c r="B384" s="130"/>
      <c r="C384" s="130"/>
      <c r="D384" s="130"/>
      <c r="E384" s="130"/>
      <c r="F384" s="130"/>
      <c r="G384" s="130"/>
      <c r="H384" s="130"/>
      <c r="I384" s="130"/>
      <c r="J384" s="130"/>
      <c r="K384" s="130"/>
      <c r="L384" s="130"/>
      <c r="M384" s="130"/>
      <c r="N384" s="130"/>
      <c r="O384" s="130"/>
      <c r="P384" s="132"/>
      <c r="Q384" s="134"/>
      <c r="R384" s="134"/>
      <c r="S384" s="134"/>
      <c r="T384" s="135"/>
      <c r="U384" s="135"/>
      <c r="V384" s="135" t="str">
        <f>IFERROR(IF(AA384="SEGURIDAD",OFFSET('PARÁMETROS'!$K$2,MATCH(U384,JC_SE,0),MATCH(T384,CC_SE,0)),
IF(OR(AA384="DSRC/Estratégico",AA384="DSRC/Operativo"),OFFSET('PARÁMETROS'!$K$11,MATCH(U384,JC_DS,0),MATCH(T384,CC_DS,0)),
IF(AA384="SALUD",OFFSET('PARÁMETROS'!$K$29,MATCH(U384,JC_SA,0),MATCH(T384,CC_SA,0)),
IF(AA384="MEDIO AMBIENTE",OFFSET('PARÁMETROS'!$K$20,MATCH(U384,JC_MA,0),MATCH(T384,CC_MA,0)),
IF(AA384="Rel. Gubernamentales",OFFSET('PARÁMETROS'!$K$48,MATCH(U384,JC_G,0),MATCH(T384,CC_G,0)),
IF(AA384="OPERACIONAL",OFFSET('PARÁMETROS'!$K$56,MATCH(U384,JC_OP,0),MATCH(T384,CC_OP,0)),
IF(AA384="FINANCIERO",OFFSET('PARÁMETROS'!$K$56,MATCH(U384,JC_FI,0),MATCH(T384,CC_FI,0)),
OFFSET('PARÁMETROS'!$K$38,MATCH(U384,JC_L,0),MATCH(T384,CC_L,0))))))))),"")</f>
        <v/>
      </c>
      <c r="W384" s="130"/>
      <c r="X384" s="135"/>
      <c r="Y384" s="136"/>
      <c r="Z384" s="30"/>
      <c r="AA384" s="31" t="str">
        <f>E379</f>
        <v/>
      </c>
    </row>
    <row r="385" ht="87.0" customHeight="1">
      <c r="A385" s="129"/>
      <c r="B385" s="130"/>
      <c r="C385" s="130"/>
      <c r="D385" s="130"/>
      <c r="E385" s="130"/>
      <c r="F385" s="130"/>
      <c r="G385" s="130"/>
      <c r="H385" s="130"/>
      <c r="I385" s="130"/>
      <c r="J385" s="130"/>
      <c r="K385" s="130"/>
      <c r="L385" s="130"/>
      <c r="M385" s="130"/>
      <c r="N385" s="130"/>
      <c r="O385" s="130"/>
      <c r="P385" s="132"/>
      <c r="Q385" s="134"/>
      <c r="R385" s="134"/>
      <c r="S385" s="134"/>
      <c r="T385" s="135"/>
      <c r="U385" s="135"/>
      <c r="V385" s="135" t="str">
        <f>IFERROR(IF(AA385="SEGURIDAD",OFFSET('PARÁMETROS'!$K$2,MATCH(U385,JC_SE,0),MATCH(T385,CC_SE,0)),
IF(OR(AA385="DSRC/Estratégico",AA385="DSRC/Operativo"),OFFSET('PARÁMETROS'!$K$11,MATCH(U385,JC_DS,0),MATCH(T385,CC_DS,0)),
IF(AA385="SALUD",OFFSET('PARÁMETROS'!$K$29,MATCH(U385,JC_SA,0),MATCH(T385,CC_SA,0)),
IF(AA385="MEDIO AMBIENTE",OFFSET('PARÁMETROS'!$K$20,MATCH(U385,JC_MA,0),MATCH(T385,CC_MA,0)),
IF(AA385="Rel. Gubernamentales",OFFSET('PARÁMETROS'!$K$48,MATCH(U385,JC_G,0),MATCH(T385,CC_G,0)),
IF(AA385="OPERACIONAL",OFFSET('PARÁMETROS'!$K$56,MATCH(U385,JC_OP,0),MATCH(T385,CC_OP,0)),
IF(AA385="FINANCIERO",OFFSET('PARÁMETROS'!$K$56,MATCH(U385,JC_FI,0),MATCH(T385,CC_FI,0)),
OFFSET('PARÁMETROS'!$K$38,MATCH(U385,JC_L,0),MATCH(T385,CC_L,0))))))))),"")</f>
        <v/>
      </c>
      <c r="W385" s="130"/>
      <c r="X385" s="135"/>
      <c r="Y385" s="136"/>
      <c r="Z385" s="30"/>
      <c r="AA385" s="31" t="str">
        <f>E379</f>
        <v/>
      </c>
    </row>
    <row r="386" ht="87.0" customHeight="1">
      <c r="A386" s="129"/>
      <c r="B386" s="130"/>
      <c r="C386" s="130"/>
      <c r="D386" s="130"/>
      <c r="E386" s="130"/>
      <c r="F386" s="130"/>
      <c r="G386" s="130"/>
      <c r="H386" s="130"/>
      <c r="I386" s="130"/>
      <c r="J386" s="130"/>
      <c r="K386" s="130"/>
      <c r="L386" s="130"/>
      <c r="M386" s="130"/>
      <c r="N386" s="130"/>
      <c r="O386" s="130"/>
      <c r="P386" s="132"/>
      <c r="Q386" s="134"/>
      <c r="R386" s="134"/>
      <c r="S386" s="134"/>
      <c r="T386" s="135"/>
      <c r="U386" s="135"/>
      <c r="V386" s="135" t="str">
        <f>IFERROR(IF(AA386="SEGURIDAD",OFFSET('PARÁMETROS'!$K$2,MATCH(U386,JC_SE,0),MATCH(T386,CC_SE,0)),
IF(OR(AA386="DSRC/Estratégico",AA386="DSRC/Operativo"),OFFSET('PARÁMETROS'!$K$11,MATCH(U386,JC_DS,0),MATCH(T386,CC_DS,0)),
IF(AA386="SALUD",OFFSET('PARÁMETROS'!$K$29,MATCH(U386,JC_SA,0),MATCH(T386,CC_SA,0)),
IF(AA386="MEDIO AMBIENTE",OFFSET('PARÁMETROS'!$K$20,MATCH(U386,JC_MA,0),MATCH(T386,CC_MA,0)),
IF(AA386="Rel. Gubernamentales",OFFSET('PARÁMETROS'!$K$48,MATCH(U386,JC_G,0),MATCH(T386,CC_G,0)),
IF(AA386="OPERACIONAL",OFFSET('PARÁMETROS'!$K$56,MATCH(U386,JC_OP,0),MATCH(T386,CC_OP,0)),
IF(AA386="FINANCIERO",OFFSET('PARÁMETROS'!$K$56,MATCH(U386,JC_FI,0),MATCH(T386,CC_FI,0)),
OFFSET('PARÁMETROS'!$K$38,MATCH(U386,JC_L,0),MATCH(T386,CC_L,0))))))))),"")</f>
        <v/>
      </c>
      <c r="W386" s="130"/>
      <c r="X386" s="135"/>
      <c r="Y386" s="136"/>
      <c r="Z386" s="30"/>
      <c r="AA386" s="31" t="str">
        <f>E379</f>
        <v/>
      </c>
    </row>
    <row r="387" ht="87.0" customHeight="1">
      <c r="A387" s="129"/>
      <c r="B387" s="130"/>
      <c r="C387" s="130"/>
      <c r="D387" s="130"/>
      <c r="E387" s="130"/>
      <c r="F387" s="130"/>
      <c r="G387" s="130"/>
      <c r="H387" s="130"/>
      <c r="I387" s="130"/>
      <c r="J387" s="130"/>
      <c r="K387" s="130"/>
      <c r="L387" s="130"/>
      <c r="M387" s="130"/>
      <c r="N387" s="130"/>
      <c r="O387" s="130"/>
      <c r="P387" s="132"/>
      <c r="Q387" s="134"/>
      <c r="R387" s="134"/>
      <c r="S387" s="134"/>
      <c r="T387" s="135"/>
      <c r="U387" s="135"/>
      <c r="V387" s="135" t="str">
        <f>IFERROR(IF(AA387="SEGURIDAD",OFFSET('PARÁMETROS'!$K$2,MATCH(U387,JC_SE,0),MATCH(T387,CC_SE,0)),
IF(OR(AA387="DSRC/Estratégico",AA387="DSRC/Operativo"),OFFSET('PARÁMETROS'!$K$11,MATCH(U387,JC_DS,0),MATCH(T387,CC_DS,0)),
IF(AA387="SALUD",OFFSET('PARÁMETROS'!$K$29,MATCH(U387,JC_SA,0),MATCH(T387,CC_SA,0)),
IF(AA387="MEDIO AMBIENTE",OFFSET('PARÁMETROS'!$K$20,MATCH(U387,JC_MA,0),MATCH(T387,CC_MA,0)),
IF(AA387="Rel. Gubernamentales",OFFSET('PARÁMETROS'!$K$48,MATCH(U387,JC_G,0),MATCH(T387,CC_G,0)),
IF(AA387="OPERACIONAL",OFFSET('PARÁMETROS'!$K$56,MATCH(U387,JC_OP,0),MATCH(T387,CC_OP,0)),
IF(AA387="FINANCIERO",OFFSET('PARÁMETROS'!$K$56,MATCH(U387,JC_FI,0),MATCH(T387,CC_FI,0)),
OFFSET('PARÁMETROS'!$K$38,MATCH(U387,JC_L,0),MATCH(T387,CC_L,0))))))))),"")</f>
        <v/>
      </c>
      <c r="W387" s="130"/>
      <c r="X387" s="135"/>
      <c r="Y387" s="136"/>
      <c r="Z387" s="30"/>
      <c r="AA387" s="31" t="str">
        <f>E379</f>
        <v/>
      </c>
    </row>
    <row r="388" ht="87.0" customHeight="1">
      <c r="A388" s="129"/>
      <c r="B388" s="130"/>
      <c r="C388" s="130"/>
      <c r="D388" s="130"/>
      <c r="E388" s="130"/>
      <c r="F388" s="130"/>
      <c r="G388" s="130"/>
      <c r="H388" s="130"/>
      <c r="I388" s="130"/>
      <c r="J388" s="130"/>
      <c r="K388" s="130"/>
      <c r="L388" s="130"/>
      <c r="M388" s="130"/>
      <c r="N388" s="130"/>
      <c r="O388" s="130"/>
      <c r="P388" s="132"/>
      <c r="Q388" s="134"/>
      <c r="R388" s="134"/>
      <c r="S388" s="134"/>
      <c r="T388" s="135"/>
      <c r="U388" s="135"/>
      <c r="V388" s="135" t="str">
        <f>IFERROR(IF(AA388="SEGURIDAD",OFFSET('PARÁMETROS'!$K$2,MATCH(U388,JC_SE,0),MATCH(T388,CC_SE,0)),
IF(OR(AA388="DSRC/Estratégico",AA388="DSRC/Operativo"),OFFSET('PARÁMETROS'!$K$11,MATCH(U388,JC_DS,0),MATCH(T388,CC_DS,0)),
IF(AA388="SALUD",OFFSET('PARÁMETROS'!$K$29,MATCH(U388,JC_SA,0),MATCH(T388,CC_SA,0)),
IF(AA388="MEDIO AMBIENTE",OFFSET('PARÁMETROS'!$K$20,MATCH(U388,JC_MA,0),MATCH(T388,CC_MA,0)),
IF(AA388="Rel. Gubernamentales",OFFSET('PARÁMETROS'!$K$48,MATCH(U388,JC_G,0),MATCH(T388,CC_G,0)),
IF(AA388="OPERACIONAL",OFFSET('PARÁMETROS'!$K$56,MATCH(U388,JC_OP,0),MATCH(T388,CC_OP,0)),
IF(AA388="FINANCIERO",OFFSET('PARÁMETROS'!$K$56,MATCH(U388,JC_FI,0),MATCH(T388,CC_FI,0)),
OFFSET('PARÁMETROS'!$K$38,MATCH(U388,JC_L,0),MATCH(T388,CC_L,0))))))))),"")</f>
        <v/>
      </c>
      <c r="W388" s="130"/>
      <c r="X388" s="135"/>
      <c r="Y388" s="136"/>
      <c r="Z388" s="30"/>
      <c r="AA388" s="31" t="str">
        <f>E379</f>
        <v/>
      </c>
    </row>
    <row r="389" ht="87.0" customHeight="1">
      <c r="A389" s="129"/>
      <c r="B389" s="130"/>
      <c r="C389" s="130"/>
      <c r="D389" s="130"/>
      <c r="E389" s="130"/>
      <c r="F389" s="130"/>
      <c r="G389" s="130"/>
      <c r="H389" s="130"/>
      <c r="I389" s="130"/>
      <c r="J389" s="130"/>
      <c r="K389" s="130"/>
      <c r="L389" s="130"/>
      <c r="M389" s="130"/>
      <c r="N389" s="130"/>
      <c r="O389" s="130"/>
      <c r="P389" s="132"/>
      <c r="Q389" s="134"/>
      <c r="R389" s="134"/>
      <c r="S389" s="134"/>
      <c r="T389" s="135"/>
      <c r="U389" s="135"/>
      <c r="V389" s="135" t="str">
        <f>IFERROR(IF(AA389="SEGURIDAD",OFFSET('PARÁMETROS'!$K$2,MATCH(U389,JC_SE,0),MATCH(T389,CC_SE,0)),
IF(OR(AA389="DSRC/Estratégico",AA389="DSRC/Operativo"),OFFSET('PARÁMETROS'!$K$11,MATCH(U389,JC_DS,0),MATCH(T389,CC_DS,0)),
IF(AA389="SALUD",OFFSET('PARÁMETROS'!$K$29,MATCH(U389,JC_SA,0),MATCH(T389,CC_SA,0)),
IF(AA389="MEDIO AMBIENTE",OFFSET('PARÁMETROS'!$K$20,MATCH(U389,JC_MA,0),MATCH(T389,CC_MA,0)),
IF(AA389="Rel. Gubernamentales",OFFSET('PARÁMETROS'!$K$48,MATCH(U389,JC_G,0),MATCH(T389,CC_G,0)),
IF(AA389="OPERACIONAL",OFFSET('PARÁMETROS'!$K$56,MATCH(U389,JC_OP,0),MATCH(T389,CC_OP,0)),
IF(AA389="FINANCIERO",OFFSET('PARÁMETROS'!$K$56,MATCH(U389,JC_FI,0),MATCH(T389,CC_FI,0)),
OFFSET('PARÁMETROS'!$K$38,MATCH(U389,JC_L,0),MATCH(T389,CC_L,0))))))))),"")</f>
        <v/>
      </c>
      <c r="W389" s="130"/>
      <c r="X389" s="135"/>
      <c r="Y389" s="136"/>
      <c r="Z389" s="30"/>
      <c r="AA389" s="31" t="str">
        <f>E379</f>
        <v/>
      </c>
    </row>
    <row r="390" ht="87.0" customHeight="1">
      <c r="A390" s="129"/>
      <c r="B390" s="130"/>
      <c r="C390" s="130"/>
      <c r="D390" s="130"/>
      <c r="E390" s="130"/>
      <c r="F390" s="130"/>
      <c r="G390" s="130"/>
      <c r="H390" s="130"/>
      <c r="I390" s="130"/>
      <c r="J390" s="130"/>
      <c r="K390" s="130"/>
      <c r="L390" s="130"/>
      <c r="M390" s="130"/>
      <c r="N390" s="130"/>
      <c r="O390" s="130"/>
      <c r="P390" s="132"/>
      <c r="Q390" s="134"/>
      <c r="R390" s="134"/>
      <c r="S390" s="134"/>
      <c r="T390" s="135"/>
      <c r="U390" s="135"/>
      <c r="V390" s="135" t="str">
        <f>IFERROR(IF(AA390="SEGURIDAD",OFFSET('PARÁMETROS'!$K$2,MATCH(U390,JC_SE,0),MATCH(T390,CC_SE,0)),
IF(OR(AA390="DSRC/Estratégico",AA390="DSRC/Operativo"),OFFSET('PARÁMETROS'!$K$11,MATCH(U390,JC_DS,0),MATCH(T390,CC_DS,0)),
IF(AA390="SALUD",OFFSET('PARÁMETROS'!$K$29,MATCH(U390,JC_SA,0),MATCH(T390,CC_SA,0)),
IF(AA390="MEDIO AMBIENTE",OFFSET('PARÁMETROS'!$K$20,MATCH(U390,JC_MA,0),MATCH(T390,CC_MA,0)),
IF(AA390="Rel. Gubernamentales",OFFSET('PARÁMETROS'!$K$48,MATCH(U390,JC_G,0),MATCH(T390,CC_G,0)),
IF(AA390="OPERACIONAL",OFFSET('PARÁMETROS'!$K$56,MATCH(U390,JC_OP,0),MATCH(T390,CC_OP,0)),
IF(AA390="FINANCIERO",OFFSET('PARÁMETROS'!$K$56,MATCH(U390,JC_FI,0),MATCH(T390,CC_FI,0)),
OFFSET('PARÁMETROS'!$K$38,MATCH(U390,JC_L,0),MATCH(T390,CC_L,0))))))))),"")</f>
        <v/>
      </c>
      <c r="W390" s="130"/>
      <c r="X390" s="135"/>
      <c r="Y390" s="136"/>
      <c r="Z390" s="30"/>
      <c r="AA390" s="31" t="str">
        <f>E379</f>
        <v/>
      </c>
    </row>
    <row r="391" ht="87.0" customHeight="1">
      <c r="A391" s="129"/>
      <c r="B391" s="130"/>
      <c r="C391" s="130"/>
      <c r="D391" s="130"/>
      <c r="E391" s="130"/>
      <c r="F391" s="130"/>
      <c r="G391" s="130"/>
      <c r="H391" s="130"/>
      <c r="I391" s="130"/>
      <c r="J391" s="130"/>
      <c r="K391" s="130"/>
      <c r="L391" s="130"/>
      <c r="M391" s="130"/>
      <c r="N391" s="130"/>
      <c r="O391" s="130"/>
      <c r="P391" s="132"/>
      <c r="Q391" s="134"/>
      <c r="R391" s="134"/>
      <c r="S391" s="134"/>
      <c r="T391" s="135"/>
      <c r="U391" s="135"/>
      <c r="V391" s="135" t="str">
        <f>IFERROR(IF(AA391="SEGURIDAD",OFFSET('PARÁMETROS'!$K$2,MATCH(U391,JC_SE,0),MATCH(T391,CC_SE,0)),
IF(OR(AA391="DSRC/Estratégico",AA391="DSRC/Operativo"),OFFSET('PARÁMETROS'!$K$11,MATCH(U391,JC_DS,0),MATCH(T391,CC_DS,0)),
IF(AA391="SALUD",OFFSET('PARÁMETROS'!$K$29,MATCH(U391,JC_SA,0),MATCH(T391,CC_SA,0)),
IF(AA391="MEDIO AMBIENTE",OFFSET('PARÁMETROS'!$K$20,MATCH(U391,JC_MA,0),MATCH(T391,CC_MA,0)),
IF(AA391="Rel. Gubernamentales",OFFSET('PARÁMETROS'!$K$48,MATCH(U391,JC_G,0),MATCH(T391,CC_G,0)),
IF(AA391="OPERACIONAL",OFFSET('PARÁMETROS'!$K$56,MATCH(U391,JC_OP,0),MATCH(T391,CC_OP,0)),
IF(AA391="FINANCIERO",OFFSET('PARÁMETROS'!$K$56,MATCH(U391,JC_FI,0),MATCH(T391,CC_FI,0)),
OFFSET('PARÁMETROS'!$K$38,MATCH(U391,JC_L,0),MATCH(T391,CC_L,0))))))))),"")</f>
        <v/>
      </c>
      <c r="W391" s="130"/>
      <c r="X391" s="135"/>
      <c r="Y391" s="136"/>
      <c r="Z391" s="30"/>
      <c r="AA391" s="31" t="str">
        <f>E379</f>
        <v/>
      </c>
    </row>
    <row r="392" ht="87.0" customHeight="1">
      <c r="A392" s="129"/>
      <c r="B392" s="130"/>
      <c r="C392" s="130"/>
      <c r="D392" s="130"/>
      <c r="E392" s="130"/>
      <c r="F392" s="130"/>
      <c r="G392" s="130"/>
      <c r="H392" s="130"/>
      <c r="I392" s="130"/>
      <c r="J392" s="130"/>
      <c r="K392" s="130"/>
      <c r="L392" s="130"/>
      <c r="M392" s="130"/>
      <c r="N392" s="130"/>
      <c r="O392" s="130"/>
      <c r="P392" s="132"/>
      <c r="Q392" s="134"/>
      <c r="R392" s="134"/>
      <c r="S392" s="134"/>
      <c r="T392" s="135"/>
      <c r="U392" s="135"/>
      <c r="V392" s="135" t="str">
        <f>IFERROR(IF(AA392="SEGURIDAD",OFFSET('PARÁMETROS'!$K$2,MATCH(U392,JC_SE,0),MATCH(T392,CC_SE,0)),
IF(OR(AA392="DSRC/Estratégico",AA392="DSRC/Operativo"),OFFSET('PARÁMETROS'!$K$11,MATCH(U392,JC_DS,0),MATCH(T392,CC_DS,0)),
IF(AA392="SALUD",OFFSET('PARÁMETROS'!$K$29,MATCH(U392,JC_SA,0),MATCH(T392,CC_SA,0)),
IF(AA392="MEDIO AMBIENTE",OFFSET('PARÁMETROS'!$K$20,MATCH(U392,JC_MA,0),MATCH(T392,CC_MA,0)),
IF(AA392="Rel. Gubernamentales",OFFSET('PARÁMETROS'!$K$48,MATCH(U392,JC_G,0),MATCH(T392,CC_G,0)),
IF(AA392="OPERACIONAL",OFFSET('PARÁMETROS'!$K$56,MATCH(U392,JC_OP,0),MATCH(T392,CC_OP,0)),
IF(AA392="FINANCIERO",OFFSET('PARÁMETROS'!$K$56,MATCH(U392,JC_FI,0),MATCH(T392,CC_FI,0)),
OFFSET('PARÁMETROS'!$K$38,MATCH(U392,JC_L,0),MATCH(T392,CC_L,0))))))))),"")</f>
        <v/>
      </c>
      <c r="W392" s="130"/>
      <c r="X392" s="135"/>
      <c r="Y392" s="136"/>
      <c r="Z392" s="30"/>
      <c r="AA392" s="31" t="str">
        <f>E379</f>
        <v/>
      </c>
    </row>
    <row r="393" ht="87.0" customHeight="1">
      <c r="A393" s="129"/>
      <c r="B393" s="130"/>
      <c r="C393" s="130"/>
      <c r="D393" s="130"/>
      <c r="E393" s="130"/>
      <c r="F393" s="130"/>
      <c r="G393" s="130"/>
      <c r="H393" s="130"/>
      <c r="I393" s="130"/>
      <c r="J393" s="130"/>
      <c r="K393" s="130"/>
      <c r="L393" s="130"/>
      <c r="M393" s="130"/>
      <c r="N393" s="130"/>
      <c r="O393" s="130"/>
      <c r="P393" s="132"/>
      <c r="Q393" s="134"/>
      <c r="R393" s="134"/>
      <c r="S393" s="134"/>
      <c r="T393" s="135"/>
      <c r="U393" s="135"/>
      <c r="V393" s="135" t="str">
        <f>IFERROR(IF(AA393="SEGURIDAD",OFFSET('PARÁMETROS'!$K$2,MATCH(U393,JC_SE,0),MATCH(T393,CC_SE,0)),
IF(OR(AA393="DSRC/Estratégico",AA393="DSRC/Operativo"),OFFSET('PARÁMETROS'!$K$11,MATCH(U393,JC_DS,0),MATCH(T393,CC_DS,0)),
IF(AA393="SALUD",OFFSET('PARÁMETROS'!$K$29,MATCH(U393,JC_SA,0),MATCH(T393,CC_SA,0)),
IF(AA393="MEDIO AMBIENTE",OFFSET('PARÁMETROS'!$K$20,MATCH(U393,JC_MA,0),MATCH(T393,CC_MA,0)),
IF(AA393="Rel. Gubernamentales",OFFSET('PARÁMETROS'!$K$48,MATCH(U393,JC_G,0),MATCH(T393,CC_G,0)),
IF(AA393="OPERACIONAL",OFFSET('PARÁMETROS'!$K$56,MATCH(U393,JC_OP,0),MATCH(T393,CC_OP,0)),
IF(AA393="FINANCIERO",OFFSET('PARÁMETROS'!$K$56,MATCH(U393,JC_FI,0),MATCH(T393,CC_FI,0)),
OFFSET('PARÁMETROS'!$K$38,MATCH(U393,JC_L,0),MATCH(T393,CC_L,0))))))))),"")</f>
        <v/>
      </c>
      <c r="W393" s="130"/>
      <c r="X393" s="135"/>
      <c r="Y393" s="136"/>
      <c r="Z393" s="30"/>
      <c r="AA393" s="31" t="str">
        <f>E379</f>
        <v/>
      </c>
    </row>
    <row r="394" ht="87.0" customHeight="1">
      <c r="A394" s="89"/>
      <c r="B394" s="90"/>
      <c r="C394" s="90"/>
      <c r="D394" s="157"/>
      <c r="E394" s="157"/>
      <c r="F394" s="157"/>
      <c r="G394" s="157"/>
      <c r="H394" s="157"/>
      <c r="I394" s="90"/>
      <c r="J394" s="90"/>
      <c r="K394" s="90"/>
      <c r="L394" s="90"/>
      <c r="M394" s="90"/>
      <c r="N394" s="90"/>
      <c r="O394" s="90"/>
      <c r="P394" s="132"/>
      <c r="Q394" s="134"/>
      <c r="R394" s="145"/>
      <c r="S394" s="145"/>
      <c r="T394" s="135"/>
      <c r="U394" s="135"/>
      <c r="V394" s="135" t="str">
        <f>IFERROR(IF(AA394="SEGURIDAD",OFFSET('PARÁMETROS'!$K$2,MATCH(U394,JC_SE,0),MATCH(T394,CC_SE,0)),
IF(OR(AA394="DSRC/Estratégico",AA394="DSRC/Operativo"),OFFSET('PARÁMETROS'!$K$11,MATCH(U394,JC_DS,0),MATCH(T394,CC_DS,0)),
IF(AA394="SALUD",OFFSET('PARÁMETROS'!$K$29,MATCH(U394,JC_SA,0),MATCH(T394,CC_SA,0)),
IF(AA394="MEDIO AMBIENTE",OFFSET('PARÁMETROS'!$K$20,MATCH(U394,JC_MA,0),MATCH(T394,CC_MA,0)),
IF(AA394="Rel. Gubernamentales",OFFSET('PARÁMETROS'!$K$48,MATCH(U394,JC_G,0),MATCH(T394,CC_G,0)),
IF(AA394="OPERACIONAL",OFFSET('PARÁMETROS'!$K$56,MATCH(U394,JC_OP,0),MATCH(T394,CC_OP,0)),
IF(AA394="FINANCIERO",OFFSET('PARÁMETROS'!$K$56,MATCH(U394,JC_FI,0),MATCH(T394,CC_FI,0)),
OFFSET('PARÁMETROS'!$K$38,MATCH(U394,JC_L,0),MATCH(T394,CC_L,0))))))))),"")</f>
        <v/>
      </c>
      <c r="W394" s="90"/>
      <c r="X394" s="135"/>
      <c r="Y394" s="136"/>
      <c r="Z394" s="30"/>
      <c r="AA394" s="31" t="str">
        <f>E379</f>
        <v/>
      </c>
    </row>
    <row r="395" ht="87.0" customHeight="1">
      <c r="A395" s="102"/>
      <c r="B395" s="103"/>
      <c r="C395" s="103"/>
      <c r="D395" s="103"/>
      <c r="E395" s="103"/>
      <c r="F395" s="103"/>
      <c r="G395" s="105"/>
      <c r="H395" s="103"/>
      <c r="I395" s="105"/>
      <c r="J395" s="103"/>
      <c r="K395" s="103"/>
      <c r="L395" s="103" t="str">
        <f>IF(OR(J395&lt;&gt;"",K395&lt;&gt;""),OFFSET('PARÁMETROS'!$B$2,K395,J395),"")</f>
        <v/>
      </c>
      <c r="M395" s="103"/>
      <c r="N395" s="103">
        <f>IFERROR(L395*M395,"")</f>
        <v>0</v>
      </c>
      <c r="O395" s="108" t="str">
        <f>IF(N395="","",IFERROR(IF(N395&lt;=2,"ACEPTABLE",IF(N395&lt;=6,"BAJA",IF(N395&lt;=10,"ACEPTABLE CON REVISIÓN",IF(N395&lt;=15,"SUSTANCIAL","INACEPTABLE")))),""))</f>
        <v>ACEPTABLE</v>
      </c>
      <c r="P395" s="113"/>
      <c r="Q395" s="114"/>
      <c r="R395" s="114"/>
      <c r="S395" s="114"/>
      <c r="T395" s="115"/>
      <c r="U395" s="115"/>
      <c r="V395" s="115" t="str">
        <f>IFERROR(IF(AA395="SEGURIDAD",OFFSET('PARÁMETROS'!$K$2,MATCH(U395,JC_SE,0),MATCH(T395,CC_SE,0)),
IF(OR(AA395="DSRC/Estratégico",AA395="DSRC/Operativo"),OFFSET('PARÁMETROS'!$K$11,MATCH(U395,JC_DS,0),MATCH(T395,CC_DS,0)),
IF(AA395="SALUD",OFFSET('PARÁMETROS'!$K$29,MATCH(U395,JC_SA,0),MATCH(T395,CC_SA,0)),
IF(AA395="MEDIO AMBIENTE",OFFSET('PARÁMETROS'!$K$20,MATCH(U395,JC_MA,0),MATCH(T395,CC_MA,0)),
IF(AA395="Rel. Gubernamentales",OFFSET('PARÁMETROS'!$K$48,MATCH(U395,JC_G,0),MATCH(T395,CC_G,0)),
IF(AA395="OPERACIONAL",OFFSET('PARÁMETROS'!$K$56,MATCH(U395,JC_OP,0),MATCH(T395,CC_OP,0)),
IF(AA395="FINANCIERO",OFFSET('PARÁMETROS'!$K$56,MATCH(U395,JC_FI,0),MATCH(T395,CC_FI,0)),
OFFSET('PARÁMETROS'!$K$38,MATCH(U395,JC_L,0),MATCH(T395,CC_L,0))))))))),"")</f>
        <v/>
      </c>
      <c r="W395" s="108" t="str">
        <f>IF(E395="","",
IF(COUNTA(V395:V410)-COUNTBLANK(V395:V410)=1,
IF(O395="INACEPTABLE",IF(COUNTIF(V395:V410,"Control/Acción Eficaz")&gt;=1,"SUSTANCIAL","INACEPTABLE"),
IF(O395="SUSTANCIAL",IF(COUNTIF(V395:V410,"Control/Acción Eficaz")&gt;=1,"ACEPTABLE CON REVISIÓN","SUSTANCIAL"),
IF(O395="ACEPTABLE CON REVISIÓN",IF(COUNTIF(V395:V410,"Control/Acción Eficaz")&gt;=1,"BAJA","ACEPTABLE CON REVISIÓN"),
IF(O395="BAJA",IF(COUNTIF(V395:V410,"Control/Acción Eficaz")&gt;=1,"ACEPTABLE","BAJA"),)))),
IF(COUNTA(V395:V410)-COUNTBLANK(V395:V410)=2,
IF(O395="INACEPTABLE",IF(COUNTIF(V395:V410,"Control/Acción Eficaz")=2,"ACEPTABLE CON REVISIÓN",
IF(OR(AND(COUNTIF(V395:V410,"Control/Acción Eficaz")=1,COUNTIF(V395:V410,"Control/Acción Satisfactorio")=1),
AND(COUNTIF(V395:V410,"Control/Acción Eficaz")=1,COUNTIF(V395:V410,"Control/Acción No Eficaz")=1)),"SUSTANCIAL","INACEPTABLE")),
IF(O395="SUSTANCIAL",IF(COUNTIF(V395:V410,"Control/Acción Eficaz")=2,"BAJA",
IF(OR(AND(COUNTIF(V395:V410,"Control/Acción Eficaz")=1,COUNTIF(V395:V410,"Control/Acción Satisfactorio")=1),
AND(COUNTIF(V395:V410,"Control/Acción Eficaz")=1,COUNTIF(V395:V410,"Control/Acción No Eficaz")=1)),"ACEPTABLE CON REVISIÓN ","SUSTANCIAL")),
IF(O395="ACEPTABLE CON REVISIÓN",IF(COUNTIF(V395:V410,"Control/Acción Eficaz")=2,"ACEPTABLE",
IF(OR(AND(COUNTIF(V395:V410,"Control/Acción Eficaz")=1,COUNTIF(V395:V410,"Control/Acción Satisfactorio")=1),
AND(COUNTIF(V395:V410,"Control/Acción Eficaz")=1,COUNTIF(V395:V410,"Control/Acción No Eficaz")=1)),"BAJA","ACEPTABLE CON REVISIÓN")),
IF(O395="BAJA",IF(COUNTIF(V395:V410,"Control/Acción Eficaz")&gt;=2,"ACEPTABLE","BAJA"),)))),
IF(COUNTA(V395:V410)-COUNTBLANK(V395:V410)&gt;=3,
IF(O395="INACEPTABLE",
IF(COUNTBLANK(V395:V410)=COUNTA(V395:V410),"",
IF(COUNTIF(V395:V410,"Control/Acción No Eficaz")&gt;=2,"INACEPTABLE",
IF(AND(COUNTIF(V395:V410,"Control/Acción No Eficaz")=0,COUNTIF(V395:V410,"Control/Acción Eficaz")&gt;=2),"ACEPTABLE CON REVISIÓN ","SUSTANCIAL"))),
IF(O395="SUSTANCIAL",
IF(COUNTBLANK(V395:V410)=COUNTA(V395:V410),"",
IF(COUNTIF(V395:V410,"Control/Acción No Eficaz")&gt;=2,"SUSTANCIAL",
IF(AND(COUNTIF(V395:V410,"Control/Acción No Eficaz")=0,COUNTIF(V395:V410,"Control/Acción Eficaz")&gt;=2),"BAJA","ACEPTABLE CON REVISIÓN"))),
IF(O395="ACEPTABLE CON REVISIÓN",
IF(COUNTBLANK(V395:V410)=COUNTA(V395:V410),"",
IF(COUNTIF(V395:V410,"Control/Acción No Eficaz")&gt;=2,"ACEPTABLE CON REVISIÓN",
IF(AND(COUNTIF(V395:V410,"Control/Acción No Eficaz")=0,COUNTIF(V395:V410,"Control/Acción Eficaz")&gt;=2),"ACEPTABLE","BAJA"))),
IF(O395="BAJA",
IF(COUNTBLANK(V395:V410)=COUNTA(V395:V410),"",
IF(AND(COUNTBLANK(V395:V410)&lt;1,COUNTA(V395:V410)=1),
IF(COUNTIF(V395:V410,"Control/Acción No Eficaz")&gt;=2,"BAJA",
IF(AND(COUNTIF(V395:V410,"Control/Acción No Eficaz")=0,COUNTIF(V395:V410,"Control/Acción Eficaz")&gt;=2),"ACEPTABLE","BAJA")),
IF(COUNTIF(V395:V410,"Control/Acción No Eficaz")&gt;=2,"BAJA",
IF(AND(COUNTIF(V395:V410,"Control/Acción No Eficaz")=0,COUNTIF(V395:V410,"Control/Acción Eficaz")&gt;=2),"ACEPTABLE","BAJA")))),
IF(COUNTIF(V395:V410,"")&gt;=5,"",O395))))),
""))))</f>
        <v/>
      </c>
      <c r="X395" s="115"/>
      <c r="Y395" s="128"/>
      <c r="Z395" s="30"/>
      <c r="AA395" s="31" t="str">
        <f>E395</f>
        <v/>
      </c>
    </row>
    <row r="396" ht="87.0" customHeight="1">
      <c r="A396" s="129"/>
      <c r="B396" s="130"/>
      <c r="C396" s="130"/>
      <c r="D396" s="130"/>
      <c r="E396" s="130"/>
      <c r="F396" s="130"/>
      <c r="G396" s="130"/>
      <c r="H396" s="130"/>
      <c r="I396" s="130"/>
      <c r="J396" s="130"/>
      <c r="K396" s="130"/>
      <c r="L396" s="130"/>
      <c r="M396" s="130"/>
      <c r="N396" s="130"/>
      <c r="O396" s="130"/>
      <c r="P396" s="132"/>
      <c r="Q396" s="134"/>
      <c r="R396" s="134"/>
      <c r="S396" s="134"/>
      <c r="T396" s="135"/>
      <c r="U396" s="135"/>
      <c r="V396" s="135" t="str">
        <f>IFERROR(IF(AA396="SEGURIDAD",OFFSET('PARÁMETROS'!$K$2,MATCH(U396,JC_SE,0),MATCH(T396,CC_SE,0)),
IF(OR(AA396="DSRC/Estratégico",AA396="DSRC/Operativo"),OFFSET('PARÁMETROS'!$K$11,MATCH(U396,JC_DS,0),MATCH(T396,CC_DS,0)),
IF(AA396="SALUD",OFFSET('PARÁMETROS'!$K$29,MATCH(U396,JC_SA,0),MATCH(T396,CC_SA,0)),
IF(AA396="MEDIO AMBIENTE",OFFSET('PARÁMETROS'!$K$20,MATCH(U396,JC_MA,0),MATCH(T396,CC_MA,0)),
IF(AA396="Rel. Gubernamentales",OFFSET('PARÁMETROS'!$K$48,MATCH(U396,JC_G,0),MATCH(T396,CC_G,0)),
IF(AA396="OPERACIONAL",OFFSET('PARÁMETROS'!$K$56,MATCH(U396,JC_OP,0),MATCH(T396,CC_OP,0)),
IF(AA396="FINANCIERO",OFFSET('PARÁMETROS'!$K$56,MATCH(U396,JC_FI,0),MATCH(T396,CC_FI,0)),
OFFSET('PARÁMETROS'!$K$38,MATCH(U396,JC_L,0),MATCH(T396,CC_L,0))))))))),"")</f>
        <v/>
      </c>
      <c r="W396" s="130"/>
      <c r="X396" s="135"/>
      <c r="Y396" s="136"/>
      <c r="Z396" s="30"/>
      <c r="AA396" s="31" t="str">
        <f>E395</f>
        <v/>
      </c>
    </row>
    <row r="397" ht="87.0" customHeight="1">
      <c r="A397" s="129"/>
      <c r="B397" s="130"/>
      <c r="C397" s="130"/>
      <c r="D397" s="130"/>
      <c r="E397" s="130"/>
      <c r="F397" s="130"/>
      <c r="G397" s="130"/>
      <c r="H397" s="130"/>
      <c r="I397" s="130"/>
      <c r="J397" s="130"/>
      <c r="K397" s="130"/>
      <c r="L397" s="130"/>
      <c r="M397" s="130"/>
      <c r="N397" s="130"/>
      <c r="O397" s="130"/>
      <c r="P397" s="132"/>
      <c r="Q397" s="134"/>
      <c r="R397" s="134"/>
      <c r="S397" s="134"/>
      <c r="T397" s="135"/>
      <c r="U397" s="135"/>
      <c r="V397" s="135" t="str">
        <f>IFERROR(IF(AA397="SEGURIDAD",OFFSET('PARÁMETROS'!$K$2,MATCH(U397,JC_SE,0),MATCH(T397,CC_SE,0)),
IF(OR(AA397="DSRC/Estratégico",AA397="DSRC/Operativo"),OFFSET('PARÁMETROS'!$K$11,MATCH(U397,JC_DS,0),MATCH(T397,CC_DS,0)),
IF(AA397="SALUD",OFFSET('PARÁMETROS'!$K$29,MATCH(U397,JC_SA,0),MATCH(T397,CC_SA,0)),
IF(AA397="MEDIO AMBIENTE",OFFSET('PARÁMETROS'!$K$20,MATCH(U397,JC_MA,0),MATCH(T397,CC_MA,0)),
IF(AA397="Rel. Gubernamentales",OFFSET('PARÁMETROS'!$K$48,MATCH(U397,JC_G,0),MATCH(T397,CC_G,0)),
IF(AA397="OPERACIONAL",OFFSET('PARÁMETROS'!$K$56,MATCH(U397,JC_OP,0),MATCH(T397,CC_OP,0)),
IF(AA397="FINANCIERO",OFFSET('PARÁMETROS'!$K$56,MATCH(U397,JC_FI,0),MATCH(T397,CC_FI,0)),
OFFSET('PARÁMETROS'!$K$38,MATCH(U397,JC_L,0),MATCH(T397,CC_L,0))))))))),"")</f>
        <v/>
      </c>
      <c r="W397" s="130"/>
      <c r="X397" s="135"/>
      <c r="Y397" s="136"/>
      <c r="Z397" s="30"/>
      <c r="AA397" s="31" t="str">
        <f>E395</f>
        <v/>
      </c>
    </row>
    <row r="398" ht="87.0" customHeight="1">
      <c r="A398" s="129"/>
      <c r="B398" s="130"/>
      <c r="C398" s="130"/>
      <c r="D398" s="130"/>
      <c r="E398" s="130"/>
      <c r="F398" s="130"/>
      <c r="G398" s="130"/>
      <c r="H398" s="130"/>
      <c r="I398" s="130"/>
      <c r="J398" s="130"/>
      <c r="K398" s="130"/>
      <c r="L398" s="130"/>
      <c r="M398" s="130"/>
      <c r="N398" s="130"/>
      <c r="O398" s="130"/>
      <c r="P398" s="132"/>
      <c r="Q398" s="134"/>
      <c r="R398" s="134"/>
      <c r="S398" s="134"/>
      <c r="T398" s="135"/>
      <c r="U398" s="135"/>
      <c r="V398" s="135" t="str">
        <f>IFERROR(IF(AA398="SEGURIDAD",OFFSET('PARÁMETROS'!$K$2,MATCH(U398,JC_SE,0),MATCH(T398,CC_SE,0)),
IF(OR(AA398="DSRC/Estratégico",AA398="DSRC/Operativo"),OFFSET('PARÁMETROS'!$K$11,MATCH(U398,JC_DS,0),MATCH(T398,CC_DS,0)),
IF(AA398="SALUD",OFFSET('PARÁMETROS'!$K$29,MATCH(U398,JC_SA,0),MATCH(T398,CC_SA,0)),
IF(AA398="MEDIO AMBIENTE",OFFSET('PARÁMETROS'!$K$20,MATCH(U398,JC_MA,0),MATCH(T398,CC_MA,0)),
IF(AA398="Rel. Gubernamentales",OFFSET('PARÁMETROS'!$K$48,MATCH(U398,JC_G,0),MATCH(T398,CC_G,0)),
IF(AA398="OPERACIONAL",OFFSET('PARÁMETROS'!$K$56,MATCH(U398,JC_OP,0),MATCH(T398,CC_OP,0)),
IF(AA398="FINANCIERO",OFFSET('PARÁMETROS'!$K$56,MATCH(U398,JC_FI,0),MATCH(T398,CC_FI,0)),
OFFSET('PARÁMETROS'!$K$38,MATCH(U398,JC_L,0),MATCH(T398,CC_L,0))))))))),"")</f>
        <v/>
      </c>
      <c r="W398" s="130"/>
      <c r="X398" s="135"/>
      <c r="Y398" s="136"/>
      <c r="Z398" s="30"/>
      <c r="AA398" s="31" t="str">
        <f>E395</f>
        <v/>
      </c>
    </row>
    <row r="399" ht="87.0" customHeight="1">
      <c r="A399" s="129"/>
      <c r="B399" s="130"/>
      <c r="C399" s="130"/>
      <c r="D399" s="130"/>
      <c r="E399" s="130"/>
      <c r="F399" s="130"/>
      <c r="G399" s="130"/>
      <c r="H399" s="130"/>
      <c r="I399" s="130"/>
      <c r="J399" s="130"/>
      <c r="K399" s="130"/>
      <c r="L399" s="130"/>
      <c r="M399" s="130"/>
      <c r="N399" s="130"/>
      <c r="O399" s="130"/>
      <c r="P399" s="132"/>
      <c r="Q399" s="134"/>
      <c r="R399" s="134"/>
      <c r="S399" s="134"/>
      <c r="T399" s="135"/>
      <c r="U399" s="135"/>
      <c r="V399" s="135" t="str">
        <f>IFERROR(IF(AA399="SEGURIDAD",OFFSET('PARÁMETROS'!$K$2,MATCH(U399,JC_SE,0),MATCH(T399,CC_SE,0)),
IF(OR(AA399="DSRC/Estratégico",AA399="DSRC/Operativo"),OFFSET('PARÁMETROS'!$K$11,MATCH(U399,JC_DS,0),MATCH(T399,CC_DS,0)),
IF(AA399="SALUD",OFFSET('PARÁMETROS'!$K$29,MATCH(U399,JC_SA,0),MATCH(T399,CC_SA,0)),
IF(AA399="MEDIO AMBIENTE",OFFSET('PARÁMETROS'!$K$20,MATCH(U399,JC_MA,0),MATCH(T399,CC_MA,0)),
IF(AA399="Rel. Gubernamentales",OFFSET('PARÁMETROS'!$K$48,MATCH(U399,JC_G,0),MATCH(T399,CC_G,0)),
IF(AA399="OPERACIONAL",OFFSET('PARÁMETROS'!$K$56,MATCH(U399,JC_OP,0),MATCH(T399,CC_OP,0)),
IF(AA399="FINANCIERO",OFFSET('PARÁMETROS'!$K$56,MATCH(U399,JC_FI,0),MATCH(T399,CC_FI,0)),
OFFSET('PARÁMETROS'!$K$38,MATCH(U399,JC_L,0),MATCH(T399,CC_L,0))))))))),"")</f>
        <v/>
      </c>
      <c r="W399" s="130"/>
      <c r="X399" s="135"/>
      <c r="Y399" s="136"/>
      <c r="Z399" s="30"/>
      <c r="AA399" s="31" t="str">
        <f>E395</f>
        <v/>
      </c>
    </row>
    <row r="400" ht="87.0" customHeight="1">
      <c r="A400" s="129"/>
      <c r="B400" s="130"/>
      <c r="C400" s="130"/>
      <c r="D400" s="130"/>
      <c r="E400" s="130"/>
      <c r="F400" s="130"/>
      <c r="G400" s="130"/>
      <c r="H400" s="130"/>
      <c r="I400" s="130"/>
      <c r="J400" s="130"/>
      <c r="K400" s="130"/>
      <c r="L400" s="130"/>
      <c r="M400" s="130"/>
      <c r="N400" s="130"/>
      <c r="O400" s="130"/>
      <c r="P400" s="132"/>
      <c r="Q400" s="134"/>
      <c r="R400" s="134"/>
      <c r="S400" s="134"/>
      <c r="T400" s="135"/>
      <c r="U400" s="135"/>
      <c r="V400" s="135" t="str">
        <f>IFERROR(IF(AA400="SEGURIDAD",OFFSET('PARÁMETROS'!$K$2,MATCH(U400,JC_SE,0),MATCH(T400,CC_SE,0)),
IF(OR(AA400="DSRC/Estratégico",AA400="DSRC/Operativo"),OFFSET('PARÁMETROS'!$K$11,MATCH(U400,JC_DS,0),MATCH(T400,CC_DS,0)),
IF(AA400="SALUD",OFFSET('PARÁMETROS'!$K$29,MATCH(U400,JC_SA,0),MATCH(T400,CC_SA,0)),
IF(AA400="MEDIO AMBIENTE",OFFSET('PARÁMETROS'!$K$20,MATCH(U400,JC_MA,0),MATCH(T400,CC_MA,0)),
IF(AA400="Rel. Gubernamentales",OFFSET('PARÁMETROS'!$K$48,MATCH(U400,JC_G,0),MATCH(T400,CC_G,0)),
IF(AA400="OPERACIONAL",OFFSET('PARÁMETROS'!$K$56,MATCH(U400,JC_OP,0),MATCH(T400,CC_OP,0)),
IF(AA400="FINANCIERO",OFFSET('PARÁMETROS'!$K$56,MATCH(U400,JC_FI,0),MATCH(T400,CC_FI,0)),
OFFSET('PARÁMETROS'!$K$38,MATCH(U400,JC_L,0),MATCH(T400,CC_L,0))))))))),"")</f>
        <v/>
      </c>
      <c r="W400" s="130"/>
      <c r="X400" s="135"/>
      <c r="Y400" s="136"/>
      <c r="Z400" s="30"/>
      <c r="AA400" s="31" t="str">
        <f>E395</f>
        <v/>
      </c>
    </row>
    <row r="401" ht="87.0" customHeight="1">
      <c r="A401" s="129"/>
      <c r="B401" s="130"/>
      <c r="C401" s="130"/>
      <c r="D401" s="130"/>
      <c r="E401" s="130"/>
      <c r="F401" s="130"/>
      <c r="G401" s="130"/>
      <c r="H401" s="130"/>
      <c r="I401" s="130"/>
      <c r="J401" s="130"/>
      <c r="K401" s="130"/>
      <c r="L401" s="130"/>
      <c r="M401" s="130"/>
      <c r="N401" s="130"/>
      <c r="O401" s="130"/>
      <c r="P401" s="132"/>
      <c r="Q401" s="134"/>
      <c r="R401" s="134"/>
      <c r="S401" s="134"/>
      <c r="T401" s="135"/>
      <c r="U401" s="135"/>
      <c r="V401" s="135" t="str">
        <f>IFERROR(IF(AA401="SEGURIDAD",OFFSET('PARÁMETROS'!$K$2,MATCH(U401,JC_SE,0),MATCH(T401,CC_SE,0)),
IF(OR(AA401="DSRC/Estratégico",AA401="DSRC/Operativo"),OFFSET('PARÁMETROS'!$K$11,MATCH(U401,JC_DS,0),MATCH(T401,CC_DS,0)),
IF(AA401="SALUD",OFFSET('PARÁMETROS'!$K$29,MATCH(U401,JC_SA,0),MATCH(T401,CC_SA,0)),
IF(AA401="MEDIO AMBIENTE",OFFSET('PARÁMETROS'!$K$20,MATCH(U401,JC_MA,0),MATCH(T401,CC_MA,0)),
IF(AA401="Rel. Gubernamentales",OFFSET('PARÁMETROS'!$K$48,MATCH(U401,JC_G,0),MATCH(T401,CC_G,0)),
IF(AA401="OPERACIONAL",OFFSET('PARÁMETROS'!$K$56,MATCH(U401,JC_OP,0),MATCH(T401,CC_OP,0)),
IF(AA401="FINANCIERO",OFFSET('PARÁMETROS'!$K$56,MATCH(U401,JC_FI,0),MATCH(T401,CC_FI,0)),
OFFSET('PARÁMETROS'!$K$38,MATCH(U401,JC_L,0),MATCH(T401,CC_L,0))))))))),"")</f>
        <v/>
      </c>
      <c r="W401" s="130"/>
      <c r="X401" s="135"/>
      <c r="Y401" s="136"/>
      <c r="Z401" s="30"/>
      <c r="AA401" s="31" t="str">
        <f>E395</f>
        <v/>
      </c>
    </row>
    <row r="402" ht="87.0" customHeight="1">
      <c r="A402" s="129"/>
      <c r="B402" s="130"/>
      <c r="C402" s="130"/>
      <c r="D402" s="130"/>
      <c r="E402" s="130"/>
      <c r="F402" s="130"/>
      <c r="G402" s="130"/>
      <c r="H402" s="130"/>
      <c r="I402" s="130"/>
      <c r="J402" s="130"/>
      <c r="K402" s="130"/>
      <c r="L402" s="130"/>
      <c r="M402" s="130"/>
      <c r="N402" s="130"/>
      <c r="O402" s="130"/>
      <c r="P402" s="132"/>
      <c r="Q402" s="134"/>
      <c r="R402" s="134"/>
      <c r="S402" s="134"/>
      <c r="T402" s="135"/>
      <c r="U402" s="135"/>
      <c r="V402" s="135" t="str">
        <f>IFERROR(IF(AA402="SEGURIDAD",OFFSET('PARÁMETROS'!$K$2,MATCH(U402,JC_SE,0),MATCH(T402,CC_SE,0)),
IF(OR(AA402="DSRC/Estratégico",AA402="DSRC/Operativo"),OFFSET('PARÁMETROS'!$K$11,MATCH(U402,JC_DS,0),MATCH(T402,CC_DS,0)),
IF(AA402="SALUD",OFFSET('PARÁMETROS'!$K$29,MATCH(U402,JC_SA,0),MATCH(T402,CC_SA,0)),
IF(AA402="MEDIO AMBIENTE",OFFSET('PARÁMETROS'!$K$20,MATCH(U402,JC_MA,0),MATCH(T402,CC_MA,0)),
IF(AA402="Rel. Gubernamentales",OFFSET('PARÁMETROS'!$K$48,MATCH(U402,JC_G,0),MATCH(T402,CC_G,0)),
IF(AA402="OPERACIONAL",OFFSET('PARÁMETROS'!$K$56,MATCH(U402,JC_OP,0),MATCH(T402,CC_OP,0)),
IF(AA402="FINANCIERO",OFFSET('PARÁMETROS'!$K$56,MATCH(U402,JC_FI,0),MATCH(T402,CC_FI,0)),
OFFSET('PARÁMETROS'!$K$38,MATCH(U402,JC_L,0),MATCH(T402,CC_L,0))))))))),"")</f>
        <v/>
      </c>
      <c r="W402" s="130"/>
      <c r="X402" s="135"/>
      <c r="Y402" s="136"/>
      <c r="Z402" s="30"/>
      <c r="AA402" s="31" t="str">
        <f>E395</f>
        <v/>
      </c>
    </row>
    <row r="403" ht="87.0" customHeight="1">
      <c r="A403" s="129"/>
      <c r="B403" s="130"/>
      <c r="C403" s="130"/>
      <c r="D403" s="130"/>
      <c r="E403" s="130"/>
      <c r="F403" s="130"/>
      <c r="G403" s="130"/>
      <c r="H403" s="130"/>
      <c r="I403" s="130"/>
      <c r="J403" s="130"/>
      <c r="K403" s="130"/>
      <c r="L403" s="130"/>
      <c r="M403" s="130"/>
      <c r="N403" s="130"/>
      <c r="O403" s="130"/>
      <c r="P403" s="132"/>
      <c r="Q403" s="134"/>
      <c r="R403" s="134"/>
      <c r="S403" s="134"/>
      <c r="T403" s="135"/>
      <c r="U403" s="135"/>
      <c r="V403" s="135" t="str">
        <f>IFERROR(IF(AA403="SEGURIDAD",OFFSET('PARÁMETROS'!$K$2,MATCH(U403,JC_SE,0),MATCH(T403,CC_SE,0)),
IF(OR(AA403="DSRC/Estratégico",AA403="DSRC/Operativo"),OFFSET('PARÁMETROS'!$K$11,MATCH(U403,JC_DS,0),MATCH(T403,CC_DS,0)),
IF(AA403="SALUD",OFFSET('PARÁMETROS'!$K$29,MATCH(U403,JC_SA,0),MATCH(T403,CC_SA,0)),
IF(AA403="MEDIO AMBIENTE",OFFSET('PARÁMETROS'!$K$20,MATCH(U403,JC_MA,0),MATCH(T403,CC_MA,0)),
IF(AA403="Rel. Gubernamentales",OFFSET('PARÁMETROS'!$K$48,MATCH(U403,JC_G,0),MATCH(T403,CC_G,0)),
IF(AA403="OPERACIONAL",OFFSET('PARÁMETROS'!$K$56,MATCH(U403,JC_OP,0),MATCH(T403,CC_OP,0)),
IF(AA403="FINANCIERO",OFFSET('PARÁMETROS'!$K$56,MATCH(U403,JC_FI,0),MATCH(T403,CC_FI,0)),
OFFSET('PARÁMETROS'!$K$38,MATCH(U403,JC_L,0),MATCH(T403,CC_L,0))))))))),"")</f>
        <v/>
      </c>
      <c r="W403" s="130"/>
      <c r="X403" s="135"/>
      <c r="Y403" s="136"/>
      <c r="Z403" s="30"/>
      <c r="AA403" s="31" t="str">
        <f>E395</f>
        <v/>
      </c>
    </row>
    <row r="404" ht="87.0" customHeight="1">
      <c r="A404" s="129"/>
      <c r="B404" s="130"/>
      <c r="C404" s="130"/>
      <c r="D404" s="130"/>
      <c r="E404" s="130"/>
      <c r="F404" s="130"/>
      <c r="G404" s="130"/>
      <c r="H404" s="130"/>
      <c r="I404" s="130"/>
      <c r="J404" s="130"/>
      <c r="K404" s="130"/>
      <c r="L404" s="130"/>
      <c r="M404" s="130"/>
      <c r="N404" s="130"/>
      <c r="O404" s="130"/>
      <c r="P404" s="132"/>
      <c r="Q404" s="134"/>
      <c r="R404" s="134"/>
      <c r="S404" s="134"/>
      <c r="T404" s="135"/>
      <c r="U404" s="135"/>
      <c r="V404" s="135" t="str">
        <f>IFERROR(IF(AA404="SEGURIDAD",OFFSET('PARÁMETROS'!$K$2,MATCH(U404,JC_SE,0),MATCH(T404,CC_SE,0)),
IF(OR(AA404="DSRC/Estratégico",AA404="DSRC/Operativo"),OFFSET('PARÁMETROS'!$K$11,MATCH(U404,JC_DS,0),MATCH(T404,CC_DS,0)),
IF(AA404="SALUD",OFFSET('PARÁMETROS'!$K$29,MATCH(U404,JC_SA,0),MATCH(T404,CC_SA,0)),
IF(AA404="MEDIO AMBIENTE",OFFSET('PARÁMETROS'!$K$20,MATCH(U404,JC_MA,0),MATCH(T404,CC_MA,0)),
IF(AA404="Rel. Gubernamentales",OFFSET('PARÁMETROS'!$K$48,MATCH(U404,JC_G,0),MATCH(T404,CC_G,0)),
IF(AA404="OPERACIONAL",OFFSET('PARÁMETROS'!$K$56,MATCH(U404,JC_OP,0),MATCH(T404,CC_OP,0)),
IF(AA404="FINANCIERO",OFFSET('PARÁMETROS'!$K$56,MATCH(U404,JC_FI,0),MATCH(T404,CC_FI,0)),
OFFSET('PARÁMETROS'!$K$38,MATCH(U404,JC_L,0),MATCH(T404,CC_L,0))))))))),"")</f>
        <v/>
      </c>
      <c r="W404" s="130"/>
      <c r="X404" s="135"/>
      <c r="Y404" s="136"/>
      <c r="Z404" s="30"/>
      <c r="AA404" s="31" t="str">
        <f>E395</f>
        <v/>
      </c>
    </row>
    <row r="405" ht="87.0" customHeight="1">
      <c r="A405" s="129"/>
      <c r="B405" s="130"/>
      <c r="C405" s="130"/>
      <c r="D405" s="130"/>
      <c r="E405" s="130"/>
      <c r="F405" s="130"/>
      <c r="G405" s="130"/>
      <c r="H405" s="130"/>
      <c r="I405" s="130"/>
      <c r="J405" s="130"/>
      <c r="K405" s="130"/>
      <c r="L405" s="130"/>
      <c r="M405" s="130"/>
      <c r="N405" s="130"/>
      <c r="O405" s="130"/>
      <c r="P405" s="132"/>
      <c r="Q405" s="134"/>
      <c r="R405" s="134"/>
      <c r="S405" s="134"/>
      <c r="T405" s="135"/>
      <c r="U405" s="135"/>
      <c r="V405" s="135" t="str">
        <f>IFERROR(IF(AA405="SEGURIDAD",OFFSET('PARÁMETROS'!$K$2,MATCH(U405,JC_SE,0),MATCH(T405,CC_SE,0)),
IF(OR(AA405="DSRC/Estratégico",AA405="DSRC/Operativo"),OFFSET('PARÁMETROS'!$K$11,MATCH(U405,JC_DS,0),MATCH(T405,CC_DS,0)),
IF(AA405="SALUD",OFFSET('PARÁMETROS'!$K$29,MATCH(U405,JC_SA,0),MATCH(T405,CC_SA,0)),
IF(AA405="MEDIO AMBIENTE",OFFSET('PARÁMETROS'!$K$20,MATCH(U405,JC_MA,0),MATCH(T405,CC_MA,0)),
IF(AA405="Rel. Gubernamentales",OFFSET('PARÁMETROS'!$K$48,MATCH(U405,JC_G,0),MATCH(T405,CC_G,0)),
IF(AA405="OPERACIONAL",OFFSET('PARÁMETROS'!$K$56,MATCH(U405,JC_OP,0),MATCH(T405,CC_OP,0)),
IF(AA405="FINANCIERO",OFFSET('PARÁMETROS'!$K$56,MATCH(U405,JC_FI,0),MATCH(T405,CC_FI,0)),
OFFSET('PARÁMETROS'!$K$38,MATCH(U405,JC_L,0),MATCH(T405,CC_L,0))))))))),"")</f>
        <v/>
      </c>
      <c r="W405" s="130"/>
      <c r="X405" s="135"/>
      <c r="Y405" s="136"/>
      <c r="Z405" s="30"/>
      <c r="AA405" s="31" t="str">
        <f>E395</f>
        <v/>
      </c>
    </row>
    <row r="406" ht="87.0" customHeight="1">
      <c r="A406" s="129"/>
      <c r="B406" s="130"/>
      <c r="C406" s="130"/>
      <c r="D406" s="130"/>
      <c r="E406" s="130"/>
      <c r="F406" s="130"/>
      <c r="G406" s="130"/>
      <c r="H406" s="130"/>
      <c r="I406" s="130"/>
      <c r="J406" s="130"/>
      <c r="K406" s="130"/>
      <c r="L406" s="130"/>
      <c r="M406" s="130"/>
      <c r="N406" s="130"/>
      <c r="O406" s="130"/>
      <c r="P406" s="132"/>
      <c r="Q406" s="134"/>
      <c r="R406" s="134"/>
      <c r="S406" s="134"/>
      <c r="T406" s="135"/>
      <c r="U406" s="135"/>
      <c r="V406" s="135" t="str">
        <f>IFERROR(IF(AA406="SEGURIDAD",OFFSET('PARÁMETROS'!$K$2,MATCH(U406,JC_SE,0),MATCH(T406,CC_SE,0)),
IF(OR(AA406="DSRC/Estratégico",AA406="DSRC/Operativo"),OFFSET('PARÁMETROS'!$K$11,MATCH(U406,JC_DS,0),MATCH(T406,CC_DS,0)),
IF(AA406="SALUD",OFFSET('PARÁMETROS'!$K$29,MATCH(U406,JC_SA,0),MATCH(T406,CC_SA,0)),
IF(AA406="MEDIO AMBIENTE",OFFSET('PARÁMETROS'!$K$20,MATCH(U406,JC_MA,0),MATCH(T406,CC_MA,0)),
IF(AA406="Rel. Gubernamentales",OFFSET('PARÁMETROS'!$K$48,MATCH(U406,JC_G,0),MATCH(T406,CC_G,0)),
IF(AA406="OPERACIONAL",OFFSET('PARÁMETROS'!$K$56,MATCH(U406,JC_OP,0),MATCH(T406,CC_OP,0)),
IF(AA406="FINANCIERO",OFFSET('PARÁMETROS'!$K$56,MATCH(U406,JC_FI,0),MATCH(T406,CC_FI,0)),
OFFSET('PARÁMETROS'!$K$38,MATCH(U406,JC_L,0),MATCH(T406,CC_L,0))))))))),"")</f>
        <v/>
      </c>
      <c r="W406" s="130"/>
      <c r="X406" s="135"/>
      <c r="Y406" s="136"/>
      <c r="Z406" s="30"/>
      <c r="AA406" s="31" t="str">
        <f>E395</f>
        <v/>
      </c>
    </row>
    <row r="407" ht="87.0" customHeight="1">
      <c r="A407" s="129"/>
      <c r="B407" s="130"/>
      <c r="C407" s="130"/>
      <c r="D407" s="130"/>
      <c r="E407" s="130"/>
      <c r="F407" s="130"/>
      <c r="G407" s="130"/>
      <c r="H407" s="130"/>
      <c r="I407" s="130"/>
      <c r="J407" s="130"/>
      <c r="K407" s="130"/>
      <c r="L407" s="130"/>
      <c r="M407" s="130"/>
      <c r="N407" s="130"/>
      <c r="O407" s="130"/>
      <c r="P407" s="132"/>
      <c r="Q407" s="134"/>
      <c r="R407" s="134"/>
      <c r="S407" s="134"/>
      <c r="T407" s="135"/>
      <c r="U407" s="135"/>
      <c r="V407" s="135" t="str">
        <f>IFERROR(IF(AA407="SEGURIDAD",OFFSET('PARÁMETROS'!$K$2,MATCH(U407,JC_SE,0),MATCH(T407,CC_SE,0)),
IF(OR(AA407="DSRC/Estratégico",AA407="DSRC/Operativo"),OFFSET('PARÁMETROS'!$K$11,MATCH(U407,JC_DS,0),MATCH(T407,CC_DS,0)),
IF(AA407="SALUD",OFFSET('PARÁMETROS'!$K$29,MATCH(U407,JC_SA,0),MATCH(T407,CC_SA,0)),
IF(AA407="MEDIO AMBIENTE",OFFSET('PARÁMETROS'!$K$20,MATCH(U407,JC_MA,0),MATCH(T407,CC_MA,0)),
IF(AA407="Rel. Gubernamentales",OFFSET('PARÁMETROS'!$K$48,MATCH(U407,JC_G,0),MATCH(T407,CC_G,0)),
IF(AA407="OPERACIONAL",OFFSET('PARÁMETROS'!$K$56,MATCH(U407,JC_OP,0),MATCH(T407,CC_OP,0)),
IF(AA407="FINANCIERO",OFFSET('PARÁMETROS'!$K$56,MATCH(U407,JC_FI,0),MATCH(T407,CC_FI,0)),
OFFSET('PARÁMETROS'!$K$38,MATCH(U407,JC_L,0),MATCH(T407,CC_L,0))))))))),"")</f>
        <v/>
      </c>
      <c r="W407" s="130"/>
      <c r="X407" s="135"/>
      <c r="Y407" s="136"/>
      <c r="Z407" s="30"/>
      <c r="AA407" s="31" t="str">
        <f>E395</f>
        <v/>
      </c>
    </row>
    <row r="408" ht="87.0" customHeight="1">
      <c r="A408" s="129"/>
      <c r="B408" s="130"/>
      <c r="C408" s="130"/>
      <c r="D408" s="130"/>
      <c r="E408" s="130"/>
      <c r="F408" s="130"/>
      <c r="G408" s="130"/>
      <c r="H408" s="130"/>
      <c r="I408" s="130"/>
      <c r="J408" s="130"/>
      <c r="K408" s="130"/>
      <c r="L408" s="130"/>
      <c r="M408" s="130"/>
      <c r="N408" s="130"/>
      <c r="O408" s="130"/>
      <c r="P408" s="132"/>
      <c r="Q408" s="134"/>
      <c r="R408" s="134"/>
      <c r="S408" s="134"/>
      <c r="T408" s="135"/>
      <c r="U408" s="135"/>
      <c r="V408" s="135" t="str">
        <f>IFERROR(IF(AA408="SEGURIDAD",OFFSET('PARÁMETROS'!$K$2,MATCH(U408,JC_SE,0),MATCH(T408,CC_SE,0)),
IF(OR(AA408="DSRC/Estratégico",AA408="DSRC/Operativo"),OFFSET('PARÁMETROS'!$K$11,MATCH(U408,JC_DS,0),MATCH(T408,CC_DS,0)),
IF(AA408="SALUD",OFFSET('PARÁMETROS'!$K$29,MATCH(U408,JC_SA,0),MATCH(T408,CC_SA,0)),
IF(AA408="MEDIO AMBIENTE",OFFSET('PARÁMETROS'!$K$20,MATCH(U408,JC_MA,0),MATCH(T408,CC_MA,0)),
IF(AA408="Rel. Gubernamentales",OFFSET('PARÁMETROS'!$K$48,MATCH(U408,JC_G,0),MATCH(T408,CC_G,0)),
IF(AA408="OPERACIONAL",OFFSET('PARÁMETROS'!$K$56,MATCH(U408,JC_OP,0),MATCH(T408,CC_OP,0)),
IF(AA408="FINANCIERO",OFFSET('PARÁMETROS'!$K$56,MATCH(U408,JC_FI,0),MATCH(T408,CC_FI,0)),
OFFSET('PARÁMETROS'!$K$38,MATCH(U408,JC_L,0),MATCH(T408,CC_L,0))))))))),"")</f>
        <v/>
      </c>
      <c r="W408" s="130"/>
      <c r="X408" s="135"/>
      <c r="Y408" s="136"/>
      <c r="Z408" s="30"/>
      <c r="AA408" s="31" t="str">
        <f>E395</f>
        <v/>
      </c>
    </row>
    <row r="409" ht="87.0" customHeight="1">
      <c r="A409" s="129"/>
      <c r="B409" s="130"/>
      <c r="C409" s="130"/>
      <c r="D409" s="130"/>
      <c r="E409" s="130"/>
      <c r="F409" s="130"/>
      <c r="G409" s="130"/>
      <c r="H409" s="130"/>
      <c r="I409" s="130"/>
      <c r="J409" s="130"/>
      <c r="K409" s="130"/>
      <c r="L409" s="130"/>
      <c r="M409" s="130"/>
      <c r="N409" s="130"/>
      <c r="O409" s="130"/>
      <c r="P409" s="132"/>
      <c r="Q409" s="134"/>
      <c r="R409" s="134"/>
      <c r="S409" s="134"/>
      <c r="T409" s="135"/>
      <c r="U409" s="135"/>
      <c r="V409" s="135" t="str">
        <f>IFERROR(IF(AA409="SEGURIDAD",OFFSET('PARÁMETROS'!$K$2,MATCH(U409,JC_SE,0),MATCH(T409,CC_SE,0)),
IF(OR(AA409="DSRC/Estratégico",AA409="DSRC/Operativo"),OFFSET('PARÁMETROS'!$K$11,MATCH(U409,JC_DS,0),MATCH(T409,CC_DS,0)),
IF(AA409="SALUD",OFFSET('PARÁMETROS'!$K$29,MATCH(U409,JC_SA,0),MATCH(T409,CC_SA,0)),
IF(AA409="MEDIO AMBIENTE",OFFSET('PARÁMETROS'!$K$20,MATCH(U409,JC_MA,0),MATCH(T409,CC_MA,0)),
IF(AA409="Rel. Gubernamentales",OFFSET('PARÁMETROS'!$K$48,MATCH(U409,JC_G,0),MATCH(T409,CC_G,0)),
IF(AA409="OPERACIONAL",OFFSET('PARÁMETROS'!$K$56,MATCH(U409,JC_OP,0),MATCH(T409,CC_OP,0)),
IF(AA409="FINANCIERO",OFFSET('PARÁMETROS'!$K$56,MATCH(U409,JC_FI,0),MATCH(T409,CC_FI,0)),
OFFSET('PARÁMETROS'!$K$38,MATCH(U409,JC_L,0),MATCH(T409,CC_L,0))))))))),"")</f>
        <v/>
      </c>
      <c r="W409" s="130"/>
      <c r="X409" s="135"/>
      <c r="Y409" s="136"/>
      <c r="Z409" s="30"/>
      <c r="AA409" s="31" t="str">
        <f>E395</f>
        <v/>
      </c>
    </row>
    <row r="410" ht="87.0" customHeight="1">
      <c r="A410" s="89"/>
      <c r="B410" s="90"/>
      <c r="C410" s="90"/>
      <c r="D410" s="157"/>
      <c r="E410" s="157"/>
      <c r="F410" s="157"/>
      <c r="G410" s="157"/>
      <c r="H410" s="157"/>
      <c r="I410" s="90"/>
      <c r="J410" s="90"/>
      <c r="K410" s="90"/>
      <c r="L410" s="90"/>
      <c r="M410" s="90"/>
      <c r="N410" s="90"/>
      <c r="O410" s="90"/>
      <c r="P410" s="132"/>
      <c r="Q410" s="134"/>
      <c r="R410" s="145"/>
      <c r="S410" s="145"/>
      <c r="T410" s="135"/>
      <c r="U410" s="135"/>
      <c r="V410" s="135" t="str">
        <f>IFERROR(IF(AA410="SEGURIDAD",OFFSET('PARÁMETROS'!$K$2,MATCH(U410,JC_SE,0),MATCH(T410,CC_SE,0)),
IF(OR(AA410="DSRC/Estratégico",AA410="DSRC/Operativo"),OFFSET('PARÁMETROS'!$K$11,MATCH(U410,JC_DS,0),MATCH(T410,CC_DS,0)),
IF(AA410="SALUD",OFFSET('PARÁMETROS'!$K$29,MATCH(U410,JC_SA,0),MATCH(T410,CC_SA,0)),
IF(AA410="MEDIO AMBIENTE",OFFSET('PARÁMETROS'!$K$20,MATCH(U410,JC_MA,0),MATCH(T410,CC_MA,0)),
IF(AA410="Rel. Gubernamentales",OFFSET('PARÁMETROS'!$K$48,MATCH(U410,JC_G,0),MATCH(T410,CC_G,0)),
IF(AA410="OPERACIONAL",OFFSET('PARÁMETROS'!$K$56,MATCH(U410,JC_OP,0),MATCH(T410,CC_OP,0)),
IF(AA410="FINANCIERO",OFFSET('PARÁMETROS'!$K$56,MATCH(U410,JC_FI,0),MATCH(T410,CC_FI,0)),
OFFSET('PARÁMETROS'!$K$38,MATCH(U410,JC_L,0),MATCH(T410,CC_L,0))))))))),"")</f>
        <v/>
      </c>
      <c r="W410" s="90"/>
      <c r="X410" s="135"/>
      <c r="Y410" s="136"/>
      <c r="Z410" s="30"/>
      <c r="AA410" s="31" t="str">
        <f>E395</f>
        <v/>
      </c>
    </row>
    <row r="411" ht="87.0" customHeight="1">
      <c r="A411" s="102"/>
      <c r="B411" s="103"/>
      <c r="C411" s="103"/>
      <c r="D411" s="103"/>
      <c r="E411" s="103"/>
      <c r="F411" s="103"/>
      <c r="G411" s="105"/>
      <c r="H411" s="103"/>
      <c r="I411" s="105"/>
      <c r="J411" s="103"/>
      <c r="K411" s="103"/>
      <c r="L411" s="103" t="str">
        <f>IF(OR(J411&lt;&gt;"",K411&lt;&gt;""),OFFSET('PARÁMETROS'!$B$2,K411,J411),"")</f>
        <v/>
      </c>
      <c r="M411" s="103"/>
      <c r="N411" s="103">
        <f>IFERROR(L411*M411,"")</f>
        <v>0</v>
      </c>
      <c r="O411" s="108" t="str">
        <f>IF(N411="","",IFERROR(IF(N411&lt;=2,"ACEPTABLE",IF(N411&lt;=6,"BAJA",IF(N411&lt;=10,"ACEPTABLE CON REVISIÓN",IF(N411&lt;=15,"SUSTANCIAL","INACEPTABLE")))),""))</f>
        <v>ACEPTABLE</v>
      </c>
      <c r="P411" s="113"/>
      <c r="Q411" s="114"/>
      <c r="R411" s="114"/>
      <c r="S411" s="114"/>
      <c r="T411" s="115"/>
      <c r="U411" s="115"/>
      <c r="V411" s="115" t="str">
        <f>IFERROR(IF(AA411="SEGURIDAD",OFFSET('PARÁMETROS'!$K$2,MATCH(U411,JC_SE,0),MATCH(T411,CC_SE,0)),
IF(OR(AA411="DSRC/Estratégico",AA411="DSRC/Operativo"),OFFSET('PARÁMETROS'!$K$11,MATCH(U411,JC_DS,0),MATCH(T411,CC_DS,0)),
IF(AA411="SALUD",OFFSET('PARÁMETROS'!$K$29,MATCH(U411,JC_SA,0),MATCH(T411,CC_SA,0)),
IF(AA411="MEDIO AMBIENTE",OFFSET('PARÁMETROS'!$K$20,MATCH(U411,JC_MA,0),MATCH(T411,CC_MA,0)),
IF(AA411="Rel. Gubernamentales",OFFSET('PARÁMETROS'!$K$48,MATCH(U411,JC_G,0),MATCH(T411,CC_G,0)),
IF(AA411="OPERACIONAL",OFFSET('PARÁMETROS'!$K$56,MATCH(U411,JC_OP,0),MATCH(T411,CC_OP,0)),
IF(AA411="FINANCIERO",OFFSET('PARÁMETROS'!$K$56,MATCH(U411,JC_FI,0),MATCH(T411,CC_FI,0)),
OFFSET('PARÁMETROS'!$K$38,MATCH(U411,JC_L,0),MATCH(T411,CC_L,0))))))))),"")</f>
        <v/>
      </c>
      <c r="W411" s="108" t="str">
        <f>IF(E411="","",
IF(COUNTA(V411:V426)-COUNTBLANK(V411:V426)=1,
IF(O411="INACEPTABLE",IF(COUNTIF(V411:V426,"Control/Acción Eficaz")&gt;=1,"SUSTANCIAL","INACEPTABLE"),
IF(O411="SUSTANCIAL",IF(COUNTIF(V411:V426,"Control/Acción Eficaz")&gt;=1,"ACEPTABLE CON REVISIÓN","SUSTANCIAL"),
IF(O411="ACEPTABLE CON REVISIÓN",IF(COUNTIF(V411:V426,"Control/Acción Eficaz")&gt;=1,"BAJA","ACEPTABLE CON REVISIÓN"),
IF(O411="BAJA",IF(COUNTIF(V411:V426,"Control/Acción Eficaz")&gt;=1,"ACEPTABLE","BAJA"),)))),
IF(COUNTA(V411:V426)-COUNTBLANK(V411:V426)=2,
IF(O411="INACEPTABLE",IF(COUNTIF(V411:V426,"Control/Acción Eficaz")=2,"ACEPTABLE CON REVISIÓN",
IF(OR(AND(COUNTIF(V411:V426,"Control/Acción Eficaz")=1,COUNTIF(V411:V426,"Control/Acción Satisfactorio")=1),
AND(COUNTIF(V411:V426,"Control/Acción Eficaz")=1,COUNTIF(V411:V426,"Control/Acción No Eficaz")=1)),"SUSTANCIAL","INACEPTABLE")),
IF(O411="SUSTANCIAL",IF(COUNTIF(V411:V426,"Control/Acción Eficaz")=2,"BAJA",
IF(OR(AND(COUNTIF(V411:V426,"Control/Acción Eficaz")=1,COUNTIF(V411:V426,"Control/Acción Satisfactorio")=1),
AND(COUNTIF(V411:V426,"Control/Acción Eficaz")=1,COUNTIF(V411:V426,"Control/Acción No Eficaz")=1)),"ACEPTABLE CON REVISIÓN ","SUSTANCIAL")),
IF(O411="ACEPTABLE CON REVISIÓN",IF(COUNTIF(V411:V426,"Control/Acción Eficaz")=2,"ACEPTABLE",
IF(OR(AND(COUNTIF(V411:V426,"Control/Acción Eficaz")=1,COUNTIF(V411:V426,"Control/Acción Satisfactorio")=1),
AND(COUNTIF(V411:V426,"Control/Acción Eficaz")=1,COUNTIF(V411:V426,"Control/Acción No Eficaz")=1)),"BAJA","ACEPTABLE CON REVISIÓN")),
IF(O411="BAJA",IF(COUNTIF(V411:V426,"Control/Acción Eficaz")&gt;=2,"ACEPTABLE","BAJA"),)))),
IF(COUNTA(V411:V426)-COUNTBLANK(V411:V426)&gt;=3,
IF(O411="INACEPTABLE",
IF(COUNTBLANK(V411:V426)=COUNTA(V411:V426),"",
IF(COUNTIF(V411:V426,"Control/Acción No Eficaz")&gt;=2,"INACEPTABLE",
IF(AND(COUNTIF(V411:V426,"Control/Acción No Eficaz")=0,COUNTIF(V411:V426,"Control/Acción Eficaz")&gt;=2),"ACEPTABLE CON REVISIÓN ","SUSTANCIAL"))),
IF(O411="SUSTANCIAL",
IF(COUNTBLANK(V411:V426)=COUNTA(V411:V426),"",
IF(COUNTIF(V411:V426,"Control/Acción No Eficaz")&gt;=2,"SUSTANCIAL",
IF(AND(COUNTIF(V411:V426,"Control/Acción No Eficaz")=0,COUNTIF(V411:V426,"Control/Acción Eficaz")&gt;=2),"BAJA","ACEPTABLE CON REVISIÓN"))),
IF(O411="ACEPTABLE CON REVISIÓN",
IF(COUNTBLANK(V411:V426)=COUNTA(V411:V426),"",
IF(COUNTIF(V411:V426,"Control/Acción No Eficaz")&gt;=2,"ACEPTABLE CON REVISIÓN",
IF(AND(COUNTIF(V411:V426,"Control/Acción No Eficaz")=0,COUNTIF(V411:V426,"Control/Acción Eficaz")&gt;=2),"ACEPTABLE","BAJA"))),
IF(O411="BAJA",
IF(COUNTBLANK(V411:V426)=COUNTA(V411:V426),"",
IF(AND(COUNTBLANK(V411:V426)&lt;1,COUNTA(V411:V426)=1),
IF(COUNTIF(V411:V426,"Control/Acción No Eficaz")&gt;=2,"BAJA",
IF(AND(COUNTIF(V411:V426,"Control/Acción No Eficaz")=0,COUNTIF(V411:V426,"Control/Acción Eficaz")&gt;=2),"ACEPTABLE","BAJA")),
IF(COUNTIF(V411:V426,"Control/Acción No Eficaz")&gt;=2,"BAJA",
IF(AND(COUNTIF(V411:V426,"Control/Acción No Eficaz")=0,COUNTIF(V411:V426,"Control/Acción Eficaz")&gt;=2),"ACEPTABLE","BAJA")))),
IF(COUNTIF(V411:V426,"")&gt;=5,"",O411))))),
""))))</f>
        <v/>
      </c>
      <c r="X411" s="115"/>
      <c r="Y411" s="128"/>
      <c r="Z411" s="30"/>
      <c r="AA411" s="31" t="str">
        <f>E411</f>
        <v/>
      </c>
    </row>
    <row r="412" ht="87.0" customHeight="1">
      <c r="A412" s="129"/>
      <c r="B412" s="130"/>
      <c r="C412" s="130"/>
      <c r="D412" s="130"/>
      <c r="E412" s="130"/>
      <c r="F412" s="130"/>
      <c r="G412" s="130"/>
      <c r="H412" s="130"/>
      <c r="I412" s="130"/>
      <c r="J412" s="130"/>
      <c r="K412" s="130"/>
      <c r="L412" s="130"/>
      <c r="M412" s="130"/>
      <c r="N412" s="130"/>
      <c r="O412" s="130"/>
      <c r="P412" s="132"/>
      <c r="Q412" s="134"/>
      <c r="R412" s="134"/>
      <c r="S412" s="134"/>
      <c r="T412" s="135"/>
      <c r="U412" s="135"/>
      <c r="V412" s="135" t="str">
        <f>IFERROR(IF(AA412="SEGURIDAD",OFFSET('PARÁMETROS'!$K$2,MATCH(U412,JC_SE,0),MATCH(T412,CC_SE,0)),
IF(OR(AA412="DSRC/Estratégico",AA412="DSRC/Operativo"),OFFSET('PARÁMETROS'!$K$11,MATCH(U412,JC_DS,0),MATCH(T412,CC_DS,0)),
IF(AA412="SALUD",OFFSET('PARÁMETROS'!$K$29,MATCH(U412,JC_SA,0),MATCH(T412,CC_SA,0)),
IF(AA412="MEDIO AMBIENTE",OFFSET('PARÁMETROS'!$K$20,MATCH(U412,JC_MA,0),MATCH(T412,CC_MA,0)),
IF(AA412="Rel. Gubernamentales",OFFSET('PARÁMETROS'!$K$48,MATCH(U412,JC_G,0),MATCH(T412,CC_G,0)),
IF(AA412="OPERACIONAL",OFFSET('PARÁMETROS'!$K$56,MATCH(U412,JC_OP,0),MATCH(T412,CC_OP,0)),
IF(AA412="FINANCIERO",OFFSET('PARÁMETROS'!$K$56,MATCH(U412,JC_FI,0),MATCH(T412,CC_FI,0)),
OFFSET('PARÁMETROS'!$K$38,MATCH(U412,JC_L,0),MATCH(T412,CC_L,0))))))))),"")</f>
        <v/>
      </c>
      <c r="W412" s="130"/>
      <c r="X412" s="135"/>
      <c r="Y412" s="136"/>
      <c r="Z412" s="30"/>
      <c r="AA412" s="31" t="str">
        <f>E411</f>
        <v/>
      </c>
    </row>
    <row r="413" ht="87.0" customHeight="1">
      <c r="A413" s="129"/>
      <c r="B413" s="130"/>
      <c r="C413" s="130"/>
      <c r="D413" s="130"/>
      <c r="E413" s="130"/>
      <c r="F413" s="130"/>
      <c r="G413" s="130"/>
      <c r="H413" s="130"/>
      <c r="I413" s="130"/>
      <c r="J413" s="130"/>
      <c r="K413" s="130"/>
      <c r="L413" s="130"/>
      <c r="M413" s="130"/>
      <c r="N413" s="130"/>
      <c r="O413" s="130"/>
      <c r="P413" s="132"/>
      <c r="Q413" s="134"/>
      <c r="R413" s="134"/>
      <c r="S413" s="134"/>
      <c r="T413" s="135"/>
      <c r="U413" s="135"/>
      <c r="V413" s="135" t="str">
        <f>IFERROR(IF(AA413="SEGURIDAD",OFFSET('PARÁMETROS'!$K$2,MATCH(U413,JC_SE,0),MATCH(T413,CC_SE,0)),
IF(OR(AA413="DSRC/Estratégico",AA413="DSRC/Operativo"),OFFSET('PARÁMETROS'!$K$11,MATCH(U413,JC_DS,0),MATCH(T413,CC_DS,0)),
IF(AA413="SALUD",OFFSET('PARÁMETROS'!$K$29,MATCH(U413,JC_SA,0),MATCH(T413,CC_SA,0)),
IF(AA413="MEDIO AMBIENTE",OFFSET('PARÁMETROS'!$K$20,MATCH(U413,JC_MA,0),MATCH(T413,CC_MA,0)),
IF(AA413="Rel. Gubernamentales",OFFSET('PARÁMETROS'!$K$48,MATCH(U413,JC_G,0),MATCH(T413,CC_G,0)),
IF(AA413="OPERACIONAL",OFFSET('PARÁMETROS'!$K$56,MATCH(U413,JC_OP,0),MATCH(T413,CC_OP,0)),
IF(AA413="FINANCIERO",OFFSET('PARÁMETROS'!$K$56,MATCH(U413,JC_FI,0),MATCH(T413,CC_FI,0)),
OFFSET('PARÁMETROS'!$K$38,MATCH(U413,JC_L,0),MATCH(T413,CC_L,0))))))))),"")</f>
        <v/>
      </c>
      <c r="W413" s="130"/>
      <c r="X413" s="135"/>
      <c r="Y413" s="136"/>
      <c r="Z413" s="30"/>
      <c r="AA413" s="31" t="str">
        <f>E411</f>
        <v/>
      </c>
    </row>
    <row r="414" ht="87.0" customHeight="1">
      <c r="A414" s="129"/>
      <c r="B414" s="130"/>
      <c r="C414" s="130"/>
      <c r="D414" s="130"/>
      <c r="E414" s="130"/>
      <c r="F414" s="130"/>
      <c r="G414" s="130"/>
      <c r="H414" s="130"/>
      <c r="I414" s="130"/>
      <c r="J414" s="130"/>
      <c r="K414" s="130"/>
      <c r="L414" s="130"/>
      <c r="M414" s="130"/>
      <c r="N414" s="130"/>
      <c r="O414" s="130"/>
      <c r="P414" s="132"/>
      <c r="Q414" s="134"/>
      <c r="R414" s="134"/>
      <c r="S414" s="134"/>
      <c r="T414" s="135"/>
      <c r="U414" s="135"/>
      <c r="V414" s="135" t="str">
        <f>IFERROR(IF(AA414="SEGURIDAD",OFFSET('PARÁMETROS'!$K$2,MATCH(U414,JC_SE,0),MATCH(T414,CC_SE,0)),
IF(OR(AA414="DSRC/Estratégico",AA414="DSRC/Operativo"),OFFSET('PARÁMETROS'!$K$11,MATCH(U414,JC_DS,0),MATCH(T414,CC_DS,0)),
IF(AA414="SALUD",OFFSET('PARÁMETROS'!$K$29,MATCH(U414,JC_SA,0),MATCH(T414,CC_SA,0)),
IF(AA414="MEDIO AMBIENTE",OFFSET('PARÁMETROS'!$K$20,MATCH(U414,JC_MA,0),MATCH(T414,CC_MA,0)),
IF(AA414="Rel. Gubernamentales",OFFSET('PARÁMETROS'!$K$48,MATCH(U414,JC_G,0),MATCH(T414,CC_G,0)),
IF(AA414="OPERACIONAL",OFFSET('PARÁMETROS'!$K$56,MATCH(U414,JC_OP,0),MATCH(T414,CC_OP,0)),
IF(AA414="FINANCIERO",OFFSET('PARÁMETROS'!$K$56,MATCH(U414,JC_FI,0),MATCH(T414,CC_FI,0)),
OFFSET('PARÁMETROS'!$K$38,MATCH(U414,JC_L,0),MATCH(T414,CC_L,0))))))))),"")</f>
        <v/>
      </c>
      <c r="W414" s="130"/>
      <c r="X414" s="135"/>
      <c r="Y414" s="136"/>
      <c r="Z414" s="30"/>
      <c r="AA414" s="31" t="str">
        <f>E411</f>
        <v/>
      </c>
    </row>
    <row r="415" ht="87.0" customHeight="1">
      <c r="A415" s="129"/>
      <c r="B415" s="130"/>
      <c r="C415" s="130"/>
      <c r="D415" s="130"/>
      <c r="E415" s="130"/>
      <c r="F415" s="130"/>
      <c r="G415" s="130"/>
      <c r="H415" s="130"/>
      <c r="I415" s="130"/>
      <c r="J415" s="130"/>
      <c r="K415" s="130"/>
      <c r="L415" s="130"/>
      <c r="M415" s="130"/>
      <c r="N415" s="130"/>
      <c r="O415" s="130"/>
      <c r="P415" s="132"/>
      <c r="Q415" s="134"/>
      <c r="R415" s="134"/>
      <c r="S415" s="134"/>
      <c r="T415" s="135"/>
      <c r="U415" s="135"/>
      <c r="V415" s="135" t="str">
        <f>IFERROR(IF(AA415="SEGURIDAD",OFFSET('PARÁMETROS'!$K$2,MATCH(U415,JC_SE,0),MATCH(T415,CC_SE,0)),
IF(OR(AA415="DSRC/Estratégico",AA415="DSRC/Operativo"),OFFSET('PARÁMETROS'!$K$11,MATCH(U415,JC_DS,0),MATCH(T415,CC_DS,0)),
IF(AA415="SALUD",OFFSET('PARÁMETROS'!$K$29,MATCH(U415,JC_SA,0),MATCH(T415,CC_SA,0)),
IF(AA415="MEDIO AMBIENTE",OFFSET('PARÁMETROS'!$K$20,MATCH(U415,JC_MA,0),MATCH(T415,CC_MA,0)),
IF(AA415="Rel. Gubernamentales",OFFSET('PARÁMETROS'!$K$48,MATCH(U415,JC_G,0),MATCH(T415,CC_G,0)),
IF(AA415="OPERACIONAL",OFFSET('PARÁMETROS'!$K$56,MATCH(U415,JC_OP,0),MATCH(T415,CC_OP,0)),
IF(AA415="FINANCIERO",OFFSET('PARÁMETROS'!$K$56,MATCH(U415,JC_FI,0),MATCH(T415,CC_FI,0)),
OFFSET('PARÁMETROS'!$K$38,MATCH(U415,JC_L,0),MATCH(T415,CC_L,0))))))))),"")</f>
        <v/>
      </c>
      <c r="W415" s="130"/>
      <c r="X415" s="135"/>
      <c r="Y415" s="136"/>
      <c r="Z415" s="30"/>
      <c r="AA415" s="31" t="str">
        <f>E411</f>
        <v/>
      </c>
    </row>
    <row r="416" ht="87.0" customHeight="1">
      <c r="A416" s="129"/>
      <c r="B416" s="130"/>
      <c r="C416" s="130"/>
      <c r="D416" s="130"/>
      <c r="E416" s="130"/>
      <c r="F416" s="130"/>
      <c r="G416" s="130"/>
      <c r="H416" s="130"/>
      <c r="I416" s="130"/>
      <c r="J416" s="130"/>
      <c r="K416" s="130"/>
      <c r="L416" s="130"/>
      <c r="M416" s="130"/>
      <c r="N416" s="130"/>
      <c r="O416" s="130"/>
      <c r="P416" s="132"/>
      <c r="Q416" s="134"/>
      <c r="R416" s="134"/>
      <c r="S416" s="134"/>
      <c r="T416" s="135"/>
      <c r="U416" s="135"/>
      <c r="V416" s="135" t="str">
        <f>IFERROR(IF(AA416="SEGURIDAD",OFFSET('PARÁMETROS'!$K$2,MATCH(U416,JC_SE,0),MATCH(T416,CC_SE,0)),
IF(OR(AA416="DSRC/Estratégico",AA416="DSRC/Operativo"),OFFSET('PARÁMETROS'!$K$11,MATCH(U416,JC_DS,0),MATCH(T416,CC_DS,0)),
IF(AA416="SALUD",OFFSET('PARÁMETROS'!$K$29,MATCH(U416,JC_SA,0),MATCH(T416,CC_SA,0)),
IF(AA416="MEDIO AMBIENTE",OFFSET('PARÁMETROS'!$K$20,MATCH(U416,JC_MA,0),MATCH(T416,CC_MA,0)),
IF(AA416="Rel. Gubernamentales",OFFSET('PARÁMETROS'!$K$48,MATCH(U416,JC_G,0),MATCH(T416,CC_G,0)),
IF(AA416="OPERACIONAL",OFFSET('PARÁMETROS'!$K$56,MATCH(U416,JC_OP,0),MATCH(T416,CC_OP,0)),
IF(AA416="FINANCIERO",OFFSET('PARÁMETROS'!$K$56,MATCH(U416,JC_FI,0),MATCH(T416,CC_FI,0)),
OFFSET('PARÁMETROS'!$K$38,MATCH(U416,JC_L,0),MATCH(T416,CC_L,0))))))))),"")</f>
        <v/>
      </c>
      <c r="W416" s="130"/>
      <c r="X416" s="135"/>
      <c r="Y416" s="136"/>
      <c r="Z416" s="30"/>
      <c r="AA416" s="31" t="str">
        <f>E411</f>
        <v/>
      </c>
    </row>
    <row r="417" ht="87.0" customHeight="1">
      <c r="A417" s="129"/>
      <c r="B417" s="130"/>
      <c r="C417" s="130"/>
      <c r="D417" s="130"/>
      <c r="E417" s="130"/>
      <c r="F417" s="130"/>
      <c r="G417" s="130"/>
      <c r="H417" s="130"/>
      <c r="I417" s="130"/>
      <c r="J417" s="130"/>
      <c r="K417" s="130"/>
      <c r="L417" s="130"/>
      <c r="M417" s="130"/>
      <c r="N417" s="130"/>
      <c r="O417" s="130"/>
      <c r="P417" s="132"/>
      <c r="Q417" s="134"/>
      <c r="R417" s="134"/>
      <c r="S417" s="134"/>
      <c r="T417" s="135"/>
      <c r="U417" s="135"/>
      <c r="V417" s="135" t="str">
        <f>IFERROR(IF(AA417="SEGURIDAD",OFFSET('PARÁMETROS'!$K$2,MATCH(U417,JC_SE,0),MATCH(T417,CC_SE,0)),
IF(OR(AA417="DSRC/Estratégico",AA417="DSRC/Operativo"),OFFSET('PARÁMETROS'!$K$11,MATCH(U417,JC_DS,0),MATCH(T417,CC_DS,0)),
IF(AA417="SALUD",OFFSET('PARÁMETROS'!$K$29,MATCH(U417,JC_SA,0),MATCH(T417,CC_SA,0)),
IF(AA417="MEDIO AMBIENTE",OFFSET('PARÁMETROS'!$K$20,MATCH(U417,JC_MA,0),MATCH(T417,CC_MA,0)),
IF(AA417="Rel. Gubernamentales",OFFSET('PARÁMETROS'!$K$48,MATCH(U417,JC_G,0),MATCH(T417,CC_G,0)),
IF(AA417="OPERACIONAL",OFFSET('PARÁMETROS'!$K$56,MATCH(U417,JC_OP,0),MATCH(T417,CC_OP,0)),
IF(AA417="FINANCIERO",OFFSET('PARÁMETROS'!$K$56,MATCH(U417,JC_FI,0),MATCH(T417,CC_FI,0)),
OFFSET('PARÁMETROS'!$K$38,MATCH(U417,JC_L,0),MATCH(T417,CC_L,0))))))))),"")</f>
        <v/>
      </c>
      <c r="W417" s="130"/>
      <c r="X417" s="135"/>
      <c r="Y417" s="136"/>
      <c r="Z417" s="30"/>
      <c r="AA417" s="31" t="str">
        <f>E411</f>
        <v/>
      </c>
    </row>
    <row r="418" ht="87.0" customHeight="1">
      <c r="A418" s="129"/>
      <c r="B418" s="130"/>
      <c r="C418" s="130"/>
      <c r="D418" s="130"/>
      <c r="E418" s="130"/>
      <c r="F418" s="130"/>
      <c r="G418" s="130"/>
      <c r="H418" s="130"/>
      <c r="I418" s="130"/>
      <c r="J418" s="130"/>
      <c r="K418" s="130"/>
      <c r="L418" s="130"/>
      <c r="M418" s="130"/>
      <c r="N418" s="130"/>
      <c r="O418" s="130"/>
      <c r="P418" s="132"/>
      <c r="Q418" s="134"/>
      <c r="R418" s="134"/>
      <c r="S418" s="134"/>
      <c r="T418" s="135"/>
      <c r="U418" s="135"/>
      <c r="V418" s="135" t="str">
        <f>IFERROR(IF(AA418="SEGURIDAD",OFFSET('PARÁMETROS'!$K$2,MATCH(U418,JC_SE,0),MATCH(T418,CC_SE,0)),
IF(OR(AA418="DSRC/Estratégico",AA418="DSRC/Operativo"),OFFSET('PARÁMETROS'!$K$11,MATCH(U418,JC_DS,0),MATCH(T418,CC_DS,0)),
IF(AA418="SALUD",OFFSET('PARÁMETROS'!$K$29,MATCH(U418,JC_SA,0),MATCH(T418,CC_SA,0)),
IF(AA418="MEDIO AMBIENTE",OFFSET('PARÁMETROS'!$K$20,MATCH(U418,JC_MA,0),MATCH(T418,CC_MA,0)),
IF(AA418="Rel. Gubernamentales",OFFSET('PARÁMETROS'!$K$48,MATCH(U418,JC_G,0),MATCH(T418,CC_G,0)),
IF(AA418="OPERACIONAL",OFFSET('PARÁMETROS'!$K$56,MATCH(U418,JC_OP,0),MATCH(T418,CC_OP,0)),
IF(AA418="FINANCIERO",OFFSET('PARÁMETROS'!$K$56,MATCH(U418,JC_FI,0),MATCH(T418,CC_FI,0)),
OFFSET('PARÁMETROS'!$K$38,MATCH(U418,JC_L,0),MATCH(T418,CC_L,0))))))))),"")</f>
        <v/>
      </c>
      <c r="W418" s="130"/>
      <c r="X418" s="135"/>
      <c r="Y418" s="136"/>
      <c r="Z418" s="30"/>
      <c r="AA418" s="31" t="str">
        <f>E411</f>
        <v/>
      </c>
    </row>
    <row r="419" ht="87.0" customHeight="1">
      <c r="A419" s="129"/>
      <c r="B419" s="130"/>
      <c r="C419" s="130"/>
      <c r="D419" s="130"/>
      <c r="E419" s="130"/>
      <c r="F419" s="130"/>
      <c r="G419" s="130"/>
      <c r="H419" s="130"/>
      <c r="I419" s="130"/>
      <c r="J419" s="130"/>
      <c r="K419" s="130"/>
      <c r="L419" s="130"/>
      <c r="M419" s="130"/>
      <c r="N419" s="130"/>
      <c r="O419" s="130"/>
      <c r="P419" s="132"/>
      <c r="Q419" s="134"/>
      <c r="R419" s="134"/>
      <c r="S419" s="134"/>
      <c r="T419" s="135"/>
      <c r="U419" s="135"/>
      <c r="V419" s="135" t="str">
        <f>IFERROR(IF(AA419="SEGURIDAD",OFFSET('PARÁMETROS'!$K$2,MATCH(U419,JC_SE,0),MATCH(T419,CC_SE,0)),
IF(OR(AA419="DSRC/Estratégico",AA419="DSRC/Operativo"),OFFSET('PARÁMETROS'!$K$11,MATCH(U419,JC_DS,0),MATCH(T419,CC_DS,0)),
IF(AA419="SALUD",OFFSET('PARÁMETROS'!$K$29,MATCH(U419,JC_SA,0),MATCH(T419,CC_SA,0)),
IF(AA419="MEDIO AMBIENTE",OFFSET('PARÁMETROS'!$K$20,MATCH(U419,JC_MA,0),MATCH(T419,CC_MA,0)),
IF(AA419="Rel. Gubernamentales",OFFSET('PARÁMETROS'!$K$48,MATCH(U419,JC_G,0),MATCH(T419,CC_G,0)),
IF(AA419="OPERACIONAL",OFFSET('PARÁMETROS'!$K$56,MATCH(U419,JC_OP,0),MATCH(T419,CC_OP,0)),
IF(AA419="FINANCIERO",OFFSET('PARÁMETROS'!$K$56,MATCH(U419,JC_FI,0),MATCH(T419,CC_FI,0)),
OFFSET('PARÁMETROS'!$K$38,MATCH(U419,JC_L,0),MATCH(T419,CC_L,0))))))))),"")</f>
        <v/>
      </c>
      <c r="W419" s="130"/>
      <c r="X419" s="135"/>
      <c r="Y419" s="136"/>
      <c r="Z419" s="30"/>
      <c r="AA419" s="31" t="str">
        <f>E411</f>
        <v/>
      </c>
    </row>
    <row r="420" ht="87.0" customHeight="1">
      <c r="A420" s="129"/>
      <c r="B420" s="130"/>
      <c r="C420" s="130"/>
      <c r="D420" s="130"/>
      <c r="E420" s="130"/>
      <c r="F420" s="130"/>
      <c r="G420" s="130"/>
      <c r="H420" s="130"/>
      <c r="I420" s="130"/>
      <c r="J420" s="130"/>
      <c r="K420" s="130"/>
      <c r="L420" s="130"/>
      <c r="M420" s="130"/>
      <c r="N420" s="130"/>
      <c r="O420" s="130"/>
      <c r="P420" s="132"/>
      <c r="Q420" s="134"/>
      <c r="R420" s="134"/>
      <c r="S420" s="134"/>
      <c r="T420" s="135"/>
      <c r="U420" s="135"/>
      <c r="V420" s="135" t="str">
        <f>IFERROR(IF(AA420="SEGURIDAD",OFFSET('PARÁMETROS'!$K$2,MATCH(U420,JC_SE,0),MATCH(T420,CC_SE,0)),
IF(OR(AA420="DSRC/Estratégico",AA420="DSRC/Operativo"),OFFSET('PARÁMETROS'!$K$11,MATCH(U420,JC_DS,0),MATCH(T420,CC_DS,0)),
IF(AA420="SALUD",OFFSET('PARÁMETROS'!$K$29,MATCH(U420,JC_SA,0),MATCH(T420,CC_SA,0)),
IF(AA420="MEDIO AMBIENTE",OFFSET('PARÁMETROS'!$K$20,MATCH(U420,JC_MA,0),MATCH(T420,CC_MA,0)),
IF(AA420="Rel. Gubernamentales",OFFSET('PARÁMETROS'!$K$48,MATCH(U420,JC_G,0),MATCH(T420,CC_G,0)),
IF(AA420="OPERACIONAL",OFFSET('PARÁMETROS'!$K$56,MATCH(U420,JC_OP,0),MATCH(T420,CC_OP,0)),
IF(AA420="FINANCIERO",OFFSET('PARÁMETROS'!$K$56,MATCH(U420,JC_FI,0),MATCH(T420,CC_FI,0)),
OFFSET('PARÁMETROS'!$K$38,MATCH(U420,JC_L,0),MATCH(T420,CC_L,0))))))))),"")</f>
        <v/>
      </c>
      <c r="W420" s="130"/>
      <c r="X420" s="135"/>
      <c r="Y420" s="136"/>
      <c r="Z420" s="30"/>
      <c r="AA420" s="31" t="str">
        <f>E411</f>
        <v/>
      </c>
    </row>
    <row r="421" ht="87.0" customHeight="1">
      <c r="A421" s="129"/>
      <c r="B421" s="130"/>
      <c r="C421" s="130"/>
      <c r="D421" s="130"/>
      <c r="E421" s="130"/>
      <c r="F421" s="130"/>
      <c r="G421" s="130"/>
      <c r="H421" s="130"/>
      <c r="I421" s="130"/>
      <c r="J421" s="130"/>
      <c r="K421" s="130"/>
      <c r="L421" s="130"/>
      <c r="M421" s="130"/>
      <c r="N421" s="130"/>
      <c r="O421" s="130"/>
      <c r="P421" s="132"/>
      <c r="Q421" s="134"/>
      <c r="R421" s="134"/>
      <c r="S421" s="134"/>
      <c r="T421" s="135"/>
      <c r="U421" s="135"/>
      <c r="V421" s="135" t="str">
        <f>IFERROR(IF(AA421="SEGURIDAD",OFFSET('PARÁMETROS'!$K$2,MATCH(U421,JC_SE,0),MATCH(T421,CC_SE,0)),
IF(OR(AA421="DSRC/Estratégico",AA421="DSRC/Operativo"),OFFSET('PARÁMETROS'!$K$11,MATCH(U421,JC_DS,0),MATCH(T421,CC_DS,0)),
IF(AA421="SALUD",OFFSET('PARÁMETROS'!$K$29,MATCH(U421,JC_SA,0),MATCH(T421,CC_SA,0)),
IF(AA421="MEDIO AMBIENTE",OFFSET('PARÁMETROS'!$K$20,MATCH(U421,JC_MA,0),MATCH(T421,CC_MA,0)),
IF(AA421="Rel. Gubernamentales",OFFSET('PARÁMETROS'!$K$48,MATCH(U421,JC_G,0),MATCH(T421,CC_G,0)),
IF(AA421="OPERACIONAL",OFFSET('PARÁMETROS'!$K$56,MATCH(U421,JC_OP,0),MATCH(T421,CC_OP,0)),
IF(AA421="FINANCIERO",OFFSET('PARÁMETROS'!$K$56,MATCH(U421,JC_FI,0),MATCH(T421,CC_FI,0)),
OFFSET('PARÁMETROS'!$K$38,MATCH(U421,JC_L,0),MATCH(T421,CC_L,0))))))))),"")</f>
        <v/>
      </c>
      <c r="W421" s="130"/>
      <c r="X421" s="135"/>
      <c r="Y421" s="136"/>
      <c r="Z421" s="30"/>
      <c r="AA421" s="31" t="str">
        <f>E411</f>
        <v/>
      </c>
    </row>
    <row r="422" ht="87.0" customHeight="1">
      <c r="A422" s="129"/>
      <c r="B422" s="130"/>
      <c r="C422" s="130"/>
      <c r="D422" s="130"/>
      <c r="E422" s="130"/>
      <c r="F422" s="130"/>
      <c r="G422" s="130"/>
      <c r="H422" s="130"/>
      <c r="I422" s="130"/>
      <c r="J422" s="130"/>
      <c r="K422" s="130"/>
      <c r="L422" s="130"/>
      <c r="M422" s="130"/>
      <c r="N422" s="130"/>
      <c r="O422" s="130"/>
      <c r="P422" s="132"/>
      <c r="Q422" s="134"/>
      <c r="R422" s="134"/>
      <c r="S422" s="134"/>
      <c r="T422" s="135"/>
      <c r="U422" s="135"/>
      <c r="V422" s="135" t="str">
        <f>IFERROR(IF(AA422="SEGURIDAD",OFFSET('PARÁMETROS'!$K$2,MATCH(U422,JC_SE,0),MATCH(T422,CC_SE,0)),
IF(OR(AA422="DSRC/Estratégico",AA422="DSRC/Operativo"),OFFSET('PARÁMETROS'!$K$11,MATCH(U422,JC_DS,0),MATCH(T422,CC_DS,0)),
IF(AA422="SALUD",OFFSET('PARÁMETROS'!$K$29,MATCH(U422,JC_SA,0),MATCH(T422,CC_SA,0)),
IF(AA422="MEDIO AMBIENTE",OFFSET('PARÁMETROS'!$K$20,MATCH(U422,JC_MA,0),MATCH(T422,CC_MA,0)),
IF(AA422="Rel. Gubernamentales",OFFSET('PARÁMETROS'!$K$48,MATCH(U422,JC_G,0),MATCH(T422,CC_G,0)),
IF(AA422="OPERACIONAL",OFFSET('PARÁMETROS'!$K$56,MATCH(U422,JC_OP,0),MATCH(T422,CC_OP,0)),
IF(AA422="FINANCIERO",OFFSET('PARÁMETROS'!$K$56,MATCH(U422,JC_FI,0),MATCH(T422,CC_FI,0)),
OFFSET('PARÁMETROS'!$K$38,MATCH(U422,JC_L,0),MATCH(T422,CC_L,0))))))))),"")</f>
        <v/>
      </c>
      <c r="W422" s="130"/>
      <c r="X422" s="135"/>
      <c r="Y422" s="136"/>
      <c r="Z422" s="30"/>
      <c r="AA422" s="31" t="str">
        <f>E411</f>
        <v/>
      </c>
    </row>
    <row r="423" ht="87.0" customHeight="1">
      <c r="A423" s="129"/>
      <c r="B423" s="130"/>
      <c r="C423" s="130"/>
      <c r="D423" s="130"/>
      <c r="E423" s="130"/>
      <c r="F423" s="130"/>
      <c r="G423" s="130"/>
      <c r="H423" s="130"/>
      <c r="I423" s="130"/>
      <c r="J423" s="130"/>
      <c r="K423" s="130"/>
      <c r="L423" s="130"/>
      <c r="M423" s="130"/>
      <c r="N423" s="130"/>
      <c r="O423" s="130"/>
      <c r="P423" s="132"/>
      <c r="Q423" s="134"/>
      <c r="R423" s="134"/>
      <c r="S423" s="134"/>
      <c r="T423" s="135"/>
      <c r="U423" s="135"/>
      <c r="V423" s="135" t="str">
        <f>IFERROR(IF(AA423="SEGURIDAD",OFFSET('PARÁMETROS'!$K$2,MATCH(U423,JC_SE,0),MATCH(T423,CC_SE,0)),
IF(OR(AA423="DSRC/Estratégico",AA423="DSRC/Operativo"),OFFSET('PARÁMETROS'!$K$11,MATCH(U423,JC_DS,0),MATCH(T423,CC_DS,0)),
IF(AA423="SALUD",OFFSET('PARÁMETROS'!$K$29,MATCH(U423,JC_SA,0),MATCH(T423,CC_SA,0)),
IF(AA423="MEDIO AMBIENTE",OFFSET('PARÁMETROS'!$K$20,MATCH(U423,JC_MA,0),MATCH(T423,CC_MA,0)),
IF(AA423="Rel. Gubernamentales",OFFSET('PARÁMETROS'!$K$48,MATCH(U423,JC_G,0),MATCH(T423,CC_G,0)),
IF(AA423="OPERACIONAL",OFFSET('PARÁMETROS'!$K$56,MATCH(U423,JC_OP,0),MATCH(T423,CC_OP,0)),
IF(AA423="FINANCIERO",OFFSET('PARÁMETROS'!$K$56,MATCH(U423,JC_FI,0),MATCH(T423,CC_FI,0)),
OFFSET('PARÁMETROS'!$K$38,MATCH(U423,JC_L,0),MATCH(T423,CC_L,0))))))))),"")</f>
        <v/>
      </c>
      <c r="W423" s="130"/>
      <c r="X423" s="135"/>
      <c r="Y423" s="136"/>
      <c r="Z423" s="30"/>
      <c r="AA423" s="31" t="str">
        <f>E411</f>
        <v/>
      </c>
    </row>
    <row r="424" ht="87.0" customHeight="1">
      <c r="A424" s="129"/>
      <c r="B424" s="130"/>
      <c r="C424" s="130"/>
      <c r="D424" s="130"/>
      <c r="E424" s="130"/>
      <c r="F424" s="130"/>
      <c r="G424" s="130"/>
      <c r="H424" s="130"/>
      <c r="I424" s="130"/>
      <c r="J424" s="130"/>
      <c r="K424" s="130"/>
      <c r="L424" s="130"/>
      <c r="M424" s="130"/>
      <c r="N424" s="130"/>
      <c r="O424" s="130"/>
      <c r="P424" s="132"/>
      <c r="Q424" s="134"/>
      <c r="R424" s="134"/>
      <c r="S424" s="134"/>
      <c r="T424" s="135"/>
      <c r="U424" s="135"/>
      <c r="V424" s="135" t="str">
        <f>IFERROR(IF(AA424="SEGURIDAD",OFFSET('PARÁMETROS'!$K$2,MATCH(U424,JC_SE,0),MATCH(T424,CC_SE,0)),
IF(OR(AA424="DSRC/Estratégico",AA424="DSRC/Operativo"),OFFSET('PARÁMETROS'!$K$11,MATCH(U424,JC_DS,0),MATCH(T424,CC_DS,0)),
IF(AA424="SALUD",OFFSET('PARÁMETROS'!$K$29,MATCH(U424,JC_SA,0),MATCH(T424,CC_SA,0)),
IF(AA424="MEDIO AMBIENTE",OFFSET('PARÁMETROS'!$K$20,MATCH(U424,JC_MA,0),MATCH(T424,CC_MA,0)),
IF(AA424="Rel. Gubernamentales",OFFSET('PARÁMETROS'!$K$48,MATCH(U424,JC_G,0),MATCH(T424,CC_G,0)),
IF(AA424="OPERACIONAL",OFFSET('PARÁMETROS'!$K$56,MATCH(U424,JC_OP,0),MATCH(T424,CC_OP,0)),
IF(AA424="FINANCIERO",OFFSET('PARÁMETROS'!$K$56,MATCH(U424,JC_FI,0),MATCH(T424,CC_FI,0)),
OFFSET('PARÁMETROS'!$K$38,MATCH(U424,JC_L,0),MATCH(T424,CC_L,0))))))))),"")</f>
        <v/>
      </c>
      <c r="W424" s="130"/>
      <c r="X424" s="135"/>
      <c r="Y424" s="136"/>
      <c r="Z424" s="30"/>
      <c r="AA424" s="31" t="str">
        <f>E411</f>
        <v/>
      </c>
    </row>
    <row r="425" ht="87.0" customHeight="1">
      <c r="A425" s="129"/>
      <c r="B425" s="130"/>
      <c r="C425" s="130"/>
      <c r="D425" s="130"/>
      <c r="E425" s="130"/>
      <c r="F425" s="130"/>
      <c r="G425" s="130"/>
      <c r="H425" s="130"/>
      <c r="I425" s="130"/>
      <c r="J425" s="130"/>
      <c r="K425" s="130"/>
      <c r="L425" s="130"/>
      <c r="M425" s="130"/>
      <c r="N425" s="130"/>
      <c r="O425" s="130"/>
      <c r="P425" s="132"/>
      <c r="Q425" s="134"/>
      <c r="R425" s="134"/>
      <c r="S425" s="134"/>
      <c r="T425" s="135"/>
      <c r="U425" s="135"/>
      <c r="V425" s="135" t="str">
        <f>IFERROR(IF(AA425="SEGURIDAD",OFFSET('PARÁMETROS'!$K$2,MATCH(U425,JC_SE,0),MATCH(T425,CC_SE,0)),
IF(OR(AA425="DSRC/Estratégico",AA425="DSRC/Operativo"),OFFSET('PARÁMETROS'!$K$11,MATCH(U425,JC_DS,0),MATCH(T425,CC_DS,0)),
IF(AA425="SALUD",OFFSET('PARÁMETROS'!$K$29,MATCH(U425,JC_SA,0),MATCH(T425,CC_SA,0)),
IF(AA425="MEDIO AMBIENTE",OFFSET('PARÁMETROS'!$K$20,MATCH(U425,JC_MA,0),MATCH(T425,CC_MA,0)),
IF(AA425="Rel. Gubernamentales",OFFSET('PARÁMETROS'!$K$48,MATCH(U425,JC_G,0),MATCH(T425,CC_G,0)),
IF(AA425="OPERACIONAL",OFFSET('PARÁMETROS'!$K$56,MATCH(U425,JC_OP,0),MATCH(T425,CC_OP,0)),
IF(AA425="FINANCIERO",OFFSET('PARÁMETROS'!$K$56,MATCH(U425,JC_FI,0),MATCH(T425,CC_FI,0)),
OFFSET('PARÁMETROS'!$K$38,MATCH(U425,JC_L,0),MATCH(T425,CC_L,0))))))))),"")</f>
        <v/>
      </c>
      <c r="W425" s="130"/>
      <c r="X425" s="135"/>
      <c r="Y425" s="136"/>
      <c r="Z425" s="30"/>
      <c r="AA425" s="31" t="str">
        <f>E411</f>
        <v/>
      </c>
    </row>
    <row r="426" ht="87.0" customHeight="1">
      <c r="A426" s="89"/>
      <c r="B426" s="90"/>
      <c r="C426" s="90"/>
      <c r="D426" s="157"/>
      <c r="E426" s="157"/>
      <c r="F426" s="157"/>
      <c r="G426" s="157"/>
      <c r="H426" s="157"/>
      <c r="I426" s="90"/>
      <c r="J426" s="90"/>
      <c r="K426" s="90"/>
      <c r="L426" s="90"/>
      <c r="M426" s="90"/>
      <c r="N426" s="90"/>
      <c r="O426" s="90"/>
      <c r="P426" s="132"/>
      <c r="Q426" s="134"/>
      <c r="R426" s="145"/>
      <c r="S426" s="145"/>
      <c r="T426" s="135"/>
      <c r="U426" s="135"/>
      <c r="V426" s="135" t="str">
        <f>IFERROR(IF(AA426="SEGURIDAD",OFFSET('PARÁMETROS'!$K$2,MATCH(U426,JC_SE,0),MATCH(T426,CC_SE,0)),
IF(OR(AA426="DSRC/Estratégico",AA426="DSRC/Operativo"),OFFSET('PARÁMETROS'!$K$11,MATCH(U426,JC_DS,0),MATCH(T426,CC_DS,0)),
IF(AA426="SALUD",OFFSET('PARÁMETROS'!$K$29,MATCH(U426,JC_SA,0),MATCH(T426,CC_SA,0)),
IF(AA426="MEDIO AMBIENTE",OFFSET('PARÁMETROS'!$K$20,MATCH(U426,JC_MA,0),MATCH(T426,CC_MA,0)),
IF(AA426="Rel. Gubernamentales",OFFSET('PARÁMETROS'!$K$48,MATCH(U426,JC_G,0),MATCH(T426,CC_G,0)),
IF(AA426="OPERACIONAL",OFFSET('PARÁMETROS'!$K$56,MATCH(U426,JC_OP,0),MATCH(T426,CC_OP,0)),
IF(AA426="FINANCIERO",OFFSET('PARÁMETROS'!$K$56,MATCH(U426,JC_FI,0),MATCH(T426,CC_FI,0)),
OFFSET('PARÁMETROS'!$K$38,MATCH(U426,JC_L,0),MATCH(T426,CC_L,0))))))))),"")</f>
        <v/>
      </c>
      <c r="W426" s="90"/>
      <c r="X426" s="135"/>
      <c r="Y426" s="136"/>
      <c r="Z426" s="30"/>
      <c r="AA426" s="31" t="str">
        <f>E411</f>
        <v/>
      </c>
    </row>
    <row r="427" ht="87.0" customHeight="1">
      <c r="A427" s="102"/>
      <c r="B427" s="103"/>
      <c r="C427" s="103"/>
      <c r="D427" s="103"/>
      <c r="E427" s="103"/>
      <c r="F427" s="103"/>
      <c r="G427" s="105"/>
      <c r="H427" s="103"/>
      <c r="I427" s="105"/>
      <c r="J427" s="103"/>
      <c r="K427" s="103"/>
      <c r="L427" s="103" t="str">
        <f>IF(OR(J427&lt;&gt;"",K427&lt;&gt;""),OFFSET('PARÁMETROS'!$B$2,K427,J427),"")</f>
        <v/>
      </c>
      <c r="M427" s="103"/>
      <c r="N427" s="103">
        <f>IFERROR(L427*M427,"")</f>
        <v>0</v>
      </c>
      <c r="O427" s="108" t="str">
        <f>IF(N427="","",IFERROR(IF(N427&lt;=2,"ACEPTABLE",IF(N427&lt;=6,"BAJA",IF(N427&lt;=10,"ACEPTABLE CON REVISIÓN",IF(N427&lt;=15,"SUSTANCIAL","INACEPTABLE")))),""))</f>
        <v>ACEPTABLE</v>
      </c>
      <c r="P427" s="113"/>
      <c r="Q427" s="114"/>
      <c r="R427" s="114"/>
      <c r="S427" s="114"/>
      <c r="T427" s="115"/>
      <c r="U427" s="115"/>
      <c r="V427" s="115" t="str">
        <f>IFERROR(IF(AA427="SEGURIDAD",OFFSET('PARÁMETROS'!$K$2,MATCH(U427,JC_SE,0),MATCH(T427,CC_SE,0)),
IF(OR(AA427="DSRC/Estratégico",AA427="DSRC/Operativo"),OFFSET('PARÁMETROS'!$K$11,MATCH(U427,JC_DS,0),MATCH(T427,CC_DS,0)),
IF(AA427="SALUD",OFFSET('PARÁMETROS'!$K$29,MATCH(U427,JC_SA,0),MATCH(T427,CC_SA,0)),
IF(AA427="MEDIO AMBIENTE",OFFSET('PARÁMETROS'!$K$20,MATCH(U427,JC_MA,0),MATCH(T427,CC_MA,0)),
IF(AA427="Rel. Gubernamentales",OFFSET('PARÁMETROS'!$K$48,MATCH(U427,JC_G,0),MATCH(T427,CC_G,0)),
IF(AA427="OPERACIONAL",OFFSET('PARÁMETROS'!$K$56,MATCH(U427,JC_OP,0),MATCH(T427,CC_OP,0)),
IF(AA427="FINANCIERO",OFFSET('PARÁMETROS'!$K$56,MATCH(U427,JC_FI,0),MATCH(T427,CC_FI,0)),
OFFSET('PARÁMETROS'!$K$38,MATCH(U427,JC_L,0),MATCH(T427,CC_L,0))))))))),"")</f>
        <v/>
      </c>
      <c r="W427" s="108" t="str">
        <f>IF(E427="","",
IF(COUNTA(V427:V442)-COUNTBLANK(V427:V442)=1,
IF(O427="INACEPTABLE",IF(COUNTIF(V427:V442,"Control/Acción Eficaz")&gt;=1,"SUSTANCIAL","INACEPTABLE"),
IF(O427="SUSTANCIAL",IF(COUNTIF(V427:V442,"Control/Acción Eficaz")&gt;=1,"ACEPTABLE CON REVISIÓN","SUSTANCIAL"),
IF(O427="ACEPTABLE CON REVISIÓN",IF(COUNTIF(V427:V442,"Control/Acción Eficaz")&gt;=1,"BAJA","ACEPTABLE CON REVISIÓN"),
IF(O427="BAJA",IF(COUNTIF(V427:V442,"Control/Acción Eficaz")&gt;=1,"ACEPTABLE","BAJA"),)))),
IF(COUNTA(V427:V442)-COUNTBLANK(V427:V442)=2,
IF(O427="INACEPTABLE",IF(COUNTIF(V427:V442,"Control/Acción Eficaz")=2,"ACEPTABLE CON REVISIÓN",
IF(OR(AND(COUNTIF(V427:V442,"Control/Acción Eficaz")=1,COUNTIF(V427:V442,"Control/Acción Satisfactorio")=1),
AND(COUNTIF(V427:V442,"Control/Acción Eficaz")=1,COUNTIF(V427:V442,"Control/Acción No Eficaz")=1)),"SUSTANCIAL","INACEPTABLE")),
IF(O427="SUSTANCIAL",IF(COUNTIF(V427:V442,"Control/Acción Eficaz")=2,"BAJA",
IF(OR(AND(COUNTIF(V427:V442,"Control/Acción Eficaz")=1,COUNTIF(V427:V442,"Control/Acción Satisfactorio")=1),
AND(COUNTIF(V427:V442,"Control/Acción Eficaz")=1,COUNTIF(V427:V442,"Control/Acción No Eficaz")=1)),"ACEPTABLE CON REVISIÓN ","SUSTANCIAL")),
IF(O427="ACEPTABLE CON REVISIÓN",IF(COUNTIF(V427:V442,"Control/Acción Eficaz")=2,"ACEPTABLE",
IF(OR(AND(COUNTIF(V427:V442,"Control/Acción Eficaz")=1,COUNTIF(V427:V442,"Control/Acción Satisfactorio")=1),
AND(COUNTIF(V427:V442,"Control/Acción Eficaz")=1,COUNTIF(V427:V442,"Control/Acción No Eficaz")=1)),"BAJA","ACEPTABLE CON REVISIÓN")),
IF(O427="BAJA",IF(COUNTIF(V427:V442,"Control/Acción Eficaz")&gt;=2,"ACEPTABLE","BAJA"),)))),
IF(COUNTA(V427:V442)-COUNTBLANK(V427:V442)&gt;=3,
IF(O427="INACEPTABLE",
IF(COUNTBLANK(V427:V442)=COUNTA(V427:V442),"",
IF(COUNTIF(V427:V442,"Control/Acción No Eficaz")&gt;=2,"INACEPTABLE",
IF(AND(COUNTIF(V427:V442,"Control/Acción No Eficaz")=0,COUNTIF(V427:V442,"Control/Acción Eficaz")&gt;=2),"ACEPTABLE CON REVISIÓN ","SUSTANCIAL"))),
IF(O427="SUSTANCIAL",
IF(COUNTBLANK(V427:V442)=COUNTA(V427:V442),"",
IF(COUNTIF(V427:V442,"Control/Acción No Eficaz")&gt;=2,"SUSTANCIAL",
IF(AND(COUNTIF(V427:V442,"Control/Acción No Eficaz")=0,COUNTIF(V427:V442,"Control/Acción Eficaz")&gt;=2),"BAJA","ACEPTABLE CON REVISIÓN"))),
IF(O427="ACEPTABLE CON REVISIÓN",
IF(COUNTBLANK(V427:V442)=COUNTA(V427:V442),"",
IF(COUNTIF(V427:V442,"Control/Acción No Eficaz")&gt;=2,"ACEPTABLE CON REVISIÓN",
IF(AND(COUNTIF(V427:V442,"Control/Acción No Eficaz")=0,COUNTIF(V427:V442,"Control/Acción Eficaz")&gt;=2),"ACEPTABLE","BAJA"))),
IF(O427="BAJA",
IF(COUNTBLANK(V427:V442)=COUNTA(V427:V442),"",
IF(AND(COUNTBLANK(V427:V442)&lt;1,COUNTA(V427:V442)=1),
IF(COUNTIF(V427:V442,"Control/Acción No Eficaz")&gt;=2,"BAJA",
IF(AND(COUNTIF(V427:V442,"Control/Acción No Eficaz")=0,COUNTIF(V427:V442,"Control/Acción Eficaz")&gt;=2),"ACEPTABLE","BAJA")),
IF(COUNTIF(V427:V442,"Control/Acción No Eficaz")&gt;=2,"BAJA",
IF(AND(COUNTIF(V427:V442,"Control/Acción No Eficaz")=0,COUNTIF(V427:V442,"Control/Acción Eficaz")&gt;=2),"ACEPTABLE","BAJA")))),
IF(COUNTIF(V427:V442,"")&gt;=5,"",O427))))),
""))))</f>
        <v/>
      </c>
      <c r="X427" s="115"/>
      <c r="Y427" s="128"/>
      <c r="Z427" s="30"/>
      <c r="AA427" s="31" t="str">
        <f>E427</f>
        <v/>
      </c>
    </row>
    <row r="428" ht="87.0" customHeight="1">
      <c r="A428" s="129"/>
      <c r="B428" s="130"/>
      <c r="C428" s="130"/>
      <c r="D428" s="130"/>
      <c r="E428" s="130"/>
      <c r="F428" s="130"/>
      <c r="G428" s="130"/>
      <c r="H428" s="130"/>
      <c r="I428" s="130"/>
      <c r="J428" s="130"/>
      <c r="K428" s="130"/>
      <c r="L428" s="130"/>
      <c r="M428" s="130"/>
      <c r="N428" s="130"/>
      <c r="O428" s="130"/>
      <c r="P428" s="132"/>
      <c r="Q428" s="134"/>
      <c r="R428" s="134"/>
      <c r="S428" s="134"/>
      <c r="T428" s="135"/>
      <c r="U428" s="135"/>
      <c r="V428" s="135" t="str">
        <f>IFERROR(IF(AA428="SEGURIDAD",OFFSET('PARÁMETROS'!$K$2,MATCH(U428,JC_SE,0),MATCH(T428,CC_SE,0)),
IF(OR(AA428="DSRC/Estratégico",AA428="DSRC/Operativo"),OFFSET('PARÁMETROS'!$K$11,MATCH(U428,JC_DS,0),MATCH(T428,CC_DS,0)),
IF(AA428="SALUD",OFFSET('PARÁMETROS'!$K$29,MATCH(U428,JC_SA,0),MATCH(T428,CC_SA,0)),
IF(AA428="MEDIO AMBIENTE",OFFSET('PARÁMETROS'!$K$20,MATCH(U428,JC_MA,0),MATCH(T428,CC_MA,0)),
IF(AA428="Rel. Gubernamentales",OFFSET('PARÁMETROS'!$K$48,MATCH(U428,JC_G,0),MATCH(T428,CC_G,0)),
IF(AA428="OPERACIONAL",OFFSET('PARÁMETROS'!$K$56,MATCH(U428,JC_OP,0),MATCH(T428,CC_OP,0)),
IF(AA428="FINANCIERO",OFFSET('PARÁMETROS'!$K$56,MATCH(U428,JC_FI,0),MATCH(T428,CC_FI,0)),
OFFSET('PARÁMETROS'!$K$38,MATCH(U428,JC_L,0),MATCH(T428,CC_L,0))))))))),"")</f>
        <v/>
      </c>
      <c r="W428" s="130"/>
      <c r="X428" s="135"/>
      <c r="Y428" s="136"/>
      <c r="Z428" s="30"/>
      <c r="AA428" s="31" t="str">
        <f>E427</f>
        <v/>
      </c>
    </row>
    <row r="429" ht="87.0" customHeight="1">
      <c r="A429" s="129"/>
      <c r="B429" s="130"/>
      <c r="C429" s="130"/>
      <c r="D429" s="130"/>
      <c r="E429" s="130"/>
      <c r="F429" s="130"/>
      <c r="G429" s="130"/>
      <c r="H429" s="130"/>
      <c r="I429" s="130"/>
      <c r="J429" s="130"/>
      <c r="K429" s="130"/>
      <c r="L429" s="130"/>
      <c r="M429" s="130"/>
      <c r="N429" s="130"/>
      <c r="O429" s="130"/>
      <c r="P429" s="132"/>
      <c r="Q429" s="134"/>
      <c r="R429" s="134"/>
      <c r="S429" s="134"/>
      <c r="T429" s="135"/>
      <c r="U429" s="135"/>
      <c r="V429" s="135" t="str">
        <f>IFERROR(IF(AA429="SEGURIDAD",OFFSET('PARÁMETROS'!$K$2,MATCH(U429,JC_SE,0),MATCH(T429,CC_SE,0)),
IF(OR(AA429="DSRC/Estratégico",AA429="DSRC/Operativo"),OFFSET('PARÁMETROS'!$K$11,MATCH(U429,JC_DS,0),MATCH(T429,CC_DS,0)),
IF(AA429="SALUD",OFFSET('PARÁMETROS'!$K$29,MATCH(U429,JC_SA,0),MATCH(T429,CC_SA,0)),
IF(AA429="MEDIO AMBIENTE",OFFSET('PARÁMETROS'!$K$20,MATCH(U429,JC_MA,0),MATCH(T429,CC_MA,0)),
IF(AA429="Rel. Gubernamentales",OFFSET('PARÁMETROS'!$K$48,MATCH(U429,JC_G,0),MATCH(T429,CC_G,0)),
IF(AA429="OPERACIONAL",OFFSET('PARÁMETROS'!$K$56,MATCH(U429,JC_OP,0),MATCH(T429,CC_OP,0)),
IF(AA429="FINANCIERO",OFFSET('PARÁMETROS'!$K$56,MATCH(U429,JC_FI,0),MATCH(T429,CC_FI,0)),
OFFSET('PARÁMETROS'!$K$38,MATCH(U429,JC_L,0),MATCH(T429,CC_L,0))))))))),"")</f>
        <v/>
      </c>
      <c r="W429" s="130"/>
      <c r="X429" s="135"/>
      <c r="Y429" s="136"/>
      <c r="Z429" s="30"/>
      <c r="AA429" s="31" t="str">
        <f>E427</f>
        <v/>
      </c>
    </row>
    <row r="430" ht="87.0" customHeight="1">
      <c r="A430" s="129"/>
      <c r="B430" s="130"/>
      <c r="C430" s="130"/>
      <c r="D430" s="130"/>
      <c r="E430" s="130"/>
      <c r="F430" s="130"/>
      <c r="G430" s="130"/>
      <c r="H430" s="130"/>
      <c r="I430" s="130"/>
      <c r="J430" s="130"/>
      <c r="K430" s="130"/>
      <c r="L430" s="130"/>
      <c r="M430" s="130"/>
      <c r="N430" s="130"/>
      <c r="O430" s="130"/>
      <c r="P430" s="132"/>
      <c r="Q430" s="134"/>
      <c r="R430" s="134"/>
      <c r="S430" s="134"/>
      <c r="T430" s="135"/>
      <c r="U430" s="135"/>
      <c r="V430" s="135" t="str">
        <f>IFERROR(IF(AA430="SEGURIDAD",OFFSET('PARÁMETROS'!$K$2,MATCH(U430,JC_SE,0),MATCH(T430,CC_SE,0)),
IF(OR(AA430="DSRC/Estratégico",AA430="DSRC/Operativo"),OFFSET('PARÁMETROS'!$K$11,MATCH(U430,JC_DS,0),MATCH(T430,CC_DS,0)),
IF(AA430="SALUD",OFFSET('PARÁMETROS'!$K$29,MATCH(U430,JC_SA,0),MATCH(T430,CC_SA,0)),
IF(AA430="MEDIO AMBIENTE",OFFSET('PARÁMETROS'!$K$20,MATCH(U430,JC_MA,0),MATCH(T430,CC_MA,0)),
IF(AA430="Rel. Gubernamentales",OFFSET('PARÁMETROS'!$K$48,MATCH(U430,JC_G,0),MATCH(T430,CC_G,0)),
IF(AA430="OPERACIONAL",OFFSET('PARÁMETROS'!$K$56,MATCH(U430,JC_OP,0),MATCH(T430,CC_OP,0)),
IF(AA430="FINANCIERO",OFFSET('PARÁMETROS'!$K$56,MATCH(U430,JC_FI,0),MATCH(T430,CC_FI,0)),
OFFSET('PARÁMETROS'!$K$38,MATCH(U430,JC_L,0),MATCH(T430,CC_L,0))))))))),"")</f>
        <v/>
      </c>
      <c r="W430" s="130"/>
      <c r="X430" s="135"/>
      <c r="Y430" s="136"/>
      <c r="Z430" s="30"/>
      <c r="AA430" s="31" t="str">
        <f>E427</f>
        <v/>
      </c>
    </row>
    <row r="431" ht="87.0" customHeight="1">
      <c r="A431" s="129"/>
      <c r="B431" s="130"/>
      <c r="C431" s="130"/>
      <c r="D431" s="130"/>
      <c r="E431" s="130"/>
      <c r="F431" s="130"/>
      <c r="G431" s="130"/>
      <c r="H431" s="130"/>
      <c r="I431" s="130"/>
      <c r="J431" s="130"/>
      <c r="K431" s="130"/>
      <c r="L431" s="130"/>
      <c r="M431" s="130"/>
      <c r="N431" s="130"/>
      <c r="O431" s="130"/>
      <c r="P431" s="132"/>
      <c r="Q431" s="134"/>
      <c r="R431" s="134"/>
      <c r="S431" s="134"/>
      <c r="T431" s="135"/>
      <c r="U431" s="135"/>
      <c r="V431" s="135" t="str">
        <f>IFERROR(IF(AA431="SEGURIDAD",OFFSET('PARÁMETROS'!$K$2,MATCH(U431,JC_SE,0),MATCH(T431,CC_SE,0)),
IF(OR(AA431="DSRC/Estratégico",AA431="DSRC/Operativo"),OFFSET('PARÁMETROS'!$K$11,MATCH(U431,JC_DS,0),MATCH(T431,CC_DS,0)),
IF(AA431="SALUD",OFFSET('PARÁMETROS'!$K$29,MATCH(U431,JC_SA,0),MATCH(T431,CC_SA,0)),
IF(AA431="MEDIO AMBIENTE",OFFSET('PARÁMETROS'!$K$20,MATCH(U431,JC_MA,0),MATCH(T431,CC_MA,0)),
IF(AA431="Rel. Gubernamentales",OFFSET('PARÁMETROS'!$K$48,MATCH(U431,JC_G,0),MATCH(T431,CC_G,0)),
IF(AA431="OPERACIONAL",OFFSET('PARÁMETROS'!$K$56,MATCH(U431,JC_OP,0),MATCH(T431,CC_OP,0)),
IF(AA431="FINANCIERO",OFFSET('PARÁMETROS'!$K$56,MATCH(U431,JC_FI,0),MATCH(T431,CC_FI,0)),
OFFSET('PARÁMETROS'!$K$38,MATCH(U431,JC_L,0),MATCH(T431,CC_L,0))))))))),"")</f>
        <v/>
      </c>
      <c r="W431" s="130"/>
      <c r="X431" s="135"/>
      <c r="Y431" s="136"/>
      <c r="Z431" s="30"/>
      <c r="AA431" s="31" t="str">
        <f>E427</f>
        <v/>
      </c>
    </row>
    <row r="432" ht="87.0" customHeight="1">
      <c r="A432" s="129"/>
      <c r="B432" s="130"/>
      <c r="C432" s="130"/>
      <c r="D432" s="130"/>
      <c r="E432" s="130"/>
      <c r="F432" s="130"/>
      <c r="G432" s="130"/>
      <c r="H432" s="130"/>
      <c r="I432" s="130"/>
      <c r="J432" s="130"/>
      <c r="K432" s="130"/>
      <c r="L432" s="130"/>
      <c r="M432" s="130"/>
      <c r="N432" s="130"/>
      <c r="O432" s="130"/>
      <c r="P432" s="132"/>
      <c r="Q432" s="134"/>
      <c r="R432" s="134"/>
      <c r="S432" s="134"/>
      <c r="T432" s="135"/>
      <c r="U432" s="135"/>
      <c r="V432" s="135" t="str">
        <f>IFERROR(IF(AA432="SEGURIDAD",OFFSET('PARÁMETROS'!$K$2,MATCH(U432,JC_SE,0),MATCH(T432,CC_SE,0)),
IF(OR(AA432="DSRC/Estratégico",AA432="DSRC/Operativo"),OFFSET('PARÁMETROS'!$K$11,MATCH(U432,JC_DS,0),MATCH(T432,CC_DS,0)),
IF(AA432="SALUD",OFFSET('PARÁMETROS'!$K$29,MATCH(U432,JC_SA,0),MATCH(T432,CC_SA,0)),
IF(AA432="MEDIO AMBIENTE",OFFSET('PARÁMETROS'!$K$20,MATCH(U432,JC_MA,0),MATCH(T432,CC_MA,0)),
IF(AA432="Rel. Gubernamentales",OFFSET('PARÁMETROS'!$K$48,MATCH(U432,JC_G,0),MATCH(T432,CC_G,0)),
IF(AA432="OPERACIONAL",OFFSET('PARÁMETROS'!$K$56,MATCH(U432,JC_OP,0),MATCH(T432,CC_OP,0)),
IF(AA432="FINANCIERO",OFFSET('PARÁMETROS'!$K$56,MATCH(U432,JC_FI,0),MATCH(T432,CC_FI,0)),
OFFSET('PARÁMETROS'!$K$38,MATCH(U432,JC_L,0),MATCH(T432,CC_L,0))))))))),"")</f>
        <v/>
      </c>
      <c r="W432" s="130"/>
      <c r="X432" s="135"/>
      <c r="Y432" s="136"/>
      <c r="Z432" s="30"/>
      <c r="AA432" s="31" t="str">
        <f>E427</f>
        <v/>
      </c>
    </row>
    <row r="433" ht="87.0" customHeight="1">
      <c r="A433" s="129"/>
      <c r="B433" s="130"/>
      <c r="C433" s="130"/>
      <c r="D433" s="130"/>
      <c r="E433" s="130"/>
      <c r="F433" s="130"/>
      <c r="G433" s="130"/>
      <c r="H433" s="130"/>
      <c r="I433" s="130"/>
      <c r="J433" s="130"/>
      <c r="K433" s="130"/>
      <c r="L433" s="130"/>
      <c r="M433" s="130"/>
      <c r="N433" s="130"/>
      <c r="O433" s="130"/>
      <c r="P433" s="132"/>
      <c r="Q433" s="134"/>
      <c r="R433" s="134"/>
      <c r="S433" s="134"/>
      <c r="T433" s="135"/>
      <c r="U433" s="135"/>
      <c r="V433" s="135" t="str">
        <f>IFERROR(IF(AA433="SEGURIDAD",OFFSET('PARÁMETROS'!$K$2,MATCH(U433,JC_SE,0),MATCH(T433,CC_SE,0)),
IF(OR(AA433="DSRC/Estratégico",AA433="DSRC/Operativo"),OFFSET('PARÁMETROS'!$K$11,MATCH(U433,JC_DS,0),MATCH(T433,CC_DS,0)),
IF(AA433="SALUD",OFFSET('PARÁMETROS'!$K$29,MATCH(U433,JC_SA,0),MATCH(T433,CC_SA,0)),
IF(AA433="MEDIO AMBIENTE",OFFSET('PARÁMETROS'!$K$20,MATCH(U433,JC_MA,0),MATCH(T433,CC_MA,0)),
IF(AA433="Rel. Gubernamentales",OFFSET('PARÁMETROS'!$K$48,MATCH(U433,JC_G,0),MATCH(T433,CC_G,0)),
IF(AA433="OPERACIONAL",OFFSET('PARÁMETROS'!$K$56,MATCH(U433,JC_OP,0),MATCH(T433,CC_OP,0)),
IF(AA433="FINANCIERO",OFFSET('PARÁMETROS'!$K$56,MATCH(U433,JC_FI,0),MATCH(T433,CC_FI,0)),
OFFSET('PARÁMETROS'!$K$38,MATCH(U433,JC_L,0),MATCH(T433,CC_L,0))))))))),"")</f>
        <v/>
      </c>
      <c r="W433" s="130"/>
      <c r="X433" s="135"/>
      <c r="Y433" s="136"/>
      <c r="Z433" s="30"/>
      <c r="AA433" s="31" t="str">
        <f>E427</f>
        <v/>
      </c>
    </row>
    <row r="434" ht="87.0" customHeight="1">
      <c r="A434" s="129"/>
      <c r="B434" s="130"/>
      <c r="C434" s="130"/>
      <c r="D434" s="130"/>
      <c r="E434" s="130"/>
      <c r="F434" s="130"/>
      <c r="G434" s="130"/>
      <c r="H434" s="130"/>
      <c r="I434" s="130"/>
      <c r="J434" s="130"/>
      <c r="K434" s="130"/>
      <c r="L434" s="130"/>
      <c r="M434" s="130"/>
      <c r="N434" s="130"/>
      <c r="O434" s="130"/>
      <c r="P434" s="132"/>
      <c r="Q434" s="134"/>
      <c r="R434" s="134"/>
      <c r="S434" s="134"/>
      <c r="T434" s="135"/>
      <c r="U434" s="135"/>
      <c r="V434" s="135" t="str">
        <f>IFERROR(IF(AA434="SEGURIDAD",OFFSET('PARÁMETROS'!$K$2,MATCH(U434,JC_SE,0),MATCH(T434,CC_SE,0)),
IF(OR(AA434="DSRC/Estratégico",AA434="DSRC/Operativo"),OFFSET('PARÁMETROS'!$K$11,MATCH(U434,JC_DS,0),MATCH(T434,CC_DS,0)),
IF(AA434="SALUD",OFFSET('PARÁMETROS'!$K$29,MATCH(U434,JC_SA,0),MATCH(T434,CC_SA,0)),
IF(AA434="MEDIO AMBIENTE",OFFSET('PARÁMETROS'!$K$20,MATCH(U434,JC_MA,0),MATCH(T434,CC_MA,0)),
IF(AA434="Rel. Gubernamentales",OFFSET('PARÁMETROS'!$K$48,MATCH(U434,JC_G,0),MATCH(T434,CC_G,0)),
IF(AA434="OPERACIONAL",OFFSET('PARÁMETROS'!$K$56,MATCH(U434,JC_OP,0),MATCH(T434,CC_OP,0)),
IF(AA434="FINANCIERO",OFFSET('PARÁMETROS'!$K$56,MATCH(U434,JC_FI,0),MATCH(T434,CC_FI,0)),
OFFSET('PARÁMETROS'!$K$38,MATCH(U434,JC_L,0),MATCH(T434,CC_L,0))))))))),"")</f>
        <v/>
      </c>
      <c r="W434" s="130"/>
      <c r="X434" s="135"/>
      <c r="Y434" s="136"/>
      <c r="Z434" s="30"/>
      <c r="AA434" s="31" t="str">
        <f>E427</f>
        <v/>
      </c>
    </row>
    <row r="435" ht="87.0" customHeight="1">
      <c r="A435" s="129"/>
      <c r="B435" s="130"/>
      <c r="C435" s="130"/>
      <c r="D435" s="130"/>
      <c r="E435" s="130"/>
      <c r="F435" s="130"/>
      <c r="G435" s="130"/>
      <c r="H435" s="130"/>
      <c r="I435" s="130"/>
      <c r="J435" s="130"/>
      <c r="K435" s="130"/>
      <c r="L435" s="130"/>
      <c r="M435" s="130"/>
      <c r="N435" s="130"/>
      <c r="O435" s="130"/>
      <c r="P435" s="132"/>
      <c r="Q435" s="134"/>
      <c r="R435" s="134"/>
      <c r="S435" s="134"/>
      <c r="T435" s="135"/>
      <c r="U435" s="135"/>
      <c r="V435" s="135" t="str">
        <f>IFERROR(IF(AA435="SEGURIDAD",OFFSET('PARÁMETROS'!$K$2,MATCH(U435,JC_SE,0),MATCH(T435,CC_SE,0)),
IF(OR(AA435="DSRC/Estratégico",AA435="DSRC/Operativo"),OFFSET('PARÁMETROS'!$K$11,MATCH(U435,JC_DS,0),MATCH(T435,CC_DS,0)),
IF(AA435="SALUD",OFFSET('PARÁMETROS'!$K$29,MATCH(U435,JC_SA,0),MATCH(T435,CC_SA,0)),
IF(AA435="MEDIO AMBIENTE",OFFSET('PARÁMETROS'!$K$20,MATCH(U435,JC_MA,0),MATCH(T435,CC_MA,0)),
IF(AA435="Rel. Gubernamentales",OFFSET('PARÁMETROS'!$K$48,MATCH(U435,JC_G,0),MATCH(T435,CC_G,0)),
IF(AA435="OPERACIONAL",OFFSET('PARÁMETROS'!$K$56,MATCH(U435,JC_OP,0),MATCH(T435,CC_OP,0)),
IF(AA435="FINANCIERO",OFFSET('PARÁMETROS'!$K$56,MATCH(U435,JC_FI,0),MATCH(T435,CC_FI,0)),
OFFSET('PARÁMETROS'!$K$38,MATCH(U435,JC_L,0),MATCH(T435,CC_L,0))))))))),"")</f>
        <v/>
      </c>
      <c r="W435" s="130"/>
      <c r="X435" s="135"/>
      <c r="Y435" s="136"/>
      <c r="Z435" s="30"/>
      <c r="AA435" s="31" t="str">
        <f>E427</f>
        <v/>
      </c>
    </row>
    <row r="436" ht="87.0" customHeight="1">
      <c r="A436" s="129"/>
      <c r="B436" s="130"/>
      <c r="C436" s="130"/>
      <c r="D436" s="130"/>
      <c r="E436" s="130"/>
      <c r="F436" s="130"/>
      <c r="G436" s="130"/>
      <c r="H436" s="130"/>
      <c r="I436" s="130"/>
      <c r="J436" s="130"/>
      <c r="K436" s="130"/>
      <c r="L436" s="130"/>
      <c r="M436" s="130"/>
      <c r="N436" s="130"/>
      <c r="O436" s="130"/>
      <c r="P436" s="132"/>
      <c r="Q436" s="134"/>
      <c r="R436" s="134"/>
      <c r="S436" s="134"/>
      <c r="T436" s="135"/>
      <c r="U436" s="135"/>
      <c r="V436" s="135" t="str">
        <f>IFERROR(IF(AA436="SEGURIDAD",OFFSET('PARÁMETROS'!$K$2,MATCH(U436,JC_SE,0),MATCH(T436,CC_SE,0)),
IF(OR(AA436="DSRC/Estratégico",AA436="DSRC/Operativo"),OFFSET('PARÁMETROS'!$K$11,MATCH(U436,JC_DS,0),MATCH(T436,CC_DS,0)),
IF(AA436="SALUD",OFFSET('PARÁMETROS'!$K$29,MATCH(U436,JC_SA,0),MATCH(T436,CC_SA,0)),
IF(AA436="MEDIO AMBIENTE",OFFSET('PARÁMETROS'!$K$20,MATCH(U436,JC_MA,0),MATCH(T436,CC_MA,0)),
IF(AA436="Rel. Gubernamentales",OFFSET('PARÁMETROS'!$K$48,MATCH(U436,JC_G,0),MATCH(T436,CC_G,0)),
IF(AA436="OPERACIONAL",OFFSET('PARÁMETROS'!$K$56,MATCH(U436,JC_OP,0),MATCH(T436,CC_OP,0)),
IF(AA436="FINANCIERO",OFFSET('PARÁMETROS'!$K$56,MATCH(U436,JC_FI,0),MATCH(T436,CC_FI,0)),
OFFSET('PARÁMETROS'!$K$38,MATCH(U436,JC_L,0),MATCH(T436,CC_L,0))))))))),"")</f>
        <v/>
      </c>
      <c r="W436" s="130"/>
      <c r="X436" s="135"/>
      <c r="Y436" s="136"/>
      <c r="Z436" s="30"/>
      <c r="AA436" s="31" t="str">
        <f>E427</f>
        <v/>
      </c>
    </row>
    <row r="437" ht="87.0" customHeight="1">
      <c r="A437" s="129"/>
      <c r="B437" s="130"/>
      <c r="C437" s="130"/>
      <c r="D437" s="130"/>
      <c r="E437" s="130"/>
      <c r="F437" s="130"/>
      <c r="G437" s="130"/>
      <c r="H437" s="130"/>
      <c r="I437" s="130"/>
      <c r="J437" s="130"/>
      <c r="K437" s="130"/>
      <c r="L437" s="130"/>
      <c r="M437" s="130"/>
      <c r="N437" s="130"/>
      <c r="O437" s="130"/>
      <c r="P437" s="132"/>
      <c r="Q437" s="134"/>
      <c r="R437" s="134"/>
      <c r="S437" s="134"/>
      <c r="T437" s="135"/>
      <c r="U437" s="135"/>
      <c r="V437" s="135" t="str">
        <f>IFERROR(IF(AA437="SEGURIDAD",OFFSET('PARÁMETROS'!$K$2,MATCH(U437,JC_SE,0),MATCH(T437,CC_SE,0)),
IF(OR(AA437="DSRC/Estratégico",AA437="DSRC/Operativo"),OFFSET('PARÁMETROS'!$K$11,MATCH(U437,JC_DS,0),MATCH(T437,CC_DS,0)),
IF(AA437="SALUD",OFFSET('PARÁMETROS'!$K$29,MATCH(U437,JC_SA,0),MATCH(T437,CC_SA,0)),
IF(AA437="MEDIO AMBIENTE",OFFSET('PARÁMETROS'!$K$20,MATCH(U437,JC_MA,0),MATCH(T437,CC_MA,0)),
IF(AA437="Rel. Gubernamentales",OFFSET('PARÁMETROS'!$K$48,MATCH(U437,JC_G,0),MATCH(T437,CC_G,0)),
IF(AA437="OPERACIONAL",OFFSET('PARÁMETROS'!$K$56,MATCH(U437,JC_OP,0),MATCH(T437,CC_OP,0)),
IF(AA437="FINANCIERO",OFFSET('PARÁMETROS'!$K$56,MATCH(U437,JC_FI,0),MATCH(T437,CC_FI,0)),
OFFSET('PARÁMETROS'!$K$38,MATCH(U437,JC_L,0),MATCH(T437,CC_L,0))))))))),"")</f>
        <v/>
      </c>
      <c r="W437" s="130"/>
      <c r="X437" s="135"/>
      <c r="Y437" s="136"/>
      <c r="Z437" s="30"/>
      <c r="AA437" s="31" t="str">
        <f>E427</f>
        <v/>
      </c>
    </row>
    <row r="438" ht="87.0" customHeight="1">
      <c r="A438" s="129"/>
      <c r="B438" s="130"/>
      <c r="C438" s="130"/>
      <c r="D438" s="130"/>
      <c r="E438" s="130"/>
      <c r="F438" s="130"/>
      <c r="G438" s="130"/>
      <c r="H438" s="130"/>
      <c r="I438" s="130"/>
      <c r="J438" s="130"/>
      <c r="K438" s="130"/>
      <c r="L438" s="130"/>
      <c r="M438" s="130"/>
      <c r="N438" s="130"/>
      <c r="O438" s="130"/>
      <c r="P438" s="132"/>
      <c r="Q438" s="134"/>
      <c r="R438" s="134"/>
      <c r="S438" s="134"/>
      <c r="T438" s="135"/>
      <c r="U438" s="135"/>
      <c r="V438" s="135" t="str">
        <f>IFERROR(IF(AA438="SEGURIDAD",OFFSET('PARÁMETROS'!$K$2,MATCH(U438,JC_SE,0),MATCH(T438,CC_SE,0)),
IF(OR(AA438="DSRC/Estratégico",AA438="DSRC/Operativo"),OFFSET('PARÁMETROS'!$K$11,MATCH(U438,JC_DS,0),MATCH(T438,CC_DS,0)),
IF(AA438="SALUD",OFFSET('PARÁMETROS'!$K$29,MATCH(U438,JC_SA,0),MATCH(T438,CC_SA,0)),
IF(AA438="MEDIO AMBIENTE",OFFSET('PARÁMETROS'!$K$20,MATCH(U438,JC_MA,0),MATCH(T438,CC_MA,0)),
IF(AA438="Rel. Gubernamentales",OFFSET('PARÁMETROS'!$K$48,MATCH(U438,JC_G,0),MATCH(T438,CC_G,0)),
IF(AA438="OPERACIONAL",OFFSET('PARÁMETROS'!$K$56,MATCH(U438,JC_OP,0),MATCH(T438,CC_OP,0)),
IF(AA438="FINANCIERO",OFFSET('PARÁMETROS'!$K$56,MATCH(U438,JC_FI,0),MATCH(T438,CC_FI,0)),
OFFSET('PARÁMETROS'!$K$38,MATCH(U438,JC_L,0),MATCH(T438,CC_L,0))))))))),"")</f>
        <v/>
      </c>
      <c r="W438" s="130"/>
      <c r="X438" s="135"/>
      <c r="Y438" s="136"/>
      <c r="Z438" s="30"/>
      <c r="AA438" s="31" t="str">
        <f>E427</f>
        <v/>
      </c>
    </row>
    <row r="439" ht="87.0" customHeight="1">
      <c r="A439" s="129"/>
      <c r="B439" s="130"/>
      <c r="C439" s="130"/>
      <c r="D439" s="130"/>
      <c r="E439" s="130"/>
      <c r="F439" s="130"/>
      <c r="G439" s="130"/>
      <c r="H439" s="130"/>
      <c r="I439" s="130"/>
      <c r="J439" s="130"/>
      <c r="K439" s="130"/>
      <c r="L439" s="130"/>
      <c r="M439" s="130"/>
      <c r="N439" s="130"/>
      <c r="O439" s="130"/>
      <c r="P439" s="132"/>
      <c r="Q439" s="134"/>
      <c r="R439" s="134"/>
      <c r="S439" s="134"/>
      <c r="T439" s="135"/>
      <c r="U439" s="135"/>
      <c r="V439" s="135" t="str">
        <f>IFERROR(IF(AA439="SEGURIDAD",OFFSET('PARÁMETROS'!$K$2,MATCH(U439,JC_SE,0),MATCH(T439,CC_SE,0)),
IF(OR(AA439="DSRC/Estratégico",AA439="DSRC/Operativo"),OFFSET('PARÁMETROS'!$K$11,MATCH(U439,JC_DS,0),MATCH(T439,CC_DS,0)),
IF(AA439="SALUD",OFFSET('PARÁMETROS'!$K$29,MATCH(U439,JC_SA,0),MATCH(T439,CC_SA,0)),
IF(AA439="MEDIO AMBIENTE",OFFSET('PARÁMETROS'!$K$20,MATCH(U439,JC_MA,0),MATCH(T439,CC_MA,0)),
IF(AA439="Rel. Gubernamentales",OFFSET('PARÁMETROS'!$K$48,MATCH(U439,JC_G,0),MATCH(T439,CC_G,0)),
IF(AA439="OPERACIONAL",OFFSET('PARÁMETROS'!$K$56,MATCH(U439,JC_OP,0),MATCH(T439,CC_OP,0)),
IF(AA439="FINANCIERO",OFFSET('PARÁMETROS'!$K$56,MATCH(U439,JC_FI,0),MATCH(T439,CC_FI,0)),
OFFSET('PARÁMETROS'!$K$38,MATCH(U439,JC_L,0),MATCH(T439,CC_L,0))))))))),"")</f>
        <v/>
      </c>
      <c r="W439" s="130"/>
      <c r="X439" s="135"/>
      <c r="Y439" s="136"/>
      <c r="Z439" s="30"/>
      <c r="AA439" s="31" t="str">
        <f>E427</f>
        <v/>
      </c>
    </row>
    <row r="440" ht="87.0" customHeight="1">
      <c r="A440" s="129"/>
      <c r="B440" s="130"/>
      <c r="C440" s="130"/>
      <c r="D440" s="130"/>
      <c r="E440" s="130"/>
      <c r="F440" s="130"/>
      <c r="G440" s="130"/>
      <c r="H440" s="130"/>
      <c r="I440" s="130"/>
      <c r="J440" s="130"/>
      <c r="K440" s="130"/>
      <c r="L440" s="130"/>
      <c r="M440" s="130"/>
      <c r="N440" s="130"/>
      <c r="O440" s="130"/>
      <c r="P440" s="132"/>
      <c r="Q440" s="134"/>
      <c r="R440" s="134"/>
      <c r="S440" s="134"/>
      <c r="T440" s="135"/>
      <c r="U440" s="135"/>
      <c r="V440" s="135" t="str">
        <f>IFERROR(IF(AA440="SEGURIDAD",OFFSET('PARÁMETROS'!$K$2,MATCH(U440,JC_SE,0),MATCH(T440,CC_SE,0)),
IF(OR(AA440="DSRC/Estratégico",AA440="DSRC/Operativo"),OFFSET('PARÁMETROS'!$K$11,MATCH(U440,JC_DS,0),MATCH(T440,CC_DS,0)),
IF(AA440="SALUD",OFFSET('PARÁMETROS'!$K$29,MATCH(U440,JC_SA,0),MATCH(T440,CC_SA,0)),
IF(AA440="MEDIO AMBIENTE",OFFSET('PARÁMETROS'!$K$20,MATCH(U440,JC_MA,0),MATCH(T440,CC_MA,0)),
IF(AA440="Rel. Gubernamentales",OFFSET('PARÁMETROS'!$K$48,MATCH(U440,JC_G,0),MATCH(T440,CC_G,0)),
IF(AA440="OPERACIONAL",OFFSET('PARÁMETROS'!$K$56,MATCH(U440,JC_OP,0),MATCH(T440,CC_OP,0)),
IF(AA440="FINANCIERO",OFFSET('PARÁMETROS'!$K$56,MATCH(U440,JC_FI,0),MATCH(T440,CC_FI,0)),
OFFSET('PARÁMETROS'!$K$38,MATCH(U440,JC_L,0),MATCH(T440,CC_L,0))))))))),"")</f>
        <v/>
      </c>
      <c r="W440" s="130"/>
      <c r="X440" s="135"/>
      <c r="Y440" s="136"/>
      <c r="Z440" s="30"/>
      <c r="AA440" s="31" t="str">
        <f>E427</f>
        <v/>
      </c>
    </row>
    <row r="441" ht="87.0" customHeight="1">
      <c r="A441" s="129"/>
      <c r="B441" s="130"/>
      <c r="C441" s="130"/>
      <c r="D441" s="130"/>
      <c r="E441" s="130"/>
      <c r="F441" s="130"/>
      <c r="G441" s="130"/>
      <c r="H441" s="130"/>
      <c r="I441" s="130"/>
      <c r="J441" s="130"/>
      <c r="K441" s="130"/>
      <c r="L441" s="130"/>
      <c r="M441" s="130"/>
      <c r="N441" s="130"/>
      <c r="O441" s="130"/>
      <c r="P441" s="132"/>
      <c r="Q441" s="134"/>
      <c r="R441" s="134"/>
      <c r="S441" s="134"/>
      <c r="T441" s="135"/>
      <c r="U441" s="135"/>
      <c r="V441" s="135" t="str">
        <f>IFERROR(IF(AA441="SEGURIDAD",OFFSET('PARÁMETROS'!$K$2,MATCH(U441,JC_SE,0),MATCH(T441,CC_SE,0)),
IF(OR(AA441="DSRC/Estratégico",AA441="DSRC/Operativo"),OFFSET('PARÁMETROS'!$K$11,MATCH(U441,JC_DS,0),MATCH(T441,CC_DS,0)),
IF(AA441="SALUD",OFFSET('PARÁMETROS'!$K$29,MATCH(U441,JC_SA,0),MATCH(T441,CC_SA,0)),
IF(AA441="MEDIO AMBIENTE",OFFSET('PARÁMETROS'!$K$20,MATCH(U441,JC_MA,0),MATCH(T441,CC_MA,0)),
IF(AA441="Rel. Gubernamentales",OFFSET('PARÁMETROS'!$K$48,MATCH(U441,JC_G,0),MATCH(T441,CC_G,0)),
IF(AA441="OPERACIONAL",OFFSET('PARÁMETROS'!$K$56,MATCH(U441,JC_OP,0),MATCH(T441,CC_OP,0)),
IF(AA441="FINANCIERO",OFFSET('PARÁMETROS'!$K$56,MATCH(U441,JC_FI,0),MATCH(T441,CC_FI,0)),
OFFSET('PARÁMETROS'!$K$38,MATCH(U441,JC_L,0),MATCH(T441,CC_L,0))))))))),"")</f>
        <v/>
      </c>
      <c r="W441" s="130"/>
      <c r="X441" s="135"/>
      <c r="Y441" s="136"/>
      <c r="Z441" s="30"/>
      <c r="AA441" s="31" t="str">
        <f>E427</f>
        <v/>
      </c>
    </row>
    <row r="442" ht="87.0" customHeight="1">
      <c r="A442" s="89"/>
      <c r="B442" s="90"/>
      <c r="C442" s="90"/>
      <c r="D442" s="157"/>
      <c r="E442" s="157"/>
      <c r="F442" s="157"/>
      <c r="G442" s="157"/>
      <c r="H442" s="157"/>
      <c r="I442" s="90"/>
      <c r="J442" s="90"/>
      <c r="K442" s="90"/>
      <c r="L442" s="90"/>
      <c r="M442" s="90"/>
      <c r="N442" s="90"/>
      <c r="O442" s="90"/>
      <c r="P442" s="132"/>
      <c r="Q442" s="134"/>
      <c r="R442" s="145"/>
      <c r="S442" s="145"/>
      <c r="T442" s="135"/>
      <c r="U442" s="135"/>
      <c r="V442" s="135" t="str">
        <f>IFERROR(IF(AA442="SEGURIDAD",OFFSET('PARÁMETROS'!$K$2,MATCH(U442,JC_SE,0),MATCH(T442,CC_SE,0)),
IF(OR(AA442="DSRC/Estratégico",AA442="DSRC/Operativo"),OFFSET('PARÁMETROS'!$K$11,MATCH(U442,JC_DS,0),MATCH(T442,CC_DS,0)),
IF(AA442="SALUD",OFFSET('PARÁMETROS'!$K$29,MATCH(U442,JC_SA,0),MATCH(T442,CC_SA,0)),
IF(AA442="MEDIO AMBIENTE",OFFSET('PARÁMETROS'!$K$20,MATCH(U442,JC_MA,0),MATCH(T442,CC_MA,0)),
IF(AA442="Rel. Gubernamentales",OFFSET('PARÁMETROS'!$K$48,MATCH(U442,JC_G,0),MATCH(T442,CC_G,0)),
IF(AA442="OPERACIONAL",OFFSET('PARÁMETROS'!$K$56,MATCH(U442,JC_OP,0),MATCH(T442,CC_OP,0)),
IF(AA442="FINANCIERO",OFFSET('PARÁMETROS'!$K$56,MATCH(U442,JC_FI,0),MATCH(T442,CC_FI,0)),
OFFSET('PARÁMETROS'!$K$38,MATCH(U442,JC_L,0),MATCH(T442,CC_L,0))))))))),"")</f>
        <v/>
      </c>
      <c r="W442" s="90"/>
      <c r="X442" s="135"/>
      <c r="Y442" s="136"/>
      <c r="Z442" s="30"/>
      <c r="AA442" s="31" t="str">
        <f>E427</f>
        <v/>
      </c>
    </row>
    <row r="443" ht="87.0" customHeight="1">
      <c r="A443" s="102"/>
      <c r="B443" s="103"/>
      <c r="C443" s="103"/>
      <c r="D443" s="103"/>
      <c r="E443" s="103"/>
      <c r="F443" s="103"/>
      <c r="G443" s="105"/>
      <c r="H443" s="103"/>
      <c r="I443" s="105"/>
      <c r="J443" s="103"/>
      <c r="K443" s="103"/>
      <c r="L443" s="103" t="str">
        <f>IF(OR(J443&lt;&gt;"",K443&lt;&gt;""),OFFSET('PARÁMETROS'!$B$2,K443,J443),"")</f>
        <v/>
      </c>
      <c r="M443" s="103"/>
      <c r="N443" s="103">
        <f>IFERROR(L443*M443,"")</f>
        <v>0</v>
      </c>
      <c r="O443" s="108" t="str">
        <f>IF(N443="","",IFERROR(IF(N443&lt;=2,"ACEPTABLE",IF(N443&lt;=6,"BAJA",IF(N443&lt;=10,"ACEPTABLE CON REVISIÓN",IF(N443&lt;=15,"SUSTANCIAL","INACEPTABLE")))),""))</f>
        <v>ACEPTABLE</v>
      </c>
      <c r="P443" s="113"/>
      <c r="Q443" s="114"/>
      <c r="R443" s="114"/>
      <c r="S443" s="114"/>
      <c r="T443" s="115"/>
      <c r="U443" s="115"/>
      <c r="V443" s="115" t="str">
        <f>IFERROR(IF(AA443="SEGURIDAD",OFFSET('PARÁMETROS'!$K$2,MATCH(U443,JC_SE,0),MATCH(T443,CC_SE,0)),
IF(OR(AA443="DSRC/Estratégico",AA443="DSRC/Operativo"),OFFSET('PARÁMETROS'!$K$11,MATCH(U443,JC_DS,0),MATCH(T443,CC_DS,0)),
IF(AA443="SALUD",OFFSET('PARÁMETROS'!$K$29,MATCH(U443,JC_SA,0),MATCH(T443,CC_SA,0)),
IF(AA443="MEDIO AMBIENTE",OFFSET('PARÁMETROS'!$K$20,MATCH(U443,JC_MA,0),MATCH(T443,CC_MA,0)),
IF(AA443="Rel. Gubernamentales",OFFSET('PARÁMETROS'!$K$48,MATCH(U443,JC_G,0),MATCH(T443,CC_G,0)),
IF(AA443="OPERACIONAL",OFFSET('PARÁMETROS'!$K$56,MATCH(U443,JC_OP,0),MATCH(T443,CC_OP,0)),
IF(AA443="FINANCIERO",OFFSET('PARÁMETROS'!$K$56,MATCH(U443,JC_FI,0),MATCH(T443,CC_FI,0)),
OFFSET('PARÁMETROS'!$K$38,MATCH(U443,JC_L,0),MATCH(T443,CC_L,0))))))))),"")</f>
        <v/>
      </c>
      <c r="W443" s="108" t="str">
        <f>IF(E443="","",
IF(COUNTA(V443:V458)-COUNTBLANK(V443:V458)=1,
IF(O443="INACEPTABLE",IF(COUNTIF(V443:V458,"Control/Acción Eficaz")&gt;=1,"SUSTANCIAL","INACEPTABLE"),
IF(O443="SUSTANCIAL",IF(COUNTIF(V443:V458,"Control/Acción Eficaz")&gt;=1,"ACEPTABLE CON REVISIÓN","SUSTANCIAL"),
IF(O443="ACEPTABLE CON REVISIÓN",IF(COUNTIF(V443:V458,"Control/Acción Eficaz")&gt;=1,"BAJA","ACEPTABLE CON REVISIÓN"),
IF(O443="BAJA",IF(COUNTIF(V443:V458,"Control/Acción Eficaz")&gt;=1,"ACEPTABLE","BAJA"),)))),
IF(COUNTA(V443:V458)-COUNTBLANK(V443:V458)=2,
IF(O443="INACEPTABLE",IF(COUNTIF(V443:V458,"Control/Acción Eficaz")=2,"ACEPTABLE CON REVISIÓN",
IF(OR(AND(COUNTIF(V443:V458,"Control/Acción Eficaz")=1,COUNTIF(V443:V458,"Control/Acción Satisfactorio")=1),
AND(COUNTIF(V443:V458,"Control/Acción Eficaz")=1,COUNTIF(V443:V458,"Control/Acción No Eficaz")=1)),"SUSTANCIAL","INACEPTABLE")),
IF(O443="SUSTANCIAL",IF(COUNTIF(V443:V458,"Control/Acción Eficaz")=2,"BAJA",
IF(OR(AND(COUNTIF(V443:V458,"Control/Acción Eficaz")=1,COUNTIF(V443:V458,"Control/Acción Satisfactorio")=1),
AND(COUNTIF(V443:V458,"Control/Acción Eficaz")=1,COUNTIF(V443:V458,"Control/Acción No Eficaz")=1)),"ACEPTABLE CON REVISIÓN ","SUSTANCIAL")),
IF(O443="ACEPTABLE CON REVISIÓN",IF(COUNTIF(V443:V458,"Control/Acción Eficaz")=2,"ACEPTABLE",
IF(OR(AND(COUNTIF(V443:V458,"Control/Acción Eficaz")=1,COUNTIF(V443:V458,"Control/Acción Satisfactorio")=1),
AND(COUNTIF(V443:V458,"Control/Acción Eficaz")=1,COUNTIF(V443:V458,"Control/Acción No Eficaz")=1)),"BAJA","ACEPTABLE CON REVISIÓN")),
IF(O443="BAJA",IF(COUNTIF(V443:V458,"Control/Acción Eficaz")&gt;=2,"ACEPTABLE","BAJA"),)))),
IF(COUNTA(V443:V458)-COUNTBLANK(V443:V458)&gt;=3,
IF(O443="INACEPTABLE",
IF(COUNTBLANK(V443:V458)=COUNTA(V443:V458),"",
IF(COUNTIF(V443:V458,"Control/Acción No Eficaz")&gt;=2,"INACEPTABLE",
IF(AND(COUNTIF(V443:V458,"Control/Acción No Eficaz")=0,COUNTIF(V443:V458,"Control/Acción Eficaz")&gt;=2),"ACEPTABLE CON REVISIÓN ","SUSTANCIAL"))),
IF(O443="SUSTANCIAL",
IF(COUNTBLANK(V443:V458)=COUNTA(V443:V458),"",
IF(COUNTIF(V443:V458,"Control/Acción No Eficaz")&gt;=2,"SUSTANCIAL",
IF(AND(COUNTIF(V443:V458,"Control/Acción No Eficaz")=0,COUNTIF(V443:V458,"Control/Acción Eficaz")&gt;=2),"BAJA","ACEPTABLE CON REVISIÓN"))),
IF(O443="ACEPTABLE CON REVISIÓN",
IF(COUNTBLANK(V443:V458)=COUNTA(V443:V458),"",
IF(COUNTIF(V443:V458,"Control/Acción No Eficaz")&gt;=2,"ACEPTABLE CON REVISIÓN",
IF(AND(COUNTIF(V443:V458,"Control/Acción No Eficaz")=0,COUNTIF(V443:V458,"Control/Acción Eficaz")&gt;=2),"ACEPTABLE","BAJA"))),
IF(O443="BAJA",
IF(COUNTBLANK(V443:V458)=COUNTA(V443:V458),"",
IF(AND(COUNTBLANK(V443:V458)&lt;1,COUNTA(V443:V458)=1),
IF(COUNTIF(V443:V458,"Control/Acción No Eficaz")&gt;=2,"BAJA",
IF(AND(COUNTIF(V443:V458,"Control/Acción No Eficaz")=0,COUNTIF(V443:V458,"Control/Acción Eficaz")&gt;=2),"ACEPTABLE","BAJA")),
IF(COUNTIF(V443:V458,"Control/Acción No Eficaz")&gt;=2,"BAJA",
IF(AND(COUNTIF(V443:V458,"Control/Acción No Eficaz")=0,COUNTIF(V443:V458,"Control/Acción Eficaz")&gt;=2),"ACEPTABLE","BAJA")))),
IF(COUNTIF(V443:V458,"")&gt;=5,"",O443))))),
""))))</f>
        <v/>
      </c>
      <c r="X443" s="115"/>
      <c r="Y443" s="128"/>
      <c r="Z443" s="30"/>
      <c r="AA443" s="31" t="str">
        <f>E443</f>
        <v/>
      </c>
    </row>
    <row r="444" ht="87.0" customHeight="1">
      <c r="A444" s="129"/>
      <c r="B444" s="130"/>
      <c r="C444" s="130"/>
      <c r="D444" s="130"/>
      <c r="E444" s="130"/>
      <c r="F444" s="130"/>
      <c r="G444" s="130"/>
      <c r="H444" s="130"/>
      <c r="I444" s="130"/>
      <c r="J444" s="130"/>
      <c r="K444" s="130"/>
      <c r="L444" s="130"/>
      <c r="M444" s="130"/>
      <c r="N444" s="130"/>
      <c r="O444" s="130"/>
      <c r="P444" s="132"/>
      <c r="Q444" s="134"/>
      <c r="R444" s="134"/>
      <c r="S444" s="134"/>
      <c r="T444" s="135"/>
      <c r="U444" s="135"/>
      <c r="V444" s="135" t="str">
        <f>IFERROR(IF(AA444="SEGURIDAD",OFFSET('PARÁMETROS'!$K$2,MATCH(U444,JC_SE,0),MATCH(T444,CC_SE,0)),
IF(OR(AA444="DSRC/Estratégico",AA444="DSRC/Operativo"),OFFSET('PARÁMETROS'!$K$11,MATCH(U444,JC_DS,0),MATCH(T444,CC_DS,0)),
IF(AA444="SALUD",OFFSET('PARÁMETROS'!$K$29,MATCH(U444,JC_SA,0),MATCH(T444,CC_SA,0)),
IF(AA444="MEDIO AMBIENTE",OFFSET('PARÁMETROS'!$K$20,MATCH(U444,JC_MA,0),MATCH(T444,CC_MA,0)),
IF(AA444="Rel. Gubernamentales",OFFSET('PARÁMETROS'!$K$48,MATCH(U444,JC_G,0),MATCH(T444,CC_G,0)),
IF(AA444="OPERACIONAL",OFFSET('PARÁMETROS'!$K$56,MATCH(U444,JC_OP,0),MATCH(T444,CC_OP,0)),
IF(AA444="FINANCIERO",OFFSET('PARÁMETROS'!$K$56,MATCH(U444,JC_FI,0),MATCH(T444,CC_FI,0)),
OFFSET('PARÁMETROS'!$K$38,MATCH(U444,JC_L,0),MATCH(T444,CC_L,0))))))))),"")</f>
        <v/>
      </c>
      <c r="W444" s="130"/>
      <c r="X444" s="135"/>
      <c r="Y444" s="136"/>
      <c r="Z444" s="30"/>
      <c r="AA444" s="31" t="str">
        <f>E443</f>
        <v/>
      </c>
    </row>
    <row r="445" ht="87.0" customHeight="1">
      <c r="A445" s="129"/>
      <c r="B445" s="130"/>
      <c r="C445" s="130"/>
      <c r="D445" s="130"/>
      <c r="E445" s="130"/>
      <c r="F445" s="130"/>
      <c r="G445" s="130"/>
      <c r="H445" s="130"/>
      <c r="I445" s="130"/>
      <c r="J445" s="130"/>
      <c r="K445" s="130"/>
      <c r="L445" s="130"/>
      <c r="M445" s="130"/>
      <c r="N445" s="130"/>
      <c r="O445" s="130"/>
      <c r="P445" s="132"/>
      <c r="Q445" s="134"/>
      <c r="R445" s="134"/>
      <c r="S445" s="134"/>
      <c r="T445" s="135"/>
      <c r="U445" s="135"/>
      <c r="V445" s="135" t="str">
        <f>IFERROR(IF(AA445="SEGURIDAD",OFFSET('PARÁMETROS'!$K$2,MATCH(U445,JC_SE,0),MATCH(T445,CC_SE,0)),
IF(OR(AA445="DSRC/Estratégico",AA445="DSRC/Operativo"),OFFSET('PARÁMETROS'!$K$11,MATCH(U445,JC_DS,0),MATCH(T445,CC_DS,0)),
IF(AA445="SALUD",OFFSET('PARÁMETROS'!$K$29,MATCH(U445,JC_SA,0),MATCH(T445,CC_SA,0)),
IF(AA445="MEDIO AMBIENTE",OFFSET('PARÁMETROS'!$K$20,MATCH(U445,JC_MA,0),MATCH(T445,CC_MA,0)),
IF(AA445="Rel. Gubernamentales",OFFSET('PARÁMETROS'!$K$48,MATCH(U445,JC_G,0),MATCH(T445,CC_G,0)),
IF(AA445="OPERACIONAL",OFFSET('PARÁMETROS'!$K$56,MATCH(U445,JC_OP,0),MATCH(T445,CC_OP,0)),
IF(AA445="FINANCIERO",OFFSET('PARÁMETROS'!$K$56,MATCH(U445,JC_FI,0),MATCH(T445,CC_FI,0)),
OFFSET('PARÁMETROS'!$K$38,MATCH(U445,JC_L,0),MATCH(T445,CC_L,0))))))))),"")</f>
        <v/>
      </c>
      <c r="W445" s="130"/>
      <c r="X445" s="135"/>
      <c r="Y445" s="136"/>
      <c r="Z445" s="30"/>
      <c r="AA445" s="31" t="str">
        <f>E443</f>
        <v/>
      </c>
    </row>
    <row r="446" ht="87.0" customHeight="1">
      <c r="A446" s="129"/>
      <c r="B446" s="130"/>
      <c r="C446" s="130"/>
      <c r="D446" s="130"/>
      <c r="E446" s="130"/>
      <c r="F446" s="130"/>
      <c r="G446" s="130"/>
      <c r="H446" s="130"/>
      <c r="I446" s="130"/>
      <c r="J446" s="130"/>
      <c r="K446" s="130"/>
      <c r="L446" s="130"/>
      <c r="M446" s="130"/>
      <c r="N446" s="130"/>
      <c r="O446" s="130"/>
      <c r="P446" s="132"/>
      <c r="Q446" s="134"/>
      <c r="R446" s="134"/>
      <c r="S446" s="134"/>
      <c r="T446" s="135"/>
      <c r="U446" s="135"/>
      <c r="V446" s="135" t="str">
        <f>IFERROR(IF(AA446="SEGURIDAD",OFFSET('PARÁMETROS'!$K$2,MATCH(U446,JC_SE,0),MATCH(T446,CC_SE,0)),
IF(OR(AA446="DSRC/Estratégico",AA446="DSRC/Operativo"),OFFSET('PARÁMETROS'!$K$11,MATCH(U446,JC_DS,0),MATCH(T446,CC_DS,0)),
IF(AA446="SALUD",OFFSET('PARÁMETROS'!$K$29,MATCH(U446,JC_SA,0),MATCH(T446,CC_SA,0)),
IF(AA446="MEDIO AMBIENTE",OFFSET('PARÁMETROS'!$K$20,MATCH(U446,JC_MA,0),MATCH(T446,CC_MA,0)),
IF(AA446="Rel. Gubernamentales",OFFSET('PARÁMETROS'!$K$48,MATCH(U446,JC_G,0),MATCH(T446,CC_G,0)),
IF(AA446="OPERACIONAL",OFFSET('PARÁMETROS'!$K$56,MATCH(U446,JC_OP,0),MATCH(T446,CC_OP,0)),
IF(AA446="FINANCIERO",OFFSET('PARÁMETROS'!$K$56,MATCH(U446,JC_FI,0),MATCH(T446,CC_FI,0)),
OFFSET('PARÁMETROS'!$K$38,MATCH(U446,JC_L,0),MATCH(T446,CC_L,0))))))))),"")</f>
        <v/>
      </c>
      <c r="W446" s="130"/>
      <c r="X446" s="135"/>
      <c r="Y446" s="136"/>
      <c r="Z446" s="30"/>
      <c r="AA446" s="31" t="str">
        <f>E443</f>
        <v/>
      </c>
    </row>
    <row r="447" ht="87.0" customHeight="1">
      <c r="A447" s="129"/>
      <c r="B447" s="130"/>
      <c r="C447" s="130"/>
      <c r="D447" s="130"/>
      <c r="E447" s="130"/>
      <c r="F447" s="130"/>
      <c r="G447" s="130"/>
      <c r="H447" s="130"/>
      <c r="I447" s="130"/>
      <c r="J447" s="130"/>
      <c r="K447" s="130"/>
      <c r="L447" s="130"/>
      <c r="M447" s="130"/>
      <c r="N447" s="130"/>
      <c r="O447" s="130"/>
      <c r="P447" s="132"/>
      <c r="Q447" s="134"/>
      <c r="R447" s="134"/>
      <c r="S447" s="134"/>
      <c r="T447" s="135"/>
      <c r="U447" s="135"/>
      <c r="V447" s="135" t="str">
        <f>IFERROR(IF(AA447="SEGURIDAD",OFFSET('PARÁMETROS'!$K$2,MATCH(U447,JC_SE,0),MATCH(T447,CC_SE,0)),
IF(OR(AA447="DSRC/Estratégico",AA447="DSRC/Operativo"),OFFSET('PARÁMETROS'!$K$11,MATCH(U447,JC_DS,0),MATCH(T447,CC_DS,0)),
IF(AA447="SALUD",OFFSET('PARÁMETROS'!$K$29,MATCH(U447,JC_SA,0),MATCH(T447,CC_SA,0)),
IF(AA447="MEDIO AMBIENTE",OFFSET('PARÁMETROS'!$K$20,MATCH(U447,JC_MA,0),MATCH(T447,CC_MA,0)),
IF(AA447="Rel. Gubernamentales",OFFSET('PARÁMETROS'!$K$48,MATCH(U447,JC_G,0),MATCH(T447,CC_G,0)),
IF(AA447="OPERACIONAL",OFFSET('PARÁMETROS'!$K$56,MATCH(U447,JC_OP,0),MATCH(T447,CC_OP,0)),
IF(AA447="FINANCIERO",OFFSET('PARÁMETROS'!$K$56,MATCH(U447,JC_FI,0),MATCH(T447,CC_FI,0)),
OFFSET('PARÁMETROS'!$K$38,MATCH(U447,JC_L,0),MATCH(T447,CC_L,0))))))))),"")</f>
        <v/>
      </c>
      <c r="W447" s="130"/>
      <c r="X447" s="135"/>
      <c r="Y447" s="136"/>
      <c r="Z447" s="30"/>
      <c r="AA447" s="31" t="str">
        <f>E443</f>
        <v/>
      </c>
    </row>
    <row r="448" ht="87.0" customHeight="1">
      <c r="A448" s="129"/>
      <c r="B448" s="130"/>
      <c r="C448" s="130"/>
      <c r="D448" s="130"/>
      <c r="E448" s="130"/>
      <c r="F448" s="130"/>
      <c r="G448" s="130"/>
      <c r="H448" s="130"/>
      <c r="I448" s="130"/>
      <c r="J448" s="130"/>
      <c r="K448" s="130"/>
      <c r="L448" s="130"/>
      <c r="M448" s="130"/>
      <c r="N448" s="130"/>
      <c r="O448" s="130"/>
      <c r="P448" s="132"/>
      <c r="Q448" s="134"/>
      <c r="R448" s="134"/>
      <c r="S448" s="134"/>
      <c r="T448" s="135"/>
      <c r="U448" s="135"/>
      <c r="V448" s="135" t="str">
        <f>IFERROR(IF(AA448="SEGURIDAD",OFFSET('PARÁMETROS'!$K$2,MATCH(U448,JC_SE,0),MATCH(T448,CC_SE,0)),
IF(OR(AA448="DSRC/Estratégico",AA448="DSRC/Operativo"),OFFSET('PARÁMETROS'!$K$11,MATCH(U448,JC_DS,0),MATCH(T448,CC_DS,0)),
IF(AA448="SALUD",OFFSET('PARÁMETROS'!$K$29,MATCH(U448,JC_SA,0),MATCH(T448,CC_SA,0)),
IF(AA448="MEDIO AMBIENTE",OFFSET('PARÁMETROS'!$K$20,MATCH(U448,JC_MA,0),MATCH(T448,CC_MA,0)),
IF(AA448="Rel. Gubernamentales",OFFSET('PARÁMETROS'!$K$48,MATCH(U448,JC_G,0),MATCH(T448,CC_G,0)),
IF(AA448="OPERACIONAL",OFFSET('PARÁMETROS'!$K$56,MATCH(U448,JC_OP,0),MATCH(T448,CC_OP,0)),
IF(AA448="FINANCIERO",OFFSET('PARÁMETROS'!$K$56,MATCH(U448,JC_FI,0),MATCH(T448,CC_FI,0)),
OFFSET('PARÁMETROS'!$K$38,MATCH(U448,JC_L,0),MATCH(T448,CC_L,0))))))))),"")</f>
        <v/>
      </c>
      <c r="W448" s="130"/>
      <c r="X448" s="135"/>
      <c r="Y448" s="136"/>
      <c r="Z448" s="30"/>
      <c r="AA448" s="31" t="str">
        <f>E443</f>
        <v/>
      </c>
    </row>
    <row r="449" ht="87.0" customHeight="1">
      <c r="A449" s="129"/>
      <c r="B449" s="130"/>
      <c r="C449" s="130"/>
      <c r="D449" s="130"/>
      <c r="E449" s="130"/>
      <c r="F449" s="130"/>
      <c r="G449" s="130"/>
      <c r="H449" s="130"/>
      <c r="I449" s="130"/>
      <c r="J449" s="130"/>
      <c r="K449" s="130"/>
      <c r="L449" s="130"/>
      <c r="M449" s="130"/>
      <c r="N449" s="130"/>
      <c r="O449" s="130"/>
      <c r="P449" s="132"/>
      <c r="Q449" s="134"/>
      <c r="R449" s="134"/>
      <c r="S449" s="134"/>
      <c r="T449" s="135"/>
      <c r="U449" s="135"/>
      <c r="V449" s="135" t="str">
        <f>IFERROR(IF(AA449="SEGURIDAD",OFFSET('PARÁMETROS'!$K$2,MATCH(U449,JC_SE,0),MATCH(T449,CC_SE,0)),
IF(OR(AA449="DSRC/Estratégico",AA449="DSRC/Operativo"),OFFSET('PARÁMETROS'!$K$11,MATCH(U449,JC_DS,0),MATCH(T449,CC_DS,0)),
IF(AA449="SALUD",OFFSET('PARÁMETROS'!$K$29,MATCH(U449,JC_SA,0),MATCH(T449,CC_SA,0)),
IF(AA449="MEDIO AMBIENTE",OFFSET('PARÁMETROS'!$K$20,MATCH(U449,JC_MA,0),MATCH(T449,CC_MA,0)),
IF(AA449="Rel. Gubernamentales",OFFSET('PARÁMETROS'!$K$48,MATCH(U449,JC_G,0),MATCH(T449,CC_G,0)),
IF(AA449="OPERACIONAL",OFFSET('PARÁMETROS'!$K$56,MATCH(U449,JC_OP,0),MATCH(T449,CC_OP,0)),
IF(AA449="FINANCIERO",OFFSET('PARÁMETROS'!$K$56,MATCH(U449,JC_FI,0),MATCH(T449,CC_FI,0)),
OFFSET('PARÁMETROS'!$K$38,MATCH(U449,JC_L,0),MATCH(T449,CC_L,0))))))))),"")</f>
        <v/>
      </c>
      <c r="W449" s="130"/>
      <c r="X449" s="135"/>
      <c r="Y449" s="136"/>
      <c r="Z449" s="30"/>
      <c r="AA449" s="31" t="str">
        <f>E443</f>
        <v/>
      </c>
    </row>
    <row r="450" ht="87.0" customHeight="1">
      <c r="A450" s="129"/>
      <c r="B450" s="130"/>
      <c r="C450" s="130"/>
      <c r="D450" s="130"/>
      <c r="E450" s="130"/>
      <c r="F450" s="130"/>
      <c r="G450" s="130"/>
      <c r="H450" s="130"/>
      <c r="I450" s="130"/>
      <c r="J450" s="130"/>
      <c r="K450" s="130"/>
      <c r="L450" s="130"/>
      <c r="M450" s="130"/>
      <c r="N450" s="130"/>
      <c r="O450" s="130"/>
      <c r="P450" s="132"/>
      <c r="Q450" s="134"/>
      <c r="R450" s="134"/>
      <c r="S450" s="134"/>
      <c r="T450" s="135"/>
      <c r="U450" s="135"/>
      <c r="V450" s="135" t="str">
        <f>IFERROR(IF(AA450="SEGURIDAD",OFFSET('PARÁMETROS'!$K$2,MATCH(U450,JC_SE,0),MATCH(T450,CC_SE,0)),
IF(OR(AA450="DSRC/Estratégico",AA450="DSRC/Operativo"),OFFSET('PARÁMETROS'!$K$11,MATCH(U450,JC_DS,0),MATCH(T450,CC_DS,0)),
IF(AA450="SALUD",OFFSET('PARÁMETROS'!$K$29,MATCH(U450,JC_SA,0),MATCH(T450,CC_SA,0)),
IF(AA450="MEDIO AMBIENTE",OFFSET('PARÁMETROS'!$K$20,MATCH(U450,JC_MA,0),MATCH(T450,CC_MA,0)),
IF(AA450="Rel. Gubernamentales",OFFSET('PARÁMETROS'!$K$48,MATCH(U450,JC_G,0),MATCH(T450,CC_G,0)),
IF(AA450="OPERACIONAL",OFFSET('PARÁMETROS'!$K$56,MATCH(U450,JC_OP,0),MATCH(T450,CC_OP,0)),
IF(AA450="FINANCIERO",OFFSET('PARÁMETROS'!$K$56,MATCH(U450,JC_FI,0),MATCH(T450,CC_FI,0)),
OFFSET('PARÁMETROS'!$K$38,MATCH(U450,JC_L,0),MATCH(T450,CC_L,0))))))))),"")</f>
        <v/>
      </c>
      <c r="W450" s="130"/>
      <c r="X450" s="135"/>
      <c r="Y450" s="136"/>
      <c r="Z450" s="30"/>
      <c r="AA450" s="31" t="str">
        <f>E443</f>
        <v/>
      </c>
    </row>
    <row r="451" ht="87.0" customHeight="1">
      <c r="A451" s="129"/>
      <c r="B451" s="130"/>
      <c r="C451" s="130"/>
      <c r="D451" s="130"/>
      <c r="E451" s="130"/>
      <c r="F451" s="130"/>
      <c r="G451" s="130"/>
      <c r="H451" s="130"/>
      <c r="I451" s="130"/>
      <c r="J451" s="130"/>
      <c r="K451" s="130"/>
      <c r="L451" s="130"/>
      <c r="M451" s="130"/>
      <c r="N451" s="130"/>
      <c r="O451" s="130"/>
      <c r="P451" s="132"/>
      <c r="Q451" s="134"/>
      <c r="R451" s="134"/>
      <c r="S451" s="134"/>
      <c r="T451" s="135"/>
      <c r="U451" s="135"/>
      <c r="V451" s="135" t="str">
        <f>IFERROR(IF(AA451="SEGURIDAD",OFFSET('PARÁMETROS'!$K$2,MATCH(U451,JC_SE,0),MATCH(T451,CC_SE,0)),
IF(OR(AA451="DSRC/Estratégico",AA451="DSRC/Operativo"),OFFSET('PARÁMETROS'!$K$11,MATCH(U451,JC_DS,0),MATCH(T451,CC_DS,0)),
IF(AA451="SALUD",OFFSET('PARÁMETROS'!$K$29,MATCH(U451,JC_SA,0),MATCH(T451,CC_SA,0)),
IF(AA451="MEDIO AMBIENTE",OFFSET('PARÁMETROS'!$K$20,MATCH(U451,JC_MA,0),MATCH(T451,CC_MA,0)),
IF(AA451="Rel. Gubernamentales",OFFSET('PARÁMETROS'!$K$48,MATCH(U451,JC_G,0),MATCH(T451,CC_G,0)),
IF(AA451="OPERACIONAL",OFFSET('PARÁMETROS'!$K$56,MATCH(U451,JC_OP,0),MATCH(T451,CC_OP,0)),
IF(AA451="FINANCIERO",OFFSET('PARÁMETROS'!$K$56,MATCH(U451,JC_FI,0),MATCH(T451,CC_FI,0)),
OFFSET('PARÁMETROS'!$K$38,MATCH(U451,JC_L,0),MATCH(T451,CC_L,0))))))))),"")</f>
        <v/>
      </c>
      <c r="W451" s="130"/>
      <c r="X451" s="135"/>
      <c r="Y451" s="136"/>
      <c r="Z451" s="30"/>
      <c r="AA451" s="31" t="str">
        <f>E443</f>
        <v/>
      </c>
    </row>
    <row r="452" ht="87.0" customHeight="1">
      <c r="A452" s="129"/>
      <c r="B452" s="130"/>
      <c r="C452" s="130"/>
      <c r="D452" s="130"/>
      <c r="E452" s="130"/>
      <c r="F452" s="130"/>
      <c r="G452" s="130"/>
      <c r="H452" s="130"/>
      <c r="I452" s="130"/>
      <c r="J452" s="130"/>
      <c r="K452" s="130"/>
      <c r="L452" s="130"/>
      <c r="M452" s="130"/>
      <c r="N452" s="130"/>
      <c r="O452" s="130"/>
      <c r="P452" s="132"/>
      <c r="Q452" s="134"/>
      <c r="R452" s="134"/>
      <c r="S452" s="134"/>
      <c r="T452" s="135"/>
      <c r="U452" s="135"/>
      <c r="V452" s="135" t="str">
        <f>IFERROR(IF(AA452="SEGURIDAD",OFFSET('PARÁMETROS'!$K$2,MATCH(U452,JC_SE,0),MATCH(T452,CC_SE,0)),
IF(OR(AA452="DSRC/Estratégico",AA452="DSRC/Operativo"),OFFSET('PARÁMETROS'!$K$11,MATCH(U452,JC_DS,0),MATCH(T452,CC_DS,0)),
IF(AA452="SALUD",OFFSET('PARÁMETROS'!$K$29,MATCH(U452,JC_SA,0),MATCH(T452,CC_SA,0)),
IF(AA452="MEDIO AMBIENTE",OFFSET('PARÁMETROS'!$K$20,MATCH(U452,JC_MA,0),MATCH(T452,CC_MA,0)),
IF(AA452="Rel. Gubernamentales",OFFSET('PARÁMETROS'!$K$48,MATCH(U452,JC_G,0),MATCH(T452,CC_G,0)),
IF(AA452="OPERACIONAL",OFFSET('PARÁMETROS'!$K$56,MATCH(U452,JC_OP,0),MATCH(T452,CC_OP,0)),
IF(AA452="FINANCIERO",OFFSET('PARÁMETROS'!$K$56,MATCH(U452,JC_FI,0),MATCH(T452,CC_FI,0)),
OFFSET('PARÁMETROS'!$K$38,MATCH(U452,JC_L,0),MATCH(T452,CC_L,0))))))))),"")</f>
        <v/>
      </c>
      <c r="W452" s="130"/>
      <c r="X452" s="135"/>
      <c r="Y452" s="136"/>
      <c r="Z452" s="30"/>
      <c r="AA452" s="31" t="str">
        <f>E443</f>
        <v/>
      </c>
    </row>
    <row r="453" ht="87.0" customHeight="1">
      <c r="A453" s="129"/>
      <c r="B453" s="130"/>
      <c r="C453" s="130"/>
      <c r="D453" s="130"/>
      <c r="E453" s="130"/>
      <c r="F453" s="130"/>
      <c r="G453" s="130"/>
      <c r="H453" s="130"/>
      <c r="I453" s="130"/>
      <c r="J453" s="130"/>
      <c r="K453" s="130"/>
      <c r="L453" s="130"/>
      <c r="M453" s="130"/>
      <c r="N453" s="130"/>
      <c r="O453" s="130"/>
      <c r="P453" s="132"/>
      <c r="Q453" s="134"/>
      <c r="R453" s="134"/>
      <c r="S453" s="134"/>
      <c r="T453" s="135"/>
      <c r="U453" s="135"/>
      <c r="V453" s="135" t="str">
        <f>IFERROR(IF(AA453="SEGURIDAD",OFFSET('PARÁMETROS'!$K$2,MATCH(U453,JC_SE,0),MATCH(T453,CC_SE,0)),
IF(OR(AA453="DSRC/Estratégico",AA453="DSRC/Operativo"),OFFSET('PARÁMETROS'!$K$11,MATCH(U453,JC_DS,0),MATCH(T453,CC_DS,0)),
IF(AA453="SALUD",OFFSET('PARÁMETROS'!$K$29,MATCH(U453,JC_SA,0),MATCH(T453,CC_SA,0)),
IF(AA453="MEDIO AMBIENTE",OFFSET('PARÁMETROS'!$K$20,MATCH(U453,JC_MA,0),MATCH(T453,CC_MA,0)),
IF(AA453="Rel. Gubernamentales",OFFSET('PARÁMETROS'!$K$48,MATCH(U453,JC_G,0),MATCH(T453,CC_G,0)),
IF(AA453="OPERACIONAL",OFFSET('PARÁMETROS'!$K$56,MATCH(U453,JC_OP,0),MATCH(T453,CC_OP,0)),
IF(AA453="FINANCIERO",OFFSET('PARÁMETROS'!$K$56,MATCH(U453,JC_FI,0),MATCH(T453,CC_FI,0)),
OFFSET('PARÁMETROS'!$K$38,MATCH(U453,JC_L,0),MATCH(T453,CC_L,0))))))))),"")</f>
        <v/>
      </c>
      <c r="W453" s="130"/>
      <c r="X453" s="135"/>
      <c r="Y453" s="136"/>
      <c r="Z453" s="30"/>
      <c r="AA453" s="31" t="str">
        <f>E443</f>
        <v/>
      </c>
    </row>
    <row r="454" ht="87.0" customHeight="1">
      <c r="A454" s="129"/>
      <c r="B454" s="130"/>
      <c r="C454" s="130"/>
      <c r="D454" s="130"/>
      <c r="E454" s="130"/>
      <c r="F454" s="130"/>
      <c r="G454" s="130"/>
      <c r="H454" s="130"/>
      <c r="I454" s="130"/>
      <c r="J454" s="130"/>
      <c r="K454" s="130"/>
      <c r="L454" s="130"/>
      <c r="M454" s="130"/>
      <c r="N454" s="130"/>
      <c r="O454" s="130"/>
      <c r="P454" s="132"/>
      <c r="Q454" s="134"/>
      <c r="R454" s="134"/>
      <c r="S454" s="134"/>
      <c r="T454" s="135"/>
      <c r="U454" s="135"/>
      <c r="V454" s="135" t="str">
        <f>IFERROR(IF(AA454="SEGURIDAD",OFFSET('PARÁMETROS'!$K$2,MATCH(U454,JC_SE,0),MATCH(T454,CC_SE,0)),
IF(OR(AA454="DSRC/Estratégico",AA454="DSRC/Operativo"),OFFSET('PARÁMETROS'!$K$11,MATCH(U454,JC_DS,0),MATCH(T454,CC_DS,0)),
IF(AA454="SALUD",OFFSET('PARÁMETROS'!$K$29,MATCH(U454,JC_SA,0),MATCH(T454,CC_SA,0)),
IF(AA454="MEDIO AMBIENTE",OFFSET('PARÁMETROS'!$K$20,MATCH(U454,JC_MA,0),MATCH(T454,CC_MA,0)),
IF(AA454="Rel. Gubernamentales",OFFSET('PARÁMETROS'!$K$48,MATCH(U454,JC_G,0),MATCH(T454,CC_G,0)),
IF(AA454="OPERACIONAL",OFFSET('PARÁMETROS'!$K$56,MATCH(U454,JC_OP,0),MATCH(T454,CC_OP,0)),
IF(AA454="FINANCIERO",OFFSET('PARÁMETROS'!$K$56,MATCH(U454,JC_FI,0),MATCH(T454,CC_FI,0)),
OFFSET('PARÁMETROS'!$K$38,MATCH(U454,JC_L,0),MATCH(T454,CC_L,0))))))))),"")</f>
        <v/>
      </c>
      <c r="W454" s="130"/>
      <c r="X454" s="135"/>
      <c r="Y454" s="136"/>
      <c r="Z454" s="30"/>
      <c r="AA454" s="31" t="str">
        <f>E443</f>
        <v/>
      </c>
    </row>
    <row r="455" ht="87.0" customHeight="1">
      <c r="A455" s="129"/>
      <c r="B455" s="130"/>
      <c r="C455" s="130"/>
      <c r="D455" s="130"/>
      <c r="E455" s="130"/>
      <c r="F455" s="130"/>
      <c r="G455" s="130"/>
      <c r="H455" s="130"/>
      <c r="I455" s="130"/>
      <c r="J455" s="130"/>
      <c r="K455" s="130"/>
      <c r="L455" s="130"/>
      <c r="M455" s="130"/>
      <c r="N455" s="130"/>
      <c r="O455" s="130"/>
      <c r="P455" s="132"/>
      <c r="Q455" s="134"/>
      <c r="R455" s="134"/>
      <c r="S455" s="134"/>
      <c r="T455" s="135"/>
      <c r="U455" s="135"/>
      <c r="V455" s="135" t="str">
        <f>IFERROR(IF(AA455="SEGURIDAD",OFFSET('PARÁMETROS'!$K$2,MATCH(U455,JC_SE,0),MATCH(T455,CC_SE,0)),
IF(OR(AA455="DSRC/Estratégico",AA455="DSRC/Operativo"),OFFSET('PARÁMETROS'!$K$11,MATCH(U455,JC_DS,0),MATCH(T455,CC_DS,0)),
IF(AA455="SALUD",OFFSET('PARÁMETROS'!$K$29,MATCH(U455,JC_SA,0),MATCH(T455,CC_SA,0)),
IF(AA455="MEDIO AMBIENTE",OFFSET('PARÁMETROS'!$K$20,MATCH(U455,JC_MA,0),MATCH(T455,CC_MA,0)),
IF(AA455="Rel. Gubernamentales",OFFSET('PARÁMETROS'!$K$48,MATCH(U455,JC_G,0),MATCH(T455,CC_G,0)),
IF(AA455="OPERACIONAL",OFFSET('PARÁMETROS'!$K$56,MATCH(U455,JC_OP,0),MATCH(T455,CC_OP,0)),
IF(AA455="FINANCIERO",OFFSET('PARÁMETROS'!$K$56,MATCH(U455,JC_FI,0),MATCH(T455,CC_FI,0)),
OFFSET('PARÁMETROS'!$K$38,MATCH(U455,JC_L,0),MATCH(T455,CC_L,0))))))))),"")</f>
        <v/>
      </c>
      <c r="W455" s="130"/>
      <c r="X455" s="135"/>
      <c r="Y455" s="136"/>
      <c r="Z455" s="30"/>
      <c r="AA455" s="31" t="str">
        <f>E443</f>
        <v/>
      </c>
    </row>
    <row r="456" ht="87.0" customHeight="1">
      <c r="A456" s="129"/>
      <c r="B456" s="130"/>
      <c r="C456" s="130"/>
      <c r="D456" s="130"/>
      <c r="E456" s="130"/>
      <c r="F456" s="130"/>
      <c r="G456" s="130"/>
      <c r="H456" s="130"/>
      <c r="I456" s="130"/>
      <c r="J456" s="130"/>
      <c r="K456" s="130"/>
      <c r="L456" s="130"/>
      <c r="M456" s="130"/>
      <c r="N456" s="130"/>
      <c r="O456" s="130"/>
      <c r="P456" s="132"/>
      <c r="Q456" s="134"/>
      <c r="R456" s="134"/>
      <c r="S456" s="134"/>
      <c r="T456" s="135"/>
      <c r="U456" s="135"/>
      <c r="V456" s="135" t="str">
        <f>IFERROR(IF(AA456="SEGURIDAD",OFFSET('PARÁMETROS'!$K$2,MATCH(U456,JC_SE,0),MATCH(T456,CC_SE,0)),
IF(OR(AA456="DSRC/Estratégico",AA456="DSRC/Operativo"),OFFSET('PARÁMETROS'!$K$11,MATCH(U456,JC_DS,0),MATCH(T456,CC_DS,0)),
IF(AA456="SALUD",OFFSET('PARÁMETROS'!$K$29,MATCH(U456,JC_SA,0),MATCH(T456,CC_SA,0)),
IF(AA456="MEDIO AMBIENTE",OFFSET('PARÁMETROS'!$K$20,MATCH(U456,JC_MA,0),MATCH(T456,CC_MA,0)),
IF(AA456="Rel. Gubernamentales",OFFSET('PARÁMETROS'!$K$48,MATCH(U456,JC_G,0),MATCH(T456,CC_G,0)),
IF(AA456="OPERACIONAL",OFFSET('PARÁMETROS'!$K$56,MATCH(U456,JC_OP,0),MATCH(T456,CC_OP,0)),
IF(AA456="FINANCIERO",OFFSET('PARÁMETROS'!$K$56,MATCH(U456,JC_FI,0),MATCH(T456,CC_FI,0)),
OFFSET('PARÁMETROS'!$K$38,MATCH(U456,JC_L,0),MATCH(T456,CC_L,0))))))))),"")</f>
        <v/>
      </c>
      <c r="W456" s="130"/>
      <c r="X456" s="135"/>
      <c r="Y456" s="136"/>
      <c r="Z456" s="30"/>
      <c r="AA456" s="31" t="str">
        <f>E443</f>
        <v/>
      </c>
    </row>
    <row r="457" ht="87.0" customHeight="1">
      <c r="A457" s="129"/>
      <c r="B457" s="130"/>
      <c r="C457" s="130"/>
      <c r="D457" s="130"/>
      <c r="E457" s="130"/>
      <c r="F457" s="130"/>
      <c r="G457" s="130"/>
      <c r="H457" s="130"/>
      <c r="I457" s="130"/>
      <c r="J457" s="130"/>
      <c r="K457" s="130"/>
      <c r="L457" s="130"/>
      <c r="M457" s="130"/>
      <c r="N457" s="130"/>
      <c r="O457" s="130"/>
      <c r="P457" s="132"/>
      <c r="Q457" s="134"/>
      <c r="R457" s="134"/>
      <c r="S457" s="134"/>
      <c r="T457" s="135"/>
      <c r="U457" s="135"/>
      <c r="V457" s="135" t="str">
        <f>IFERROR(IF(AA457="SEGURIDAD",OFFSET('PARÁMETROS'!$K$2,MATCH(U457,JC_SE,0),MATCH(T457,CC_SE,0)),
IF(OR(AA457="DSRC/Estratégico",AA457="DSRC/Operativo"),OFFSET('PARÁMETROS'!$K$11,MATCH(U457,JC_DS,0),MATCH(T457,CC_DS,0)),
IF(AA457="SALUD",OFFSET('PARÁMETROS'!$K$29,MATCH(U457,JC_SA,0),MATCH(T457,CC_SA,0)),
IF(AA457="MEDIO AMBIENTE",OFFSET('PARÁMETROS'!$K$20,MATCH(U457,JC_MA,0),MATCH(T457,CC_MA,0)),
IF(AA457="Rel. Gubernamentales",OFFSET('PARÁMETROS'!$K$48,MATCH(U457,JC_G,0),MATCH(T457,CC_G,0)),
IF(AA457="OPERACIONAL",OFFSET('PARÁMETROS'!$K$56,MATCH(U457,JC_OP,0),MATCH(T457,CC_OP,0)),
IF(AA457="FINANCIERO",OFFSET('PARÁMETROS'!$K$56,MATCH(U457,JC_FI,0),MATCH(T457,CC_FI,0)),
OFFSET('PARÁMETROS'!$K$38,MATCH(U457,JC_L,0),MATCH(T457,CC_L,0))))))))),"")</f>
        <v/>
      </c>
      <c r="W457" s="130"/>
      <c r="X457" s="135"/>
      <c r="Y457" s="136"/>
      <c r="Z457" s="30"/>
      <c r="AA457" s="31" t="str">
        <f>E443</f>
        <v/>
      </c>
    </row>
    <row r="458" ht="87.0" customHeight="1">
      <c r="A458" s="89"/>
      <c r="B458" s="90"/>
      <c r="C458" s="90"/>
      <c r="D458" s="157"/>
      <c r="E458" s="157"/>
      <c r="F458" s="157"/>
      <c r="G458" s="157"/>
      <c r="H458" s="157"/>
      <c r="I458" s="90"/>
      <c r="J458" s="90"/>
      <c r="K458" s="90"/>
      <c r="L458" s="90"/>
      <c r="M458" s="90"/>
      <c r="N458" s="90"/>
      <c r="O458" s="90"/>
      <c r="P458" s="132"/>
      <c r="Q458" s="134"/>
      <c r="R458" s="145"/>
      <c r="S458" s="145"/>
      <c r="T458" s="135"/>
      <c r="U458" s="135"/>
      <c r="V458" s="135" t="str">
        <f>IFERROR(IF(AA458="SEGURIDAD",OFFSET('PARÁMETROS'!$K$2,MATCH(U458,JC_SE,0),MATCH(T458,CC_SE,0)),
IF(OR(AA458="DSRC/Estratégico",AA458="DSRC/Operativo"),OFFSET('PARÁMETROS'!$K$11,MATCH(U458,JC_DS,0),MATCH(T458,CC_DS,0)),
IF(AA458="SALUD",OFFSET('PARÁMETROS'!$K$29,MATCH(U458,JC_SA,0),MATCH(T458,CC_SA,0)),
IF(AA458="MEDIO AMBIENTE",OFFSET('PARÁMETROS'!$K$20,MATCH(U458,JC_MA,0),MATCH(T458,CC_MA,0)),
IF(AA458="Rel. Gubernamentales",OFFSET('PARÁMETROS'!$K$48,MATCH(U458,JC_G,0),MATCH(T458,CC_G,0)),
IF(AA458="OPERACIONAL",OFFSET('PARÁMETROS'!$K$56,MATCH(U458,JC_OP,0),MATCH(T458,CC_OP,0)),
IF(AA458="FINANCIERO",OFFSET('PARÁMETROS'!$K$56,MATCH(U458,JC_FI,0),MATCH(T458,CC_FI,0)),
OFFSET('PARÁMETROS'!$K$38,MATCH(U458,JC_L,0),MATCH(T458,CC_L,0))))))))),"")</f>
        <v/>
      </c>
      <c r="W458" s="90"/>
      <c r="X458" s="135"/>
      <c r="Y458" s="136"/>
      <c r="Z458" s="30"/>
      <c r="AA458" s="31" t="str">
        <f>E443</f>
        <v/>
      </c>
    </row>
    <row r="459" ht="87.0" customHeight="1">
      <c r="A459" s="102"/>
      <c r="B459" s="103"/>
      <c r="C459" s="103"/>
      <c r="D459" s="103"/>
      <c r="E459" s="103"/>
      <c r="F459" s="103"/>
      <c r="G459" s="105"/>
      <c r="H459" s="103"/>
      <c r="I459" s="105"/>
      <c r="J459" s="103"/>
      <c r="K459" s="103"/>
      <c r="L459" s="103" t="str">
        <f>IF(OR(J459&lt;&gt;"",K459&lt;&gt;""),OFFSET('PARÁMETROS'!$B$2,K459,J459),"")</f>
        <v/>
      </c>
      <c r="M459" s="103"/>
      <c r="N459" s="103">
        <f>IFERROR(L459*M459,"")</f>
        <v>0</v>
      </c>
      <c r="O459" s="108" t="str">
        <f>IF(N459="","",IFERROR(IF(N459&lt;=2,"ACEPTABLE",IF(N459&lt;=6,"BAJA",IF(N459&lt;=10,"ACEPTABLE CON REVISIÓN",IF(N459&lt;=15,"SUSTANCIAL","INACEPTABLE")))),""))</f>
        <v>ACEPTABLE</v>
      </c>
      <c r="P459" s="113"/>
      <c r="Q459" s="114"/>
      <c r="R459" s="114"/>
      <c r="S459" s="114"/>
      <c r="T459" s="115"/>
      <c r="U459" s="115"/>
      <c r="V459" s="115" t="str">
        <f>IFERROR(IF(AA459="SEGURIDAD",OFFSET('PARÁMETROS'!$K$2,MATCH(U459,JC_SE,0),MATCH(T459,CC_SE,0)),
IF(OR(AA459="DSRC/Estratégico",AA459="DSRC/Operativo"),OFFSET('PARÁMETROS'!$K$11,MATCH(U459,JC_DS,0),MATCH(T459,CC_DS,0)),
IF(AA459="SALUD",OFFSET('PARÁMETROS'!$K$29,MATCH(U459,JC_SA,0),MATCH(T459,CC_SA,0)),
IF(AA459="MEDIO AMBIENTE",OFFSET('PARÁMETROS'!$K$20,MATCH(U459,JC_MA,0),MATCH(T459,CC_MA,0)),
IF(AA459="Rel. Gubernamentales",OFFSET('PARÁMETROS'!$K$48,MATCH(U459,JC_G,0),MATCH(T459,CC_G,0)),
IF(AA459="OPERACIONAL",OFFSET('PARÁMETROS'!$K$56,MATCH(U459,JC_OP,0),MATCH(T459,CC_OP,0)),
IF(AA459="FINANCIERO",OFFSET('PARÁMETROS'!$K$56,MATCH(U459,JC_FI,0),MATCH(T459,CC_FI,0)),
OFFSET('PARÁMETROS'!$K$38,MATCH(U459,JC_L,0),MATCH(T459,CC_L,0))))))))),"")</f>
        <v/>
      </c>
      <c r="W459" s="108" t="str">
        <f>IF(E459="","",
IF(COUNTA(V459:V474)-COUNTBLANK(V459:V474)=1,
IF(O459="INACEPTABLE",IF(COUNTIF(V459:V474,"Control/Acción Eficaz")&gt;=1,"SUSTANCIAL","INACEPTABLE"),
IF(O459="SUSTANCIAL",IF(COUNTIF(V459:V474,"Control/Acción Eficaz")&gt;=1,"ACEPTABLE CON REVISIÓN","SUSTANCIAL"),
IF(O459="ACEPTABLE CON REVISIÓN",IF(COUNTIF(V459:V474,"Control/Acción Eficaz")&gt;=1,"BAJA","ACEPTABLE CON REVISIÓN"),
IF(O459="BAJA",IF(COUNTIF(V459:V474,"Control/Acción Eficaz")&gt;=1,"ACEPTABLE","BAJA"),)))),
IF(COUNTA(V459:V474)-COUNTBLANK(V459:V474)=2,
IF(O459="INACEPTABLE",IF(COUNTIF(V459:V474,"Control/Acción Eficaz")=2,"ACEPTABLE CON REVISIÓN",
IF(OR(AND(COUNTIF(V459:V474,"Control/Acción Eficaz")=1,COUNTIF(V459:V474,"Control/Acción Satisfactorio")=1),
AND(COUNTIF(V459:V474,"Control/Acción Eficaz")=1,COUNTIF(V459:V474,"Control/Acción No Eficaz")=1)),"SUSTANCIAL","INACEPTABLE")),
IF(O459="SUSTANCIAL",IF(COUNTIF(V459:V474,"Control/Acción Eficaz")=2,"BAJA",
IF(OR(AND(COUNTIF(V459:V474,"Control/Acción Eficaz")=1,COUNTIF(V459:V474,"Control/Acción Satisfactorio")=1),
AND(COUNTIF(V459:V474,"Control/Acción Eficaz")=1,COUNTIF(V459:V474,"Control/Acción No Eficaz")=1)),"ACEPTABLE CON REVISIÓN ","SUSTANCIAL")),
IF(O459="ACEPTABLE CON REVISIÓN",IF(COUNTIF(V459:V474,"Control/Acción Eficaz")=2,"ACEPTABLE",
IF(OR(AND(COUNTIF(V459:V474,"Control/Acción Eficaz")=1,COUNTIF(V459:V474,"Control/Acción Satisfactorio")=1),
AND(COUNTIF(V459:V474,"Control/Acción Eficaz")=1,COUNTIF(V459:V474,"Control/Acción No Eficaz")=1)),"BAJA","ACEPTABLE CON REVISIÓN")),
IF(O459="BAJA",IF(COUNTIF(V459:V474,"Control/Acción Eficaz")&gt;=2,"ACEPTABLE","BAJA"),)))),
IF(COUNTA(V459:V474)-COUNTBLANK(V459:V474)&gt;=3,
IF(O459="INACEPTABLE",
IF(COUNTBLANK(V459:V474)=COUNTA(V459:V474),"",
IF(COUNTIF(V459:V474,"Control/Acción No Eficaz")&gt;=2,"INACEPTABLE",
IF(AND(COUNTIF(V459:V474,"Control/Acción No Eficaz")=0,COUNTIF(V459:V474,"Control/Acción Eficaz")&gt;=2),"ACEPTABLE CON REVISIÓN ","SUSTANCIAL"))),
IF(O459="SUSTANCIAL",
IF(COUNTBLANK(V459:V474)=COUNTA(V459:V474),"",
IF(COUNTIF(V459:V474,"Control/Acción No Eficaz")&gt;=2,"SUSTANCIAL",
IF(AND(COUNTIF(V459:V474,"Control/Acción No Eficaz")=0,COUNTIF(V459:V474,"Control/Acción Eficaz")&gt;=2),"BAJA","ACEPTABLE CON REVISIÓN"))),
IF(O459="ACEPTABLE CON REVISIÓN",
IF(COUNTBLANK(V459:V474)=COUNTA(V459:V474),"",
IF(COUNTIF(V459:V474,"Control/Acción No Eficaz")&gt;=2,"ACEPTABLE CON REVISIÓN",
IF(AND(COUNTIF(V459:V474,"Control/Acción No Eficaz")=0,COUNTIF(V459:V474,"Control/Acción Eficaz")&gt;=2),"ACEPTABLE","BAJA"))),
IF(O459="BAJA",
IF(COUNTBLANK(V459:V474)=COUNTA(V459:V474),"",
IF(AND(COUNTBLANK(V459:V474)&lt;1,COUNTA(V459:V474)=1),
IF(COUNTIF(V459:V474,"Control/Acción No Eficaz")&gt;=2,"BAJA",
IF(AND(COUNTIF(V459:V474,"Control/Acción No Eficaz")=0,COUNTIF(V459:V474,"Control/Acción Eficaz")&gt;=2),"ACEPTABLE","BAJA")),
IF(COUNTIF(V459:V474,"Control/Acción No Eficaz")&gt;=2,"BAJA",
IF(AND(COUNTIF(V459:V474,"Control/Acción No Eficaz")=0,COUNTIF(V459:V474,"Control/Acción Eficaz")&gt;=2),"ACEPTABLE","BAJA")))),
IF(COUNTIF(V459:V474,"")&gt;=5,"",O459))))),
""))))</f>
        <v/>
      </c>
      <c r="X459" s="115"/>
      <c r="Y459" s="128"/>
      <c r="Z459" s="30"/>
      <c r="AA459" s="31" t="str">
        <f>E459</f>
        <v/>
      </c>
    </row>
    <row r="460" ht="87.0" customHeight="1">
      <c r="A460" s="129"/>
      <c r="B460" s="130"/>
      <c r="C460" s="130"/>
      <c r="D460" s="130"/>
      <c r="E460" s="130"/>
      <c r="F460" s="130"/>
      <c r="G460" s="130"/>
      <c r="H460" s="130"/>
      <c r="I460" s="130"/>
      <c r="J460" s="130"/>
      <c r="K460" s="130"/>
      <c r="L460" s="130"/>
      <c r="M460" s="130"/>
      <c r="N460" s="130"/>
      <c r="O460" s="130"/>
      <c r="P460" s="132"/>
      <c r="Q460" s="134"/>
      <c r="R460" s="134"/>
      <c r="S460" s="134"/>
      <c r="T460" s="135"/>
      <c r="U460" s="135"/>
      <c r="V460" s="135" t="str">
        <f>IFERROR(IF(AA460="SEGURIDAD",OFFSET('PARÁMETROS'!$K$2,MATCH(U460,JC_SE,0),MATCH(T460,CC_SE,0)),
IF(OR(AA460="DSRC/Estratégico",AA460="DSRC/Operativo"),OFFSET('PARÁMETROS'!$K$11,MATCH(U460,JC_DS,0),MATCH(T460,CC_DS,0)),
IF(AA460="SALUD",OFFSET('PARÁMETROS'!$K$29,MATCH(U460,JC_SA,0),MATCH(T460,CC_SA,0)),
IF(AA460="MEDIO AMBIENTE",OFFSET('PARÁMETROS'!$K$20,MATCH(U460,JC_MA,0),MATCH(T460,CC_MA,0)),
IF(AA460="Rel. Gubernamentales",OFFSET('PARÁMETROS'!$K$48,MATCH(U460,JC_G,0),MATCH(T460,CC_G,0)),
IF(AA460="OPERACIONAL",OFFSET('PARÁMETROS'!$K$56,MATCH(U460,JC_OP,0),MATCH(T460,CC_OP,0)),
IF(AA460="FINANCIERO",OFFSET('PARÁMETROS'!$K$56,MATCH(U460,JC_FI,0),MATCH(T460,CC_FI,0)),
OFFSET('PARÁMETROS'!$K$38,MATCH(U460,JC_L,0),MATCH(T460,CC_L,0))))))))),"")</f>
        <v/>
      </c>
      <c r="W460" s="130"/>
      <c r="X460" s="135"/>
      <c r="Y460" s="136"/>
      <c r="Z460" s="30"/>
      <c r="AA460" s="31" t="str">
        <f>E459</f>
        <v/>
      </c>
    </row>
    <row r="461" ht="87.0" customHeight="1">
      <c r="A461" s="129"/>
      <c r="B461" s="130"/>
      <c r="C461" s="130"/>
      <c r="D461" s="130"/>
      <c r="E461" s="130"/>
      <c r="F461" s="130"/>
      <c r="G461" s="130"/>
      <c r="H461" s="130"/>
      <c r="I461" s="130"/>
      <c r="J461" s="130"/>
      <c r="K461" s="130"/>
      <c r="L461" s="130"/>
      <c r="M461" s="130"/>
      <c r="N461" s="130"/>
      <c r="O461" s="130"/>
      <c r="P461" s="132"/>
      <c r="Q461" s="134"/>
      <c r="R461" s="134"/>
      <c r="S461" s="134"/>
      <c r="T461" s="135"/>
      <c r="U461" s="135"/>
      <c r="V461" s="135" t="str">
        <f>IFERROR(IF(AA461="SEGURIDAD",OFFSET('PARÁMETROS'!$K$2,MATCH(U461,JC_SE,0),MATCH(T461,CC_SE,0)),
IF(OR(AA461="DSRC/Estratégico",AA461="DSRC/Operativo"),OFFSET('PARÁMETROS'!$K$11,MATCH(U461,JC_DS,0),MATCH(T461,CC_DS,0)),
IF(AA461="SALUD",OFFSET('PARÁMETROS'!$K$29,MATCH(U461,JC_SA,0),MATCH(T461,CC_SA,0)),
IF(AA461="MEDIO AMBIENTE",OFFSET('PARÁMETROS'!$K$20,MATCH(U461,JC_MA,0),MATCH(T461,CC_MA,0)),
IF(AA461="Rel. Gubernamentales",OFFSET('PARÁMETROS'!$K$48,MATCH(U461,JC_G,0),MATCH(T461,CC_G,0)),
IF(AA461="OPERACIONAL",OFFSET('PARÁMETROS'!$K$56,MATCH(U461,JC_OP,0),MATCH(T461,CC_OP,0)),
IF(AA461="FINANCIERO",OFFSET('PARÁMETROS'!$K$56,MATCH(U461,JC_FI,0),MATCH(T461,CC_FI,0)),
OFFSET('PARÁMETROS'!$K$38,MATCH(U461,JC_L,0),MATCH(T461,CC_L,0))))))))),"")</f>
        <v/>
      </c>
      <c r="W461" s="130"/>
      <c r="X461" s="135"/>
      <c r="Y461" s="136"/>
      <c r="Z461" s="30"/>
      <c r="AA461" s="31" t="str">
        <f>E459</f>
        <v/>
      </c>
    </row>
    <row r="462" ht="87.0" customHeight="1">
      <c r="A462" s="129"/>
      <c r="B462" s="130"/>
      <c r="C462" s="130"/>
      <c r="D462" s="130"/>
      <c r="E462" s="130"/>
      <c r="F462" s="130"/>
      <c r="G462" s="130"/>
      <c r="H462" s="130"/>
      <c r="I462" s="130"/>
      <c r="J462" s="130"/>
      <c r="K462" s="130"/>
      <c r="L462" s="130"/>
      <c r="M462" s="130"/>
      <c r="N462" s="130"/>
      <c r="O462" s="130"/>
      <c r="P462" s="132"/>
      <c r="Q462" s="134"/>
      <c r="R462" s="134"/>
      <c r="S462" s="134"/>
      <c r="T462" s="135"/>
      <c r="U462" s="135"/>
      <c r="V462" s="135" t="str">
        <f>IFERROR(IF(AA462="SEGURIDAD",OFFSET('PARÁMETROS'!$K$2,MATCH(U462,JC_SE,0),MATCH(T462,CC_SE,0)),
IF(OR(AA462="DSRC/Estratégico",AA462="DSRC/Operativo"),OFFSET('PARÁMETROS'!$K$11,MATCH(U462,JC_DS,0),MATCH(T462,CC_DS,0)),
IF(AA462="SALUD",OFFSET('PARÁMETROS'!$K$29,MATCH(U462,JC_SA,0),MATCH(T462,CC_SA,0)),
IF(AA462="MEDIO AMBIENTE",OFFSET('PARÁMETROS'!$K$20,MATCH(U462,JC_MA,0),MATCH(T462,CC_MA,0)),
IF(AA462="Rel. Gubernamentales",OFFSET('PARÁMETROS'!$K$48,MATCH(U462,JC_G,0),MATCH(T462,CC_G,0)),
IF(AA462="OPERACIONAL",OFFSET('PARÁMETROS'!$K$56,MATCH(U462,JC_OP,0),MATCH(T462,CC_OP,0)),
IF(AA462="FINANCIERO",OFFSET('PARÁMETROS'!$K$56,MATCH(U462,JC_FI,0),MATCH(T462,CC_FI,0)),
OFFSET('PARÁMETROS'!$K$38,MATCH(U462,JC_L,0),MATCH(T462,CC_L,0))))))))),"")</f>
        <v/>
      </c>
      <c r="W462" s="130"/>
      <c r="X462" s="135"/>
      <c r="Y462" s="136"/>
      <c r="Z462" s="30"/>
      <c r="AA462" s="31" t="str">
        <f>E459</f>
        <v/>
      </c>
    </row>
    <row r="463" ht="87.0" customHeight="1">
      <c r="A463" s="129"/>
      <c r="B463" s="130"/>
      <c r="C463" s="130"/>
      <c r="D463" s="130"/>
      <c r="E463" s="130"/>
      <c r="F463" s="130"/>
      <c r="G463" s="130"/>
      <c r="H463" s="130"/>
      <c r="I463" s="130"/>
      <c r="J463" s="130"/>
      <c r="K463" s="130"/>
      <c r="L463" s="130"/>
      <c r="M463" s="130"/>
      <c r="N463" s="130"/>
      <c r="O463" s="130"/>
      <c r="P463" s="132"/>
      <c r="Q463" s="134"/>
      <c r="R463" s="134"/>
      <c r="S463" s="134"/>
      <c r="T463" s="135"/>
      <c r="U463" s="135"/>
      <c r="V463" s="135" t="str">
        <f>IFERROR(IF(AA463="SEGURIDAD",OFFSET('PARÁMETROS'!$K$2,MATCH(U463,JC_SE,0),MATCH(T463,CC_SE,0)),
IF(OR(AA463="DSRC/Estratégico",AA463="DSRC/Operativo"),OFFSET('PARÁMETROS'!$K$11,MATCH(U463,JC_DS,0),MATCH(T463,CC_DS,0)),
IF(AA463="SALUD",OFFSET('PARÁMETROS'!$K$29,MATCH(U463,JC_SA,0),MATCH(T463,CC_SA,0)),
IF(AA463="MEDIO AMBIENTE",OFFSET('PARÁMETROS'!$K$20,MATCH(U463,JC_MA,0),MATCH(T463,CC_MA,0)),
IF(AA463="Rel. Gubernamentales",OFFSET('PARÁMETROS'!$K$48,MATCH(U463,JC_G,0),MATCH(T463,CC_G,0)),
IF(AA463="OPERACIONAL",OFFSET('PARÁMETROS'!$K$56,MATCH(U463,JC_OP,0),MATCH(T463,CC_OP,0)),
IF(AA463="FINANCIERO",OFFSET('PARÁMETROS'!$K$56,MATCH(U463,JC_FI,0),MATCH(T463,CC_FI,0)),
OFFSET('PARÁMETROS'!$K$38,MATCH(U463,JC_L,0),MATCH(T463,CC_L,0))))))))),"")</f>
        <v/>
      </c>
      <c r="W463" s="130"/>
      <c r="X463" s="135"/>
      <c r="Y463" s="136"/>
      <c r="Z463" s="30"/>
      <c r="AA463" s="31" t="str">
        <f>E459</f>
        <v/>
      </c>
    </row>
    <row r="464" ht="87.0" customHeight="1">
      <c r="A464" s="129"/>
      <c r="B464" s="130"/>
      <c r="C464" s="130"/>
      <c r="D464" s="130"/>
      <c r="E464" s="130"/>
      <c r="F464" s="130"/>
      <c r="G464" s="130"/>
      <c r="H464" s="130"/>
      <c r="I464" s="130"/>
      <c r="J464" s="130"/>
      <c r="K464" s="130"/>
      <c r="L464" s="130"/>
      <c r="M464" s="130"/>
      <c r="N464" s="130"/>
      <c r="O464" s="130"/>
      <c r="P464" s="132"/>
      <c r="Q464" s="134"/>
      <c r="R464" s="134"/>
      <c r="S464" s="134"/>
      <c r="T464" s="135"/>
      <c r="U464" s="135"/>
      <c r="V464" s="135" t="str">
        <f>IFERROR(IF(AA464="SEGURIDAD",OFFSET('PARÁMETROS'!$K$2,MATCH(U464,JC_SE,0),MATCH(T464,CC_SE,0)),
IF(OR(AA464="DSRC/Estratégico",AA464="DSRC/Operativo"),OFFSET('PARÁMETROS'!$K$11,MATCH(U464,JC_DS,0),MATCH(T464,CC_DS,0)),
IF(AA464="SALUD",OFFSET('PARÁMETROS'!$K$29,MATCH(U464,JC_SA,0),MATCH(T464,CC_SA,0)),
IF(AA464="MEDIO AMBIENTE",OFFSET('PARÁMETROS'!$K$20,MATCH(U464,JC_MA,0),MATCH(T464,CC_MA,0)),
IF(AA464="Rel. Gubernamentales",OFFSET('PARÁMETROS'!$K$48,MATCH(U464,JC_G,0),MATCH(T464,CC_G,0)),
IF(AA464="OPERACIONAL",OFFSET('PARÁMETROS'!$K$56,MATCH(U464,JC_OP,0),MATCH(T464,CC_OP,0)),
IF(AA464="FINANCIERO",OFFSET('PARÁMETROS'!$K$56,MATCH(U464,JC_FI,0),MATCH(T464,CC_FI,0)),
OFFSET('PARÁMETROS'!$K$38,MATCH(U464,JC_L,0),MATCH(T464,CC_L,0))))))))),"")</f>
        <v/>
      </c>
      <c r="W464" s="130"/>
      <c r="X464" s="135"/>
      <c r="Y464" s="136"/>
      <c r="Z464" s="30"/>
      <c r="AA464" s="31" t="str">
        <f>E459</f>
        <v/>
      </c>
    </row>
    <row r="465" ht="87.0" customHeight="1">
      <c r="A465" s="129"/>
      <c r="B465" s="130"/>
      <c r="C465" s="130"/>
      <c r="D465" s="130"/>
      <c r="E465" s="130"/>
      <c r="F465" s="130"/>
      <c r="G465" s="130"/>
      <c r="H465" s="130"/>
      <c r="I465" s="130"/>
      <c r="J465" s="130"/>
      <c r="K465" s="130"/>
      <c r="L465" s="130"/>
      <c r="M465" s="130"/>
      <c r="N465" s="130"/>
      <c r="O465" s="130"/>
      <c r="P465" s="132"/>
      <c r="Q465" s="134"/>
      <c r="R465" s="134"/>
      <c r="S465" s="134"/>
      <c r="T465" s="135"/>
      <c r="U465" s="135"/>
      <c r="V465" s="135" t="str">
        <f>IFERROR(IF(AA465="SEGURIDAD",OFFSET('PARÁMETROS'!$K$2,MATCH(U465,JC_SE,0),MATCH(T465,CC_SE,0)),
IF(OR(AA465="DSRC/Estratégico",AA465="DSRC/Operativo"),OFFSET('PARÁMETROS'!$K$11,MATCH(U465,JC_DS,0),MATCH(T465,CC_DS,0)),
IF(AA465="SALUD",OFFSET('PARÁMETROS'!$K$29,MATCH(U465,JC_SA,0),MATCH(T465,CC_SA,0)),
IF(AA465="MEDIO AMBIENTE",OFFSET('PARÁMETROS'!$K$20,MATCH(U465,JC_MA,0),MATCH(T465,CC_MA,0)),
IF(AA465="Rel. Gubernamentales",OFFSET('PARÁMETROS'!$K$48,MATCH(U465,JC_G,0),MATCH(T465,CC_G,0)),
IF(AA465="OPERACIONAL",OFFSET('PARÁMETROS'!$K$56,MATCH(U465,JC_OP,0),MATCH(T465,CC_OP,0)),
IF(AA465="FINANCIERO",OFFSET('PARÁMETROS'!$K$56,MATCH(U465,JC_FI,0),MATCH(T465,CC_FI,0)),
OFFSET('PARÁMETROS'!$K$38,MATCH(U465,JC_L,0),MATCH(T465,CC_L,0))))))))),"")</f>
        <v/>
      </c>
      <c r="W465" s="130"/>
      <c r="X465" s="135"/>
      <c r="Y465" s="136"/>
      <c r="Z465" s="30"/>
      <c r="AA465" s="31" t="str">
        <f>E459</f>
        <v/>
      </c>
    </row>
    <row r="466" ht="87.0" customHeight="1">
      <c r="A466" s="129"/>
      <c r="B466" s="130"/>
      <c r="C466" s="130"/>
      <c r="D466" s="130"/>
      <c r="E466" s="130"/>
      <c r="F466" s="130"/>
      <c r="G466" s="130"/>
      <c r="H466" s="130"/>
      <c r="I466" s="130"/>
      <c r="J466" s="130"/>
      <c r="K466" s="130"/>
      <c r="L466" s="130"/>
      <c r="M466" s="130"/>
      <c r="N466" s="130"/>
      <c r="O466" s="130"/>
      <c r="P466" s="132"/>
      <c r="Q466" s="134"/>
      <c r="R466" s="134"/>
      <c r="S466" s="134"/>
      <c r="T466" s="135"/>
      <c r="U466" s="135"/>
      <c r="V466" s="135" t="str">
        <f>IFERROR(IF(AA466="SEGURIDAD",OFFSET('PARÁMETROS'!$K$2,MATCH(U466,JC_SE,0),MATCH(T466,CC_SE,0)),
IF(OR(AA466="DSRC/Estratégico",AA466="DSRC/Operativo"),OFFSET('PARÁMETROS'!$K$11,MATCH(U466,JC_DS,0),MATCH(T466,CC_DS,0)),
IF(AA466="SALUD",OFFSET('PARÁMETROS'!$K$29,MATCH(U466,JC_SA,0),MATCH(T466,CC_SA,0)),
IF(AA466="MEDIO AMBIENTE",OFFSET('PARÁMETROS'!$K$20,MATCH(U466,JC_MA,0),MATCH(T466,CC_MA,0)),
IF(AA466="Rel. Gubernamentales",OFFSET('PARÁMETROS'!$K$48,MATCH(U466,JC_G,0),MATCH(T466,CC_G,0)),
IF(AA466="OPERACIONAL",OFFSET('PARÁMETROS'!$K$56,MATCH(U466,JC_OP,0),MATCH(T466,CC_OP,0)),
IF(AA466="FINANCIERO",OFFSET('PARÁMETROS'!$K$56,MATCH(U466,JC_FI,0),MATCH(T466,CC_FI,0)),
OFFSET('PARÁMETROS'!$K$38,MATCH(U466,JC_L,0),MATCH(T466,CC_L,0))))))))),"")</f>
        <v/>
      </c>
      <c r="W466" s="130"/>
      <c r="X466" s="135"/>
      <c r="Y466" s="136"/>
      <c r="Z466" s="30"/>
      <c r="AA466" s="31" t="str">
        <f>E459</f>
        <v/>
      </c>
    </row>
    <row r="467" ht="87.0" customHeight="1">
      <c r="A467" s="129"/>
      <c r="B467" s="130"/>
      <c r="C467" s="130"/>
      <c r="D467" s="130"/>
      <c r="E467" s="130"/>
      <c r="F467" s="130"/>
      <c r="G467" s="130"/>
      <c r="H467" s="130"/>
      <c r="I467" s="130"/>
      <c r="J467" s="130"/>
      <c r="K467" s="130"/>
      <c r="L467" s="130"/>
      <c r="M467" s="130"/>
      <c r="N467" s="130"/>
      <c r="O467" s="130"/>
      <c r="P467" s="132"/>
      <c r="Q467" s="134"/>
      <c r="R467" s="134"/>
      <c r="S467" s="134"/>
      <c r="T467" s="135"/>
      <c r="U467" s="135"/>
      <c r="V467" s="135" t="str">
        <f>IFERROR(IF(AA467="SEGURIDAD",OFFSET('PARÁMETROS'!$K$2,MATCH(U467,JC_SE,0),MATCH(T467,CC_SE,0)),
IF(OR(AA467="DSRC/Estratégico",AA467="DSRC/Operativo"),OFFSET('PARÁMETROS'!$K$11,MATCH(U467,JC_DS,0),MATCH(T467,CC_DS,0)),
IF(AA467="SALUD",OFFSET('PARÁMETROS'!$K$29,MATCH(U467,JC_SA,0),MATCH(T467,CC_SA,0)),
IF(AA467="MEDIO AMBIENTE",OFFSET('PARÁMETROS'!$K$20,MATCH(U467,JC_MA,0),MATCH(T467,CC_MA,0)),
IF(AA467="Rel. Gubernamentales",OFFSET('PARÁMETROS'!$K$48,MATCH(U467,JC_G,0),MATCH(T467,CC_G,0)),
IF(AA467="OPERACIONAL",OFFSET('PARÁMETROS'!$K$56,MATCH(U467,JC_OP,0),MATCH(T467,CC_OP,0)),
IF(AA467="FINANCIERO",OFFSET('PARÁMETROS'!$K$56,MATCH(U467,JC_FI,0),MATCH(T467,CC_FI,0)),
OFFSET('PARÁMETROS'!$K$38,MATCH(U467,JC_L,0),MATCH(T467,CC_L,0))))))))),"")</f>
        <v/>
      </c>
      <c r="W467" s="130"/>
      <c r="X467" s="135"/>
      <c r="Y467" s="136"/>
      <c r="Z467" s="30"/>
      <c r="AA467" s="31" t="str">
        <f>E459</f>
        <v/>
      </c>
    </row>
    <row r="468" ht="87.0" customHeight="1">
      <c r="A468" s="129"/>
      <c r="B468" s="130"/>
      <c r="C468" s="130"/>
      <c r="D468" s="130"/>
      <c r="E468" s="130"/>
      <c r="F468" s="130"/>
      <c r="G468" s="130"/>
      <c r="H468" s="130"/>
      <c r="I468" s="130"/>
      <c r="J468" s="130"/>
      <c r="K468" s="130"/>
      <c r="L468" s="130"/>
      <c r="M468" s="130"/>
      <c r="N468" s="130"/>
      <c r="O468" s="130"/>
      <c r="P468" s="132"/>
      <c r="Q468" s="134"/>
      <c r="R468" s="134"/>
      <c r="S468" s="134"/>
      <c r="T468" s="135"/>
      <c r="U468" s="135"/>
      <c r="V468" s="135" t="str">
        <f>IFERROR(IF(AA468="SEGURIDAD",OFFSET('PARÁMETROS'!$K$2,MATCH(U468,JC_SE,0),MATCH(T468,CC_SE,0)),
IF(OR(AA468="DSRC/Estratégico",AA468="DSRC/Operativo"),OFFSET('PARÁMETROS'!$K$11,MATCH(U468,JC_DS,0),MATCH(T468,CC_DS,0)),
IF(AA468="SALUD",OFFSET('PARÁMETROS'!$K$29,MATCH(U468,JC_SA,0),MATCH(T468,CC_SA,0)),
IF(AA468="MEDIO AMBIENTE",OFFSET('PARÁMETROS'!$K$20,MATCH(U468,JC_MA,0),MATCH(T468,CC_MA,0)),
IF(AA468="Rel. Gubernamentales",OFFSET('PARÁMETROS'!$K$48,MATCH(U468,JC_G,0),MATCH(T468,CC_G,0)),
IF(AA468="OPERACIONAL",OFFSET('PARÁMETROS'!$K$56,MATCH(U468,JC_OP,0),MATCH(T468,CC_OP,0)),
IF(AA468="FINANCIERO",OFFSET('PARÁMETROS'!$K$56,MATCH(U468,JC_FI,0),MATCH(T468,CC_FI,0)),
OFFSET('PARÁMETROS'!$K$38,MATCH(U468,JC_L,0),MATCH(T468,CC_L,0))))))))),"")</f>
        <v/>
      </c>
      <c r="W468" s="130"/>
      <c r="X468" s="135"/>
      <c r="Y468" s="136"/>
      <c r="Z468" s="30"/>
      <c r="AA468" s="31" t="str">
        <f>E459</f>
        <v/>
      </c>
    </row>
    <row r="469" ht="87.0" customHeight="1">
      <c r="A469" s="129"/>
      <c r="B469" s="130"/>
      <c r="C469" s="130"/>
      <c r="D469" s="130"/>
      <c r="E469" s="130"/>
      <c r="F469" s="130"/>
      <c r="G469" s="130"/>
      <c r="H469" s="130"/>
      <c r="I469" s="130"/>
      <c r="J469" s="130"/>
      <c r="K469" s="130"/>
      <c r="L469" s="130"/>
      <c r="M469" s="130"/>
      <c r="N469" s="130"/>
      <c r="O469" s="130"/>
      <c r="P469" s="132"/>
      <c r="Q469" s="134"/>
      <c r="R469" s="134"/>
      <c r="S469" s="134"/>
      <c r="T469" s="135"/>
      <c r="U469" s="135"/>
      <c r="V469" s="135" t="str">
        <f>IFERROR(IF(AA469="SEGURIDAD",OFFSET('PARÁMETROS'!$K$2,MATCH(U469,JC_SE,0),MATCH(T469,CC_SE,0)),
IF(OR(AA469="DSRC/Estratégico",AA469="DSRC/Operativo"),OFFSET('PARÁMETROS'!$K$11,MATCH(U469,JC_DS,0),MATCH(T469,CC_DS,0)),
IF(AA469="SALUD",OFFSET('PARÁMETROS'!$K$29,MATCH(U469,JC_SA,0),MATCH(T469,CC_SA,0)),
IF(AA469="MEDIO AMBIENTE",OFFSET('PARÁMETROS'!$K$20,MATCH(U469,JC_MA,0),MATCH(T469,CC_MA,0)),
IF(AA469="Rel. Gubernamentales",OFFSET('PARÁMETROS'!$K$48,MATCH(U469,JC_G,0),MATCH(T469,CC_G,0)),
IF(AA469="OPERACIONAL",OFFSET('PARÁMETROS'!$K$56,MATCH(U469,JC_OP,0),MATCH(T469,CC_OP,0)),
IF(AA469="FINANCIERO",OFFSET('PARÁMETROS'!$K$56,MATCH(U469,JC_FI,0),MATCH(T469,CC_FI,0)),
OFFSET('PARÁMETROS'!$K$38,MATCH(U469,JC_L,0),MATCH(T469,CC_L,0))))))))),"")</f>
        <v/>
      </c>
      <c r="W469" s="130"/>
      <c r="X469" s="135"/>
      <c r="Y469" s="136"/>
      <c r="Z469" s="30"/>
      <c r="AA469" s="31" t="str">
        <f>E459</f>
        <v/>
      </c>
    </row>
    <row r="470" ht="87.0" customHeight="1">
      <c r="A470" s="129"/>
      <c r="B470" s="130"/>
      <c r="C470" s="130"/>
      <c r="D470" s="130"/>
      <c r="E470" s="130"/>
      <c r="F470" s="130"/>
      <c r="G470" s="130"/>
      <c r="H470" s="130"/>
      <c r="I470" s="130"/>
      <c r="J470" s="130"/>
      <c r="K470" s="130"/>
      <c r="L470" s="130"/>
      <c r="M470" s="130"/>
      <c r="N470" s="130"/>
      <c r="O470" s="130"/>
      <c r="P470" s="132"/>
      <c r="Q470" s="134"/>
      <c r="R470" s="134"/>
      <c r="S470" s="134"/>
      <c r="T470" s="135"/>
      <c r="U470" s="135"/>
      <c r="V470" s="135" t="str">
        <f>IFERROR(IF(AA470="SEGURIDAD",OFFSET('PARÁMETROS'!$K$2,MATCH(U470,JC_SE,0),MATCH(T470,CC_SE,0)),
IF(OR(AA470="DSRC/Estratégico",AA470="DSRC/Operativo"),OFFSET('PARÁMETROS'!$K$11,MATCH(U470,JC_DS,0),MATCH(T470,CC_DS,0)),
IF(AA470="SALUD",OFFSET('PARÁMETROS'!$K$29,MATCH(U470,JC_SA,0),MATCH(T470,CC_SA,0)),
IF(AA470="MEDIO AMBIENTE",OFFSET('PARÁMETROS'!$K$20,MATCH(U470,JC_MA,0),MATCH(T470,CC_MA,0)),
IF(AA470="Rel. Gubernamentales",OFFSET('PARÁMETROS'!$K$48,MATCH(U470,JC_G,0),MATCH(T470,CC_G,0)),
IF(AA470="OPERACIONAL",OFFSET('PARÁMETROS'!$K$56,MATCH(U470,JC_OP,0),MATCH(T470,CC_OP,0)),
IF(AA470="FINANCIERO",OFFSET('PARÁMETROS'!$K$56,MATCH(U470,JC_FI,0),MATCH(T470,CC_FI,0)),
OFFSET('PARÁMETROS'!$K$38,MATCH(U470,JC_L,0),MATCH(T470,CC_L,0))))))))),"")</f>
        <v/>
      </c>
      <c r="W470" s="130"/>
      <c r="X470" s="135"/>
      <c r="Y470" s="136"/>
      <c r="Z470" s="30"/>
      <c r="AA470" s="31" t="str">
        <f>E459</f>
        <v/>
      </c>
    </row>
    <row r="471" ht="87.0" customHeight="1">
      <c r="A471" s="129"/>
      <c r="B471" s="130"/>
      <c r="C471" s="130"/>
      <c r="D471" s="130"/>
      <c r="E471" s="130"/>
      <c r="F471" s="130"/>
      <c r="G471" s="130"/>
      <c r="H471" s="130"/>
      <c r="I471" s="130"/>
      <c r="J471" s="130"/>
      <c r="K471" s="130"/>
      <c r="L471" s="130"/>
      <c r="M471" s="130"/>
      <c r="N471" s="130"/>
      <c r="O471" s="130"/>
      <c r="P471" s="132"/>
      <c r="Q471" s="134"/>
      <c r="R471" s="134"/>
      <c r="S471" s="134"/>
      <c r="T471" s="135"/>
      <c r="U471" s="135"/>
      <c r="V471" s="135" t="str">
        <f>IFERROR(IF(AA471="SEGURIDAD",OFFSET('PARÁMETROS'!$K$2,MATCH(U471,JC_SE,0),MATCH(T471,CC_SE,0)),
IF(OR(AA471="DSRC/Estratégico",AA471="DSRC/Operativo"),OFFSET('PARÁMETROS'!$K$11,MATCH(U471,JC_DS,0),MATCH(T471,CC_DS,0)),
IF(AA471="SALUD",OFFSET('PARÁMETROS'!$K$29,MATCH(U471,JC_SA,0),MATCH(T471,CC_SA,0)),
IF(AA471="MEDIO AMBIENTE",OFFSET('PARÁMETROS'!$K$20,MATCH(U471,JC_MA,0),MATCH(T471,CC_MA,0)),
IF(AA471="Rel. Gubernamentales",OFFSET('PARÁMETROS'!$K$48,MATCH(U471,JC_G,0),MATCH(T471,CC_G,0)),
IF(AA471="OPERACIONAL",OFFSET('PARÁMETROS'!$K$56,MATCH(U471,JC_OP,0),MATCH(T471,CC_OP,0)),
IF(AA471="FINANCIERO",OFFSET('PARÁMETROS'!$K$56,MATCH(U471,JC_FI,0),MATCH(T471,CC_FI,0)),
OFFSET('PARÁMETROS'!$K$38,MATCH(U471,JC_L,0),MATCH(T471,CC_L,0))))))))),"")</f>
        <v/>
      </c>
      <c r="W471" s="130"/>
      <c r="X471" s="135"/>
      <c r="Y471" s="136"/>
      <c r="Z471" s="30"/>
      <c r="AA471" s="31" t="str">
        <f>E459</f>
        <v/>
      </c>
    </row>
    <row r="472" ht="87.0" customHeight="1">
      <c r="A472" s="129"/>
      <c r="B472" s="130"/>
      <c r="C472" s="130"/>
      <c r="D472" s="130"/>
      <c r="E472" s="130"/>
      <c r="F472" s="130"/>
      <c r="G472" s="130"/>
      <c r="H472" s="130"/>
      <c r="I472" s="130"/>
      <c r="J472" s="130"/>
      <c r="K472" s="130"/>
      <c r="L472" s="130"/>
      <c r="M472" s="130"/>
      <c r="N472" s="130"/>
      <c r="O472" s="130"/>
      <c r="P472" s="132"/>
      <c r="Q472" s="134"/>
      <c r="R472" s="134"/>
      <c r="S472" s="134"/>
      <c r="T472" s="135"/>
      <c r="U472" s="135"/>
      <c r="V472" s="135" t="str">
        <f>IFERROR(IF(AA472="SEGURIDAD",OFFSET('PARÁMETROS'!$K$2,MATCH(U472,JC_SE,0),MATCH(T472,CC_SE,0)),
IF(OR(AA472="DSRC/Estratégico",AA472="DSRC/Operativo"),OFFSET('PARÁMETROS'!$K$11,MATCH(U472,JC_DS,0),MATCH(T472,CC_DS,0)),
IF(AA472="SALUD",OFFSET('PARÁMETROS'!$K$29,MATCH(U472,JC_SA,0),MATCH(T472,CC_SA,0)),
IF(AA472="MEDIO AMBIENTE",OFFSET('PARÁMETROS'!$K$20,MATCH(U472,JC_MA,0),MATCH(T472,CC_MA,0)),
IF(AA472="Rel. Gubernamentales",OFFSET('PARÁMETROS'!$K$48,MATCH(U472,JC_G,0),MATCH(T472,CC_G,0)),
IF(AA472="OPERACIONAL",OFFSET('PARÁMETROS'!$K$56,MATCH(U472,JC_OP,0),MATCH(T472,CC_OP,0)),
IF(AA472="FINANCIERO",OFFSET('PARÁMETROS'!$K$56,MATCH(U472,JC_FI,0),MATCH(T472,CC_FI,0)),
OFFSET('PARÁMETROS'!$K$38,MATCH(U472,JC_L,0),MATCH(T472,CC_L,0))))))))),"")</f>
        <v/>
      </c>
      <c r="W472" s="130"/>
      <c r="X472" s="135"/>
      <c r="Y472" s="136"/>
      <c r="Z472" s="30"/>
      <c r="AA472" s="31" t="str">
        <f>E459</f>
        <v/>
      </c>
    </row>
    <row r="473" ht="87.0" customHeight="1">
      <c r="A473" s="129"/>
      <c r="B473" s="130"/>
      <c r="C473" s="130"/>
      <c r="D473" s="130"/>
      <c r="E473" s="130"/>
      <c r="F473" s="130"/>
      <c r="G473" s="130"/>
      <c r="H473" s="130"/>
      <c r="I473" s="130"/>
      <c r="J473" s="130"/>
      <c r="K473" s="130"/>
      <c r="L473" s="130"/>
      <c r="M473" s="130"/>
      <c r="N473" s="130"/>
      <c r="O473" s="130"/>
      <c r="P473" s="132"/>
      <c r="Q473" s="134"/>
      <c r="R473" s="134"/>
      <c r="S473" s="134"/>
      <c r="T473" s="135"/>
      <c r="U473" s="135"/>
      <c r="V473" s="135" t="str">
        <f>IFERROR(IF(AA473="SEGURIDAD",OFFSET('PARÁMETROS'!$K$2,MATCH(U473,JC_SE,0),MATCH(T473,CC_SE,0)),
IF(OR(AA473="DSRC/Estratégico",AA473="DSRC/Operativo"),OFFSET('PARÁMETROS'!$K$11,MATCH(U473,JC_DS,0),MATCH(T473,CC_DS,0)),
IF(AA473="SALUD",OFFSET('PARÁMETROS'!$K$29,MATCH(U473,JC_SA,0),MATCH(T473,CC_SA,0)),
IF(AA473="MEDIO AMBIENTE",OFFSET('PARÁMETROS'!$K$20,MATCH(U473,JC_MA,0),MATCH(T473,CC_MA,0)),
IF(AA473="Rel. Gubernamentales",OFFSET('PARÁMETROS'!$K$48,MATCH(U473,JC_G,0),MATCH(T473,CC_G,0)),
IF(AA473="OPERACIONAL",OFFSET('PARÁMETROS'!$K$56,MATCH(U473,JC_OP,0),MATCH(T473,CC_OP,0)),
IF(AA473="FINANCIERO",OFFSET('PARÁMETROS'!$K$56,MATCH(U473,JC_FI,0),MATCH(T473,CC_FI,0)),
OFFSET('PARÁMETROS'!$K$38,MATCH(U473,JC_L,0),MATCH(T473,CC_L,0))))))))),"")</f>
        <v/>
      </c>
      <c r="W473" s="130"/>
      <c r="X473" s="135"/>
      <c r="Y473" s="136"/>
      <c r="Z473" s="30"/>
      <c r="AA473" s="31" t="str">
        <f>E459</f>
        <v/>
      </c>
    </row>
    <row r="474" ht="87.0" customHeight="1">
      <c r="A474" s="89"/>
      <c r="B474" s="90"/>
      <c r="C474" s="90"/>
      <c r="D474" s="157"/>
      <c r="E474" s="157"/>
      <c r="F474" s="157"/>
      <c r="G474" s="157"/>
      <c r="H474" s="157"/>
      <c r="I474" s="90"/>
      <c r="J474" s="90"/>
      <c r="K474" s="90"/>
      <c r="L474" s="90"/>
      <c r="M474" s="90"/>
      <c r="N474" s="90"/>
      <c r="O474" s="90"/>
      <c r="P474" s="132"/>
      <c r="Q474" s="134"/>
      <c r="R474" s="145"/>
      <c r="S474" s="145"/>
      <c r="T474" s="135"/>
      <c r="U474" s="135"/>
      <c r="V474" s="135" t="str">
        <f>IFERROR(IF(AA474="SEGURIDAD",OFFSET('PARÁMETROS'!$K$2,MATCH(U474,JC_SE,0),MATCH(T474,CC_SE,0)),
IF(OR(AA474="DSRC/Estratégico",AA474="DSRC/Operativo"),OFFSET('PARÁMETROS'!$K$11,MATCH(U474,JC_DS,0),MATCH(T474,CC_DS,0)),
IF(AA474="SALUD",OFFSET('PARÁMETROS'!$K$29,MATCH(U474,JC_SA,0),MATCH(T474,CC_SA,0)),
IF(AA474="MEDIO AMBIENTE",OFFSET('PARÁMETROS'!$K$20,MATCH(U474,JC_MA,0),MATCH(T474,CC_MA,0)),
IF(AA474="Rel. Gubernamentales",OFFSET('PARÁMETROS'!$K$48,MATCH(U474,JC_G,0),MATCH(T474,CC_G,0)),
IF(AA474="OPERACIONAL",OFFSET('PARÁMETROS'!$K$56,MATCH(U474,JC_OP,0),MATCH(T474,CC_OP,0)),
IF(AA474="FINANCIERO",OFFSET('PARÁMETROS'!$K$56,MATCH(U474,JC_FI,0),MATCH(T474,CC_FI,0)),
OFFSET('PARÁMETROS'!$K$38,MATCH(U474,JC_L,0),MATCH(T474,CC_L,0))))))))),"")</f>
        <v/>
      </c>
      <c r="W474" s="90"/>
      <c r="X474" s="135"/>
      <c r="Y474" s="136"/>
      <c r="Z474" s="30"/>
      <c r="AA474" s="31" t="str">
        <f>E459</f>
        <v/>
      </c>
    </row>
    <row r="475" ht="87.0" customHeight="1">
      <c r="A475" s="102"/>
      <c r="B475" s="103"/>
      <c r="C475" s="103"/>
      <c r="D475" s="103"/>
      <c r="E475" s="103"/>
      <c r="F475" s="103"/>
      <c r="G475" s="105"/>
      <c r="H475" s="103"/>
      <c r="I475" s="105"/>
      <c r="J475" s="103"/>
      <c r="K475" s="103"/>
      <c r="L475" s="103" t="str">
        <f>IF(OR(J475&lt;&gt;"",K475&lt;&gt;""),OFFSET('PARÁMETROS'!$B$2,K475,J475),"")</f>
        <v/>
      </c>
      <c r="M475" s="103"/>
      <c r="N475" s="103">
        <f>IFERROR(L475*M475,"")</f>
        <v>0</v>
      </c>
      <c r="O475" s="108" t="str">
        <f>IF(N475="","",IFERROR(IF(N475&lt;=2,"ACEPTABLE",IF(N475&lt;=6,"BAJA",IF(N475&lt;=10,"ACEPTABLE CON REVISIÓN",IF(N475&lt;=15,"SUSTANCIAL","INACEPTABLE")))),""))</f>
        <v>ACEPTABLE</v>
      </c>
      <c r="P475" s="113"/>
      <c r="Q475" s="114"/>
      <c r="R475" s="114"/>
      <c r="S475" s="114"/>
      <c r="T475" s="115"/>
      <c r="U475" s="115"/>
      <c r="V475" s="115" t="str">
        <f>IFERROR(IF(AA475="SEGURIDAD",OFFSET('PARÁMETROS'!$K$2,MATCH(U475,JC_SE,0),MATCH(T475,CC_SE,0)),
IF(OR(AA475="DSRC/Estratégico",AA475="DSRC/Operativo"),OFFSET('PARÁMETROS'!$K$11,MATCH(U475,JC_DS,0),MATCH(T475,CC_DS,0)),
IF(AA475="SALUD",OFFSET('PARÁMETROS'!$K$29,MATCH(U475,JC_SA,0),MATCH(T475,CC_SA,0)),
IF(AA475="MEDIO AMBIENTE",OFFSET('PARÁMETROS'!$K$20,MATCH(U475,JC_MA,0),MATCH(T475,CC_MA,0)),
IF(AA475="Rel. Gubernamentales",OFFSET('PARÁMETROS'!$K$48,MATCH(U475,JC_G,0),MATCH(T475,CC_G,0)),
IF(AA475="OPERACIONAL",OFFSET('PARÁMETROS'!$K$56,MATCH(U475,JC_OP,0),MATCH(T475,CC_OP,0)),
IF(AA475="FINANCIERO",OFFSET('PARÁMETROS'!$K$56,MATCH(U475,JC_FI,0),MATCH(T475,CC_FI,0)),
OFFSET('PARÁMETROS'!$K$38,MATCH(U475,JC_L,0),MATCH(T475,CC_L,0))))))))),"")</f>
        <v/>
      </c>
      <c r="W475" s="108" t="str">
        <f>IF(E475="","",
IF(COUNTA(V475:V490)-COUNTBLANK(V475:V490)=1,
IF(O475="INACEPTABLE",IF(COUNTIF(V475:V490,"Control/Acción Eficaz")&gt;=1,"SUSTANCIAL","INACEPTABLE"),
IF(O475="SUSTANCIAL",IF(COUNTIF(V475:V490,"Control/Acción Eficaz")&gt;=1,"ACEPTABLE CON REVISIÓN","SUSTANCIAL"),
IF(O475="ACEPTABLE CON REVISIÓN",IF(COUNTIF(V475:V490,"Control/Acción Eficaz")&gt;=1,"BAJA","ACEPTABLE CON REVISIÓN"),
IF(O475="BAJA",IF(COUNTIF(V475:V490,"Control/Acción Eficaz")&gt;=1,"ACEPTABLE","BAJA"),)))),
IF(COUNTA(V475:V490)-COUNTBLANK(V475:V490)=2,
IF(O475="INACEPTABLE",IF(COUNTIF(V475:V490,"Control/Acción Eficaz")=2,"ACEPTABLE CON REVISIÓN",
IF(OR(AND(COUNTIF(V475:V490,"Control/Acción Eficaz")=1,COUNTIF(V475:V490,"Control/Acción Satisfactorio")=1),
AND(COUNTIF(V475:V490,"Control/Acción Eficaz")=1,COUNTIF(V475:V490,"Control/Acción No Eficaz")=1)),"SUSTANCIAL","INACEPTABLE")),
IF(O475="SUSTANCIAL",IF(COUNTIF(V475:V490,"Control/Acción Eficaz")=2,"BAJA",
IF(OR(AND(COUNTIF(V475:V490,"Control/Acción Eficaz")=1,COUNTIF(V475:V490,"Control/Acción Satisfactorio")=1),
AND(COUNTIF(V475:V490,"Control/Acción Eficaz")=1,COUNTIF(V475:V490,"Control/Acción No Eficaz")=1)),"ACEPTABLE CON REVISIÓN ","SUSTANCIAL")),
IF(O475="ACEPTABLE CON REVISIÓN",IF(COUNTIF(V475:V490,"Control/Acción Eficaz")=2,"ACEPTABLE",
IF(OR(AND(COUNTIF(V475:V490,"Control/Acción Eficaz")=1,COUNTIF(V475:V490,"Control/Acción Satisfactorio")=1),
AND(COUNTIF(V475:V490,"Control/Acción Eficaz")=1,COUNTIF(V475:V490,"Control/Acción No Eficaz")=1)),"BAJA","ACEPTABLE CON REVISIÓN")),
IF(O475="BAJA",IF(COUNTIF(V475:V490,"Control/Acción Eficaz")&gt;=2,"ACEPTABLE","BAJA"),)))),
IF(COUNTA(V475:V490)-COUNTBLANK(V475:V490)&gt;=3,
IF(O475="INACEPTABLE",
IF(COUNTBLANK(V475:V490)=COUNTA(V475:V490),"",
IF(COUNTIF(V475:V490,"Control/Acción No Eficaz")&gt;=2,"INACEPTABLE",
IF(AND(COUNTIF(V475:V490,"Control/Acción No Eficaz")=0,COUNTIF(V475:V490,"Control/Acción Eficaz")&gt;=2),"ACEPTABLE CON REVISIÓN ","SUSTANCIAL"))),
IF(O475="SUSTANCIAL",
IF(COUNTBLANK(V475:V490)=COUNTA(V475:V490),"",
IF(COUNTIF(V475:V490,"Control/Acción No Eficaz")&gt;=2,"SUSTANCIAL",
IF(AND(COUNTIF(V475:V490,"Control/Acción No Eficaz")=0,COUNTIF(V475:V490,"Control/Acción Eficaz")&gt;=2),"BAJA","ACEPTABLE CON REVISIÓN"))),
IF(O475="ACEPTABLE CON REVISIÓN",
IF(COUNTBLANK(V475:V490)=COUNTA(V475:V490),"",
IF(COUNTIF(V475:V490,"Control/Acción No Eficaz")&gt;=2,"ACEPTABLE CON REVISIÓN",
IF(AND(COUNTIF(V475:V490,"Control/Acción No Eficaz")=0,COUNTIF(V475:V490,"Control/Acción Eficaz")&gt;=2),"ACEPTABLE","BAJA"))),
IF(O475="BAJA",
IF(COUNTBLANK(V475:V490)=COUNTA(V475:V490),"",
IF(AND(COUNTBLANK(V475:V490)&lt;1,COUNTA(V475:V490)=1),
IF(COUNTIF(V475:V490,"Control/Acción No Eficaz")&gt;=2,"BAJA",
IF(AND(COUNTIF(V475:V490,"Control/Acción No Eficaz")=0,COUNTIF(V475:V490,"Control/Acción Eficaz")&gt;=2),"ACEPTABLE","BAJA")),
IF(COUNTIF(V475:V490,"Control/Acción No Eficaz")&gt;=2,"BAJA",
IF(AND(COUNTIF(V475:V490,"Control/Acción No Eficaz")=0,COUNTIF(V475:V490,"Control/Acción Eficaz")&gt;=2),"ACEPTABLE","BAJA")))),
IF(COUNTIF(V475:V490,"")&gt;=5,"",O475))))),
""))))</f>
        <v/>
      </c>
      <c r="X475" s="115"/>
      <c r="Y475" s="128"/>
      <c r="Z475" s="30"/>
      <c r="AA475" s="31" t="str">
        <f>E475</f>
        <v/>
      </c>
    </row>
    <row r="476" ht="87.0" customHeight="1">
      <c r="A476" s="129"/>
      <c r="B476" s="130"/>
      <c r="C476" s="130"/>
      <c r="D476" s="130"/>
      <c r="E476" s="130"/>
      <c r="F476" s="130"/>
      <c r="G476" s="130"/>
      <c r="H476" s="130"/>
      <c r="I476" s="130"/>
      <c r="J476" s="130"/>
      <c r="K476" s="130"/>
      <c r="L476" s="130"/>
      <c r="M476" s="130"/>
      <c r="N476" s="130"/>
      <c r="O476" s="130"/>
      <c r="P476" s="132"/>
      <c r="Q476" s="134"/>
      <c r="R476" s="134"/>
      <c r="S476" s="134"/>
      <c r="T476" s="135"/>
      <c r="U476" s="135"/>
      <c r="V476" s="135" t="str">
        <f>IFERROR(IF(AA476="SEGURIDAD",OFFSET('PARÁMETROS'!$K$2,MATCH(U476,JC_SE,0),MATCH(T476,CC_SE,0)),
IF(OR(AA476="DSRC/Estratégico",AA476="DSRC/Operativo"),OFFSET('PARÁMETROS'!$K$11,MATCH(U476,JC_DS,0),MATCH(T476,CC_DS,0)),
IF(AA476="SALUD",OFFSET('PARÁMETROS'!$K$29,MATCH(U476,JC_SA,0),MATCH(T476,CC_SA,0)),
IF(AA476="MEDIO AMBIENTE",OFFSET('PARÁMETROS'!$K$20,MATCH(U476,JC_MA,0),MATCH(T476,CC_MA,0)),
IF(AA476="Rel. Gubernamentales",OFFSET('PARÁMETROS'!$K$48,MATCH(U476,JC_G,0),MATCH(T476,CC_G,0)),
IF(AA476="OPERACIONAL",OFFSET('PARÁMETROS'!$K$56,MATCH(U476,JC_OP,0),MATCH(T476,CC_OP,0)),
IF(AA476="FINANCIERO",OFFSET('PARÁMETROS'!$K$56,MATCH(U476,JC_FI,0),MATCH(T476,CC_FI,0)),
OFFSET('PARÁMETROS'!$K$38,MATCH(U476,JC_L,0),MATCH(T476,CC_L,0))))))))),"")</f>
        <v/>
      </c>
      <c r="W476" s="130"/>
      <c r="X476" s="135"/>
      <c r="Y476" s="136"/>
      <c r="Z476" s="30"/>
      <c r="AA476" s="31" t="str">
        <f>E475</f>
        <v/>
      </c>
    </row>
    <row r="477" ht="87.0" customHeight="1">
      <c r="A477" s="129"/>
      <c r="B477" s="130"/>
      <c r="C477" s="130"/>
      <c r="D477" s="130"/>
      <c r="E477" s="130"/>
      <c r="F477" s="130"/>
      <c r="G477" s="130"/>
      <c r="H477" s="130"/>
      <c r="I477" s="130"/>
      <c r="J477" s="130"/>
      <c r="K477" s="130"/>
      <c r="L477" s="130"/>
      <c r="M477" s="130"/>
      <c r="N477" s="130"/>
      <c r="O477" s="130"/>
      <c r="P477" s="132"/>
      <c r="Q477" s="134"/>
      <c r="R477" s="134"/>
      <c r="S477" s="134"/>
      <c r="T477" s="135"/>
      <c r="U477" s="135"/>
      <c r="V477" s="135" t="str">
        <f>IFERROR(IF(AA477="SEGURIDAD",OFFSET('PARÁMETROS'!$K$2,MATCH(U477,JC_SE,0),MATCH(T477,CC_SE,0)),
IF(OR(AA477="DSRC/Estratégico",AA477="DSRC/Operativo"),OFFSET('PARÁMETROS'!$K$11,MATCH(U477,JC_DS,0),MATCH(T477,CC_DS,0)),
IF(AA477="SALUD",OFFSET('PARÁMETROS'!$K$29,MATCH(U477,JC_SA,0),MATCH(T477,CC_SA,0)),
IF(AA477="MEDIO AMBIENTE",OFFSET('PARÁMETROS'!$K$20,MATCH(U477,JC_MA,0),MATCH(T477,CC_MA,0)),
IF(AA477="Rel. Gubernamentales",OFFSET('PARÁMETROS'!$K$48,MATCH(U477,JC_G,0),MATCH(T477,CC_G,0)),
IF(AA477="OPERACIONAL",OFFSET('PARÁMETROS'!$K$56,MATCH(U477,JC_OP,0),MATCH(T477,CC_OP,0)),
IF(AA477="FINANCIERO",OFFSET('PARÁMETROS'!$K$56,MATCH(U477,JC_FI,0),MATCH(T477,CC_FI,0)),
OFFSET('PARÁMETROS'!$K$38,MATCH(U477,JC_L,0),MATCH(T477,CC_L,0))))))))),"")</f>
        <v/>
      </c>
      <c r="W477" s="130"/>
      <c r="X477" s="135"/>
      <c r="Y477" s="136"/>
      <c r="Z477" s="30"/>
      <c r="AA477" s="31" t="str">
        <f>E475</f>
        <v/>
      </c>
    </row>
    <row r="478" ht="87.0" customHeight="1">
      <c r="A478" s="129"/>
      <c r="B478" s="130"/>
      <c r="C478" s="130"/>
      <c r="D478" s="130"/>
      <c r="E478" s="130"/>
      <c r="F478" s="130"/>
      <c r="G478" s="130"/>
      <c r="H478" s="130"/>
      <c r="I478" s="130"/>
      <c r="J478" s="130"/>
      <c r="K478" s="130"/>
      <c r="L478" s="130"/>
      <c r="M478" s="130"/>
      <c r="N478" s="130"/>
      <c r="O478" s="130"/>
      <c r="P478" s="132"/>
      <c r="Q478" s="134"/>
      <c r="R478" s="134"/>
      <c r="S478" s="134"/>
      <c r="T478" s="135"/>
      <c r="U478" s="135"/>
      <c r="V478" s="135" t="str">
        <f>IFERROR(IF(AA478="SEGURIDAD",OFFSET('PARÁMETROS'!$K$2,MATCH(U478,JC_SE,0),MATCH(T478,CC_SE,0)),
IF(OR(AA478="DSRC/Estratégico",AA478="DSRC/Operativo"),OFFSET('PARÁMETROS'!$K$11,MATCH(U478,JC_DS,0),MATCH(T478,CC_DS,0)),
IF(AA478="SALUD",OFFSET('PARÁMETROS'!$K$29,MATCH(U478,JC_SA,0),MATCH(T478,CC_SA,0)),
IF(AA478="MEDIO AMBIENTE",OFFSET('PARÁMETROS'!$K$20,MATCH(U478,JC_MA,0),MATCH(T478,CC_MA,0)),
IF(AA478="Rel. Gubernamentales",OFFSET('PARÁMETROS'!$K$48,MATCH(U478,JC_G,0),MATCH(T478,CC_G,0)),
IF(AA478="OPERACIONAL",OFFSET('PARÁMETROS'!$K$56,MATCH(U478,JC_OP,0),MATCH(T478,CC_OP,0)),
IF(AA478="FINANCIERO",OFFSET('PARÁMETROS'!$K$56,MATCH(U478,JC_FI,0),MATCH(T478,CC_FI,0)),
OFFSET('PARÁMETROS'!$K$38,MATCH(U478,JC_L,0),MATCH(T478,CC_L,0))))))))),"")</f>
        <v/>
      </c>
      <c r="W478" s="130"/>
      <c r="X478" s="135"/>
      <c r="Y478" s="136"/>
      <c r="Z478" s="30"/>
      <c r="AA478" s="31" t="str">
        <f>E475</f>
        <v/>
      </c>
    </row>
    <row r="479" ht="87.0" customHeight="1">
      <c r="A479" s="129"/>
      <c r="B479" s="130"/>
      <c r="C479" s="130"/>
      <c r="D479" s="130"/>
      <c r="E479" s="130"/>
      <c r="F479" s="130"/>
      <c r="G479" s="130"/>
      <c r="H479" s="130"/>
      <c r="I479" s="130"/>
      <c r="J479" s="130"/>
      <c r="K479" s="130"/>
      <c r="L479" s="130"/>
      <c r="M479" s="130"/>
      <c r="N479" s="130"/>
      <c r="O479" s="130"/>
      <c r="P479" s="132"/>
      <c r="Q479" s="134"/>
      <c r="R479" s="134"/>
      <c r="S479" s="134"/>
      <c r="T479" s="135"/>
      <c r="U479" s="135"/>
      <c r="V479" s="135" t="str">
        <f>IFERROR(IF(AA479="SEGURIDAD",OFFSET('PARÁMETROS'!$K$2,MATCH(U479,JC_SE,0),MATCH(T479,CC_SE,0)),
IF(OR(AA479="DSRC/Estratégico",AA479="DSRC/Operativo"),OFFSET('PARÁMETROS'!$K$11,MATCH(U479,JC_DS,0),MATCH(T479,CC_DS,0)),
IF(AA479="SALUD",OFFSET('PARÁMETROS'!$K$29,MATCH(U479,JC_SA,0),MATCH(T479,CC_SA,0)),
IF(AA479="MEDIO AMBIENTE",OFFSET('PARÁMETROS'!$K$20,MATCH(U479,JC_MA,0),MATCH(T479,CC_MA,0)),
IF(AA479="Rel. Gubernamentales",OFFSET('PARÁMETROS'!$K$48,MATCH(U479,JC_G,0),MATCH(T479,CC_G,0)),
IF(AA479="OPERACIONAL",OFFSET('PARÁMETROS'!$K$56,MATCH(U479,JC_OP,0),MATCH(T479,CC_OP,0)),
IF(AA479="FINANCIERO",OFFSET('PARÁMETROS'!$K$56,MATCH(U479,JC_FI,0),MATCH(T479,CC_FI,0)),
OFFSET('PARÁMETROS'!$K$38,MATCH(U479,JC_L,0),MATCH(T479,CC_L,0))))))))),"")</f>
        <v/>
      </c>
      <c r="W479" s="130"/>
      <c r="X479" s="135"/>
      <c r="Y479" s="136"/>
      <c r="Z479" s="30"/>
      <c r="AA479" s="31" t="str">
        <f>E475</f>
        <v/>
      </c>
    </row>
    <row r="480" ht="87.0" customHeight="1">
      <c r="A480" s="129"/>
      <c r="B480" s="130"/>
      <c r="C480" s="130"/>
      <c r="D480" s="130"/>
      <c r="E480" s="130"/>
      <c r="F480" s="130"/>
      <c r="G480" s="130"/>
      <c r="H480" s="130"/>
      <c r="I480" s="130"/>
      <c r="J480" s="130"/>
      <c r="K480" s="130"/>
      <c r="L480" s="130"/>
      <c r="M480" s="130"/>
      <c r="N480" s="130"/>
      <c r="O480" s="130"/>
      <c r="P480" s="132"/>
      <c r="Q480" s="134"/>
      <c r="R480" s="134"/>
      <c r="S480" s="134"/>
      <c r="T480" s="135"/>
      <c r="U480" s="135"/>
      <c r="V480" s="135" t="str">
        <f>IFERROR(IF(AA480="SEGURIDAD",OFFSET('PARÁMETROS'!$K$2,MATCH(U480,JC_SE,0),MATCH(T480,CC_SE,0)),
IF(OR(AA480="DSRC/Estratégico",AA480="DSRC/Operativo"),OFFSET('PARÁMETROS'!$K$11,MATCH(U480,JC_DS,0),MATCH(T480,CC_DS,0)),
IF(AA480="SALUD",OFFSET('PARÁMETROS'!$K$29,MATCH(U480,JC_SA,0),MATCH(T480,CC_SA,0)),
IF(AA480="MEDIO AMBIENTE",OFFSET('PARÁMETROS'!$K$20,MATCH(U480,JC_MA,0),MATCH(T480,CC_MA,0)),
IF(AA480="Rel. Gubernamentales",OFFSET('PARÁMETROS'!$K$48,MATCH(U480,JC_G,0),MATCH(T480,CC_G,0)),
IF(AA480="OPERACIONAL",OFFSET('PARÁMETROS'!$K$56,MATCH(U480,JC_OP,0),MATCH(T480,CC_OP,0)),
IF(AA480="FINANCIERO",OFFSET('PARÁMETROS'!$K$56,MATCH(U480,JC_FI,0),MATCH(T480,CC_FI,0)),
OFFSET('PARÁMETROS'!$K$38,MATCH(U480,JC_L,0),MATCH(T480,CC_L,0))))))))),"")</f>
        <v/>
      </c>
      <c r="W480" s="130"/>
      <c r="X480" s="135"/>
      <c r="Y480" s="136"/>
      <c r="Z480" s="30"/>
      <c r="AA480" s="31" t="str">
        <f>E475</f>
        <v/>
      </c>
    </row>
    <row r="481" ht="87.0" customHeight="1">
      <c r="A481" s="129"/>
      <c r="B481" s="130"/>
      <c r="C481" s="130"/>
      <c r="D481" s="130"/>
      <c r="E481" s="130"/>
      <c r="F481" s="130"/>
      <c r="G481" s="130"/>
      <c r="H481" s="130"/>
      <c r="I481" s="130"/>
      <c r="J481" s="130"/>
      <c r="K481" s="130"/>
      <c r="L481" s="130"/>
      <c r="M481" s="130"/>
      <c r="N481" s="130"/>
      <c r="O481" s="130"/>
      <c r="P481" s="132"/>
      <c r="Q481" s="134"/>
      <c r="R481" s="134"/>
      <c r="S481" s="134"/>
      <c r="T481" s="135"/>
      <c r="U481" s="135"/>
      <c r="V481" s="135" t="str">
        <f>IFERROR(IF(AA481="SEGURIDAD",OFFSET('PARÁMETROS'!$K$2,MATCH(U481,JC_SE,0),MATCH(T481,CC_SE,0)),
IF(OR(AA481="DSRC/Estratégico",AA481="DSRC/Operativo"),OFFSET('PARÁMETROS'!$K$11,MATCH(U481,JC_DS,0),MATCH(T481,CC_DS,0)),
IF(AA481="SALUD",OFFSET('PARÁMETROS'!$K$29,MATCH(U481,JC_SA,0),MATCH(T481,CC_SA,0)),
IF(AA481="MEDIO AMBIENTE",OFFSET('PARÁMETROS'!$K$20,MATCH(U481,JC_MA,0),MATCH(T481,CC_MA,0)),
IF(AA481="Rel. Gubernamentales",OFFSET('PARÁMETROS'!$K$48,MATCH(U481,JC_G,0),MATCH(T481,CC_G,0)),
IF(AA481="OPERACIONAL",OFFSET('PARÁMETROS'!$K$56,MATCH(U481,JC_OP,0),MATCH(T481,CC_OP,0)),
IF(AA481="FINANCIERO",OFFSET('PARÁMETROS'!$K$56,MATCH(U481,JC_FI,0),MATCH(T481,CC_FI,0)),
OFFSET('PARÁMETROS'!$K$38,MATCH(U481,JC_L,0),MATCH(T481,CC_L,0))))))))),"")</f>
        <v/>
      </c>
      <c r="W481" s="130"/>
      <c r="X481" s="135"/>
      <c r="Y481" s="136"/>
      <c r="Z481" s="30"/>
      <c r="AA481" s="31" t="str">
        <f>E475</f>
        <v/>
      </c>
    </row>
    <row r="482" ht="87.0" customHeight="1">
      <c r="A482" s="129"/>
      <c r="B482" s="130"/>
      <c r="C482" s="130"/>
      <c r="D482" s="130"/>
      <c r="E482" s="130"/>
      <c r="F482" s="130"/>
      <c r="G482" s="130"/>
      <c r="H482" s="130"/>
      <c r="I482" s="130"/>
      <c r="J482" s="130"/>
      <c r="K482" s="130"/>
      <c r="L482" s="130"/>
      <c r="M482" s="130"/>
      <c r="N482" s="130"/>
      <c r="O482" s="130"/>
      <c r="P482" s="132"/>
      <c r="Q482" s="134"/>
      <c r="R482" s="134"/>
      <c r="S482" s="134"/>
      <c r="T482" s="135"/>
      <c r="U482" s="135"/>
      <c r="V482" s="135" t="str">
        <f>IFERROR(IF(AA482="SEGURIDAD",OFFSET('PARÁMETROS'!$K$2,MATCH(U482,JC_SE,0),MATCH(T482,CC_SE,0)),
IF(OR(AA482="DSRC/Estratégico",AA482="DSRC/Operativo"),OFFSET('PARÁMETROS'!$K$11,MATCH(U482,JC_DS,0),MATCH(T482,CC_DS,0)),
IF(AA482="SALUD",OFFSET('PARÁMETROS'!$K$29,MATCH(U482,JC_SA,0),MATCH(T482,CC_SA,0)),
IF(AA482="MEDIO AMBIENTE",OFFSET('PARÁMETROS'!$K$20,MATCH(U482,JC_MA,0),MATCH(T482,CC_MA,0)),
IF(AA482="Rel. Gubernamentales",OFFSET('PARÁMETROS'!$K$48,MATCH(U482,JC_G,0),MATCH(T482,CC_G,0)),
IF(AA482="OPERACIONAL",OFFSET('PARÁMETROS'!$K$56,MATCH(U482,JC_OP,0),MATCH(T482,CC_OP,0)),
IF(AA482="FINANCIERO",OFFSET('PARÁMETROS'!$K$56,MATCH(U482,JC_FI,0),MATCH(T482,CC_FI,0)),
OFFSET('PARÁMETROS'!$K$38,MATCH(U482,JC_L,0),MATCH(T482,CC_L,0))))))))),"")</f>
        <v/>
      </c>
      <c r="W482" s="130"/>
      <c r="X482" s="135"/>
      <c r="Y482" s="136"/>
      <c r="Z482" s="30"/>
      <c r="AA482" s="31" t="str">
        <f>E475</f>
        <v/>
      </c>
    </row>
    <row r="483" ht="87.0" customHeight="1">
      <c r="A483" s="129"/>
      <c r="B483" s="130"/>
      <c r="C483" s="130"/>
      <c r="D483" s="130"/>
      <c r="E483" s="130"/>
      <c r="F483" s="130"/>
      <c r="G483" s="130"/>
      <c r="H483" s="130"/>
      <c r="I483" s="130"/>
      <c r="J483" s="130"/>
      <c r="K483" s="130"/>
      <c r="L483" s="130"/>
      <c r="M483" s="130"/>
      <c r="N483" s="130"/>
      <c r="O483" s="130"/>
      <c r="P483" s="132"/>
      <c r="Q483" s="134"/>
      <c r="R483" s="134"/>
      <c r="S483" s="134"/>
      <c r="T483" s="135"/>
      <c r="U483" s="135"/>
      <c r="V483" s="135" t="str">
        <f>IFERROR(IF(AA483="SEGURIDAD",OFFSET('PARÁMETROS'!$K$2,MATCH(U483,JC_SE,0),MATCH(T483,CC_SE,0)),
IF(OR(AA483="DSRC/Estratégico",AA483="DSRC/Operativo"),OFFSET('PARÁMETROS'!$K$11,MATCH(U483,JC_DS,0),MATCH(T483,CC_DS,0)),
IF(AA483="SALUD",OFFSET('PARÁMETROS'!$K$29,MATCH(U483,JC_SA,0),MATCH(T483,CC_SA,0)),
IF(AA483="MEDIO AMBIENTE",OFFSET('PARÁMETROS'!$K$20,MATCH(U483,JC_MA,0),MATCH(T483,CC_MA,0)),
IF(AA483="Rel. Gubernamentales",OFFSET('PARÁMETROS'!$K$48,MATCH(U483,JC_G,0),MATCH(T483,CC_G,0)),
IF(AA483="OPERACIONAL",OFFSET('PARÁMETROS'!$K$56,MATCH(U483,JC_OP,0),MATCH(T483,CC_OP,0)),
IF(AA483="FINANCIERO",OFFSET('PARÁMETROS'!$K$56,MATCH(U483,JC_FI,0),MATCH(T483,CC_FI,0)),
OFFSET('PARÁMETROS'!$K$38,MATCH(U483,JC_L,0),MATCH(T483,CC_L,0))))))))),"")</f>
        <v/>
      </c>
      <c r="W483" s="130"/>
      <c r="X483" s="135"/>
      <c r="Y483" s="136"/>
      <c r="Z483" s="30"/>
      <c r="AA483" s="31" t="str">
        <f>E475</f>
        <v/>
      </c>
    </row>
    <row r="484" ht="87.0" customHeight="1">
      <c r="A484" s="129"/>
      <c r="B484" s="130"/>
      <c r="C484" s="130"/>
      <c r="D484" s="130"/>
      <c r="E484" s="130"/>
      <c r="F484" s="130"/>
      <c r="G484" s="130"/>
      <c r="H484" s="130"/>
      <c r="I484" s="130"/>
      <c r="J484" s="130"/>
      <c r="K484" s="130"/>
      <c r="L484" s="130"/>
      <c r="M484" s="130"/>
      <c r="N484" s="130"/>
      <c r="O484" s="130"/>
      <c r="P484" s="132"/>
      <c r="Q484" s="134"/>
      <c r="R484" s="134"/>
      <c r="S484" s="134"/>
      <c r="T484" s="135"/>
      <c r="U484" s="135"/>
      <c r="V484" s="135" t="str">
        <f>IFERROR(IF(AA484="SEGURIDAD",OFFSET('PARÁMETROS'!$K$2,MATCH(U484,JC_SE,0),MATCH(T484,CC_SE,0)),
IF(OR(AA484="DSRC/Estratégico",AA484="DSRC/Operativo"),OFFSET('PARÁMETROS'!$K$11,MATCH(U484,JC_DS,0),MATCH(T484,CC_DS,0)),
IF(AA484="SALUD",OFFSET('PARÁMETROS'!$K$29,MATCH(U484,JC_SA,0),MATCH(T484,CC_SA,0)),
IF(AA484="MEDIO AMBIENTE",OFFSET('PARÁMETROS'!$K$20,MATCH(U484,JC_MA,0),MATCH(T484,CC_MA,0)),
IF(AA484="Rel. Gubernamentales",OFFSET('PARÁMETROS'!$K$48,MATCH(U484,JC_G,0),MATCH(T484,CC_G,0)),
IF(AA484="OPERACIONAL",OFFSET('PARÁMETROS'!$K$56,MATCH(U484,JC_OP,0),MATCH(T484,CC_OP,0)),
IF(AA484="FINANCIERO",OFFSET('PARÁMETROS'!$K$56,MATCH(U484,JC_FI,0),MATCH(T484,CC_FI,0)),
OFFSET('PARÁMETROS'!$K$38,MATCH(U484,JC_L,0),MATCH(T484,CC_L,0))))))))),"")</f>
        <v/>
      </c>
      <c r="W484" s="130"/>
      <c r="X484" s="135"/>
      <c r="Y484" s="136"/>
      <c r="Z484" s="30"/>
      <c r="AA484" s="31" t="str">
        <f>E475</f>
        <v/>
      </c>
    </row>
    <row r="485" ht="87.0" customHeight="1">
      <c r="A485" s="129"/>
      <c r="B485" s="130"/>
      <c r="C485" s="130"/>
      <c r="D485" s="130"/>
      <c r="E485" s="130"/>
      <c r="F485" s="130"/>
      <c r="G485" s="130"/>
      <c r="H485" s="130"/>
      <c r="I485" s="130"/>
      <c r="J485" s="130"/>
      <c r="K485" s="130"/>
      <c r="L485" s="130"/>
      <c r="M485" s="130"/>
      <c r="N485" s="130"/>
      <c r="O485" s="130"/>
      <c r="P485" s="132"/>
      <c r="Q485" s="134"/>
      <c r="R485" s="134"/>
      <c r="S485" s="134"/>
      <c r="T485" s="135"/>
      <c r="U485" s="135"/>
      <c r="V485" s="135" t="str">
        <f>IFERROR(IF(AA485="SEGURIDAD",OFFSET('PARÁMETROS'!$K$2,MATCH(U485,JC_SE,0),MATCH(T485,CC_SE,0)),
IF(OR(AA485="DSRC/Estratégico",AA485="DSRC/Operativo"),OFFSET('PARÁMETROS'!$K$11,MATCH(U485,JC_DS,0),MATCH(T485,CC_DS,0)),
IF(AA485="SALUD",OFFSET('PARÁMETROS'!$K$29,MATCH(U485,JC_SA,0),MATCH(T485,CC_SA,0)),
IF(AA485="MEDIO AMBIENTE",OFFSET('PARÁMETROS'!$K$20,MATCH(U485,JC_MA,0),MATCH(T485,CC_MA,0)),
IF(AA485="Rel. Gubernamentales",OFFSET('PARÁMETROS'!$K$48,MATCH(U485,JC_G,0),MATCH(T485,CC_G,0)),
IF(AA485="OPERACIONAL",OFFSET('PARÁMETROS'!$K$56,MATCH(U485,JC_OP,0),MATCH(T485,CC_OP,0)),
IF(AA485="FINANCIERO",OFFSET('PARÁMETROS'!$K$56,MATCH(U485,JC_FI,0),MATCH(T485,CC_FI,0)),
OFFSET('PARÁMETROS'!$K$38,MATCH(U485,JC_L,0),MATCH(T485,CC_L,0))))))))),"")</f>
        <v/>
      </c>
      <c r="W485" s="130"/>
      <c r="X485" s="135"/>
      <c r="Y485" s="136"/>
      <c r="Z485" s="30"/>
      <c r="AA485" s="31" t="str">
        <f>E475</f>
        <v/>
      </c>
    </row>
    <row r="486" ht="87.0" customHeight="1">
      <c r="A486" s="129"/>
      <c r="B486" s="130"/>
      <c r="C486" s="130"/>
      <c r="D486" s="130"/>
      <c r="E486" s="130"/>
      <c r="F486" s="130"/>
      <c r="G486" s="130"/>
      <c r="H486" s="130"/>
      <c r="I486" s="130"/>
      <c r="J486" s="130"/>
      <c r="K486" s="130"/>
      <c r="L486" s="130"/>
      <c r="M486" s="130"/>
      <c r="N486" s="130"/>
      <c r="O486" s="130"/>
      <c r="P486" s="132"/>
      <c r="Q486" s="134"/>
      <c r="R486" s="134"/>
      <c r="S486" s="134"/>
      <c r="T486" s="135"/>
      <c r="U486" s="135"/>
      <c r="V486" s="135" t="str">
        <f>IFERROR(IF(AA486="SEGURIDAD",OFFSET('PARÁMETROS'!$K$2,MATCH(U486,JC_SE,0),MATCH(T486,CC_SE,0)),
IF(OR(AA486="DSRC/Estratégico",AA486="DSRC/Operativo"),OFFSET('PARÁMETROS'!$K$11,MATCH(U486,JC_DS,0),MATCH(T486,CC_DS,0)),
IF(AA486="SALUD",OFFSET('PARÁMETROS'!$K$29,MATCH(U486,JC_SA,0),MATCH(T486,CC_SA,0)),
IF(AA486="MEDIO AMBIENTE",OFFSET('PARÁMETROS'!$K$20,MATCH(U486,JC_MA,0),MATCH(T486,CC_MA,0)),
IF(AA486="Rel. Gubernamentales",OFFSET('PARÁMETROS'!$K$48,MATCH(U486,JC_G,0),MATCH(T486,CC_G,0)),
IF(AA486="OPERACIONAL",OFFSET('PARÁMETROS'!$K$56,MATCH(U486,JC_OP,0),MATCH(T486,CC_OP,0)),
IF(AA486="FINANCIERO",OFFSET('PARÁMETROS'!$K$56,MATCH(U486,JC_FI,0),MATCH(T486,CC_FI,0)),
OFFSET('PARÁMETROS'!$K$38,MATCH(U486,JC_L,0),MATCH(T486,CC_L,0))))))))),"")</f>
        <v/>
      </c>
      <c r="W486" s="130"/>
      <c r="X486" s="135"/>
      <c r="Y486" s="136"/>
      <c r="Z486" s="30"/>
      <c r="AA486" s="31" t="str">
        <f>E475</f>
        <v/>
      </c>
    </row>
    <row r="487" ht="87.0" customHeight="1">
      <c r="A487" s="129"/>
      <c r="B487" s="130"/>
      <c r="C487" s="130"/>
      <c r="D487" s="130"/>
      <c r="E487" s="130"/>
      <c r="F487" s="130"/>
      <c r="G487" s="130"/>
      <c r="H487" s="130"/>
      <c r="I487" s="130"/>
      <c r="J487" s="130"/>
      <c r="K487" s="130"/>
      <c r="L487" s="130"/>
      <c r="M487" s="130"/>
      <c r="N487" s="130"/>
      <c r="O487" s="130"/>
      <c r="P487" s="132"/>
      <c r="Q487" s="134"/>
      <c r="R487" s="134"/>
      <c r="S487" s="134"/>
      <c r="T487" s="135"/>
      <c r="U487" s="135"/>
      <c r="V487" s="135" t="str">
        <f>IFERROR(IF(AA487="SEGURIDAD",OFFSET('PARÁMETROS'!$K$2,MATCH(U487,JC_SE,0),MATCH(T487,CC_SE,0)),
IF(OR(AA487="DSRC/Estratégico",AA487="DSRC/Operativo"),OFFSET('PARÁMETROS'!$K$11,MATCH(U487,JC_DS,0),MATCH(T487,CC_DS,0)),
IF(AA487="SALUD",OFFSET('PARÁMETROS'!$K$29,MATCH(U487,JC_SA,0),MATCH(T487,CC_SA,0)),
IF(AA487="MEDIO AMBIENTE",OFFSET('PARÁMETROS'!$K$20,MATCH(U487,JC_MA,0),MATCH(T487,CC_MA,0)),
IF(AA487="Rel. Gubernamentales",OFFSET('PARÁMETROS'!$K$48,MATCH(U487,JC_G,0),MATCH(T487,CC_G,0)),
IF(AA487="OPERACIONAL",OFFSET('PARÁMETROS'!$K$56,MATCH(U487,JC_OP,0),MATCH(T487,CC_OP,0)),
IF(AA487="FINANCIERO",OFFSET('PARÁMETROS'!$K$56,MATCH(U487,JC_FI,0),MATCH(T487,CC_FI,0)),
OFFSET('PARÁMETROS'!$K$38,MATCH(U487,JC_L,0),MATCH(T487,CC_L,0))))))))),"")</f>
        <v/>
      </c>
      <c r="W487" s="130"/>
      <c r="X487" s="135"/>
      <c r="Y487" s="136"/>
      <c r="Z487" s="30"/>
      <c r="AA487" s="31" t="str">
        <f>E475</f>
        <v/>
      </c>
    </row>
    <row r="488" ht="87.0" customHeight="1">
      <c r="A488" s="129"/>
      <c r="B488" s="130"/>
      <c r="C488" s="130"/>
      <c r="D488" s="130"/>
      <c r="E488" s="130"/>
      <c r="F488" s="130"/>
      <c r="G488" s="130"/>
      <c r="H488" s="130"/>
      <c r="I488" s="130"/>
      <c r="J488" s="130"/>
      <c r="K488" s="130"/>
      <c r="L488" s="130"/>
      <c r="M488" s="130"/>
      <c r="N488" s="130"/>
      <c r="O488" s="130"/>
      <c r="P488" s="132"/>
      <c r="Q488" s="134"/>
      <c r="R488" s="134"/>
      <c r="S488" s="134"/>
      <c r="T488" s="135"/>
      <c r="U488" s="135"/>
      <c r="V488" s="135" t="str">
        <f>IFERROR(IF(AA488="SEGURIDAD",OFFSET('PARÁMETROS'!$K$2,MATCH(U488,JC_SE,0),MATCH(T488,CC_SE,0)),
IF(OR(AA488="DSRC/Estratégico",AA488="DSRC/Operativo"),OFFSET('PARÁMETROS'!$K$11,MATCH(U488,JC_DS,0),MATCH(T488,CC_DS,0)),
IF(AA488="SALUD",OFFSET('PARÁMETROS'!$K$29,MATCH(U488,JC_SA,0),MATCH(T488,CC_SA,0)),
IF(AA488="MEDIO AMBIENTE",OFFSET('PARÁMETROS'!$K$20,MATCH(U488,JC_MA,0),MATCH(T488,CC_MA,0)),
IF(AA488="Rel. Gubernamentales",OFFSET('PARÁMETROS'!$K$48,MATCH(U488,JC_G,0),MATCH(T488,CC_G,0)),
IF(AA488="OPERACIONAL",OFFSET('PARÁMETROS'!$K$56,MATCH(U488,JC_OP,0),MATCH(T488,CC_OP,0)),
IF(AA488="FINANCIERO",OFFSET('PARÁMETROS'!$K$56,MATCH(U488,JC_FI,0),MATCH(T488,CC_FI,0)),
OFFSET('PARÁMETROS'!$K$38,MATCH(U488,JC_L,0),MATCH(T488,CC_L,0))))))))),"")</f>
        <v/>
      </c>
      <c r="W488" s="130"/>
      <c r="X488" s="135"/>
      <c r="Y488" s="136"/>
      <c r="Z488" s="30"/>
      <c r="AA488" s="31" t="str">
        <f>E475</f>
        <v/>
      </c>
    </row>
    <row r="489" ht="87.0" customHeight="1">
      <c r="A489" s="129"/>
      <c r="B489" s="130"/>
      <c r="C489" s="130"/>
      <c r="D489" s="130"/>
      <c r="E489" s="130"/>
      <c r="F489" s="130"/>
      <c r="G489" s="130"/>
      <c r="H489" s="130"/>
      <c r="I489" s="130"/>
      <c r="J489" s="130"/>
      <c r="K489" s="130"/>
      <c r="L489" s="130"/>
      <c r="M489" s="130"/>
      <c r="N489" s="130"/>
      <c r="O489" s="130"/>
      <c r="P489" s="132"/>
      <c r="Q489" s="134"/>
      <c r="R489" s="134"/>
      <c r="S489" s="134"/>
      <c r="T489" s="135"/>
      <c r="U489" s="135"/>
      <c r="V489" s="135" t="str">
        <f>IFERROR(IF(AA489="SEGURIDAD",OFFSET('PARÁMETROS'!$K$2,MATCH(U489,JC_SE,0),MATCH(T489,CC_SE,0)),
IF(OR(AA489="DSRC/Estratégico",AA489="DSRC/Operativo"),OFFSET('PARÁMETROS'!$K$11,MATCH(U489,JC_DS,0),MATCH(T489,CC_DS,0)),
IF(AA489="SALUD",OFFSET('PARÁMETROS'!$K$29,MATCH(U489,JC_SA,0),MATCH(T489,CC_SA,0)),
IF(AA489="MEDIO AMBIENTE",OFFSET('PARÁMETROS'!$K$20,MATCH(U489,JC_MA,0),MATCH(T489,CC_MA,0)),
IF(AA489="Rel. Gubernamentales",OFFSET('PARÁMETROS'!$K$48,MATCH(U489,JC_G,0),MATCH(T489,CC_G,0)),
IF(AA489="OPERACIONAL",OFFSET('PARÁMETROS'!$K$56,MATCH(U489,JC_OP,0),MATCH(T489,CC_OP,0)),
IF(AA489="FINANCIERO",OFFSET('PARÁMETROS'!$K$56,MATCH(U489,JC_FI,0),MATCH(T489,CC_FI,0)),
OFFSET('PARÁMETROS'!$K$38,MATCH(U489,JC_L,0),MATCH(T489,CC_L,0))))))))),"")</f>
        <v/>
      </c>
      <c r="W489" s="130"/>
      <c r="X489" s="135"/>
      <c r="Y489" s="136"/>
      <c r="Z489" s="30"/>
      <c r="AA489" s="31" t="str">
        <f>E475</f>
        <v/>
      </c>
    </row>
    <row r="490" ht="87.0" customHeight="1">
      <c r="A490" s="89"/>
      <c r="B490" s="90"/>
      <c r="C490" s="90"/>
      <c r="D490" s="157"/>
      <c r="E490" s="157"/>
      <c r="F490" s="157"/>
      <c r="G490" s="157"/>
      <c r="H490" s="157"/>
      <c r="I490" s="90"/>
      <c r="J490" s="90"/>
      <c r="K490" s="90"/>
      <c r="L490" s="90"/>
      <c r="M490" s="90"/>
      <c r="N490" s="90"/>
      <c r="O490" s="90"/>
      <c r="P490" s="132"/>
      <c r="Q490" s="134"/>
      <c r="R490" s="145"/>
      <c r="S490" s="145"/>
      <c r="T490" s="135"/>
      <c r="U490" s="135"/>
      <c r="V490" s="135" t="str">
        <f>IFERROR(IF(AA490="SEGURIDAD",OFFSET('PARÁMETROS'!$K$2,MATCH(U490,JC_SE,0),MATCH(T490,CC_SE,0)),
IF(OR(AA490="DSRC/Estratégico",AA490="DSRC/Operativo"),OFFSET('PARÁMETROS'!$K$11,MATCH(U490,JC_DS,0),MATCH(T490,CC_DS,0)),
IF(AA490="SALUD",OFFSET('PARÁMETROS'!$K$29,MATCH(U490,JC_SA,0),MATCH(T490,CC_SA,0)),
IF(AA490="MEDIO AMBIENTE",OFFSET('PARÁMETROS'!$K$20,MATCH(U490,JC_MA,0),MATCH(T490,CC_MA,0)),
IF(AA490="Rel. Gubernamentales",OFFSET('PARÁMETROS'!$K$48,MATCH(U490,JC_G,0),MATCH(T490,CC_G,0)),
IF(AA490="OPERACIONAL",OFFSET('PARÁMETROS'!$K$56,MATCH(U490,JC_OP,0),MATCH(T490,CC_OP,0)),
IF(AA490="FINANCIERO",OFFSET('PARÁMETROS'!$K$56,MATCH(U490,JC_FI,0),MATCH(T490,CC_FI,0)),
OFFSET('PARÁMETROS'!$K$38,MATCH(U490,JC_L,0),MATCH(T490,CC_L,0))))))))),"")</f>
        <v/>
      </c>
      <c r="W490" s="90"/>
      <c r="X490" s="135"/>
      <c r="Y490" s="136"/>
      <c r="Z490" s="30"/>
      <c r="AA490" s="31" t="str">
        <f>E475</f>
        <v/>
      </c>
    </row>
    <row r="491" ht="87.0" customHeight="1">
      <c r="A491" s="102"/>
      <c r="B491" s="103"/>
      <c r="C491" s="103"/>
      <c r="D491" s="103"/>
      <c r="E491" s="103"/>
      <c r="F491" s="103"/>
      <c r="G491" s="105"/>
      <c r="H491" s="103"/>
      <c r="I491" s="105"/>
      <c r="J491" s="103"/>
      <c r="K491" s="103"/>
      <c r="L491" s="103" t="str">
        <f>IF(OR(J491&lt;&gt;"",K491&lt;&gt;""),OFFSET('PARÁMETROS'!$B$2,K491,J491),"")</f>
        <v/>
      </c>
      <c r="M491" s="103"/>
      <c r="N491" s="103">
        <f>IFERROR(L491*M491,"")</f>
        <v>0</v>
      </c>
      <c r="O491" s="108" t="str">
        <f>IF(N491="","",IFERROR(IF(N491&lt;=2,"ACEPTABLE",IF(N491&lt;=6,"BAJA",IF(N491&lt;=10,"ACEPTABLE CON REVISIÓN",IF(N491&lt;=15,"SUSTANCIAL","INACEPTABLE")))),""))</f>
        <v>ACEPTABLE</v>
      </c>
      <c r="P491" s="113"/>
      <c r="Q491" s="114"/>
      <c r="R491" s="114"/>
      <c r="S491" s="114"/>
      <c r="T491" s="115"/>
      <c r="U491" s="115"/>
      <c r="V491" s="115" t="str">
        <f>IFERROR(IF(AA491="SEGURIDAD",OFFSET('PARÁMETROS'!$K$2,MATCH(U491,JC_SE,0),MATCH(T491,CC_SE,0)),
IF(OR(AA491="DSRC/Estratégico",AA491="DSRC/Operativo"),OFFSET('PARÁMETROS'!$K$11,MATCH(U491,JC_DS,0),MATCH(T491,CC_DS,0)),
IF(AA491="SALUD",OFFSET('PARÁMETROS'!$K$29,MATCH(U491,JC_SA,0),MATCH(T491,CC_SA,0)),
IF(AA491="MEDIO AMBIENTE",OFFSET('PARÁMETROS'!$K$20,MATCH(U491,JC_MA,0),MATCH(T491,CC_MA,0)),
IF(AA491="Rel. Gubernamentales",OFFSET('PARÁMETROS'!$K$48,MATCH(U491,JC_G,0),MATCH(T491,CC_G,0)),
IF(AA491="OPERACIONAL",OFFSET('PARÁMETROS'!$K$56,MATCH(U491,JC_OP,0),MATCH(T491,CC_OP,0)),
IF(AA491="FINANCIERO",OFFSET('PARÁMETROS'!$K$56,MATCH(U491,JC_FI,0),MATCH(T491,CC_FI,0)),
OFFSET('PARÁMETROS'!$K$38,MATCH(U491,JC_L,0),MATCH(T491,CC_L,0))))))))),"")</f>
        <v/>
      </c>
      <c r="W491" s="108" t="str">
        <f>IF(E491="","",
IF(COUNTA(V491:V506)-COUNTBLANK(V491:V506)=1,
IF(O491="INACEPTABLE",IF(COUNTIF(V491:V506,"Control/Acción Eficaz")&gt;=1,"SUSTANCIAL","INACEPTABLE"),
IF(O491="SUSTANCIAL",IF(COUNTIF(V491:V506,"Control/Acción Eficaz")&gt;=1,"ACEPTABLE CON REVISIÓN","SUSTANCIAL"),
IF(O491="ACEPTABLE CON REVISIÓN",IF(COUNTIF(V491:V506,"Control/Acción Eficaz")&gt;=1,"BAJA","ACEPTABLE CON REVISIÓN"),
IF(O491="BAJA",IF(COUNTIF(V491:V506,"Control/Acción Eficaz")&gt;=1,"ACEPTABLE","BAJA"),)))),
IF(COUNTA(V491:V506)-COUNTBLANK(V491:V506)=2,
IF(O491="INACEPTABLE",IF(COUNTIF(V491:V506,"Control/Acción Eficaz")=2,"ACEPTABLE CON REVISIÓN",
IF(OR(AND(COUNTIF(V491:V506,"Control/Acción Eficaz")=1,COUNTIF(V491:V506,"Control/Acción Satisfactorio")=1),
AND(COUNTIF(V491:V506,"Control/Acción Eficaz")=1,COUNTIF(V491:V506,"Control/Acción No Eficaz")=1)),"SUSTANCIAL","INACEPTABLE")),
IF(O491="SUSTANCIAL",IF(COUNTIF(V491:V506,"Control/Acción Eficaz")=2,"BAJA",
IF(OR(AND(COUNTIF(V491:V506,"Control/Acción Eficaz")=1,COUNTIF(V491:V506,"Control/Acción Satisfactorio")=1),
AND(COUNTIF(V491:V506,"Control/Acción Eficaz")=1,COUNTIF(V491:V506,"Control/Acción No Eficaz")=1)),"ACEPTABLE CON REVISIÓN ","SUSTANCIAL")),
IF(O491="ACEPTABLE CON REVISIÓN",IF(COUNTIF(V491:V506,"Control/Acción Eficaz")=2,"ACEPTABLE",
IF(OR(AND(COUNTIF(V491:V506,"Control/Acción Eficaz")=1,COUNTIF(V491:V506,"Control/Acción Satisfactorio")=1),
AND(COUNTIF(V491:V506,"Control/Acción Eficaz")=1,COUNTIF(V491:V506,"Control/Acción No Eficaz")=1)),"BAJA","ACEPTABLE CON REVISIÓN")),
IF(O491="BAJA",IF(COUNTIF(V491:V506,"Control/Acción Eficaz")&gt;=2,"ACEPTABLE","BAJA"),)))),
IF(COUNTA(V491:V506)-COUNTBLANK(V491:V506)&gt;=3,
IF(O491="INACEPTABLE",
IF(COUNTBLANK(V491:V506)=COUNTA(V491:V506),"",
IF(COUNTIF(V491:V506,"Control/Acción No Eficaz")&gt;=2,"INACEPTABLE",
IF(AND(COUNTIF(V491:V506,"Control/Acción No Eficaz")=0,COUNTIF(V491:V506,"Control/Acción Eficaz")&gt;=2),"ACEPTABLE CON REVISIÓN ","SUSTANCIAL"))),
IF(O491="SUSTANCIAL",
IF(COUNTBLANK(V491:V506)=COUNTA(V491:V506),"",
IF(COUNTIF(V491:V506,"Control/Acción No Eficaz")&gt;=2,"SUSTANCIAL",
IF(AND(COUNTIF(V491:V506,"Control/Acción No Eficaz")=0,COUNTIF(V491:V506,"Control/Acción Eficaz")&gt;=2),"BAJA","ACEPTABLE CON REVISIÓN"))),
IF(O491="ACEPTABLE CON REVISIÓN",
IF(COUNTBLANK(V491:V506)=COUNTA(V491:V506),"",
IF(COUNTIF(V491:V506,"Control/Acción No Eficaz")&gt;=2,"ACEPTABLE CON REVISIÓN",
IF(AND(COUNTIF(V491:V506,"Control/Acción No Eficaz")=0,COUNTIF(V491:V506,"Control/Acción Eficaz")&gt;=2),"ACEPTABLE","BAJA"))),
IF(O491="BAJA",
IF(COUNTBLANK(V491:V506)=COUNTA(V491:V506),"",
IF(AND(COUNTBLANK(V491:V506)&lt;1,COUNTA(V491:V506)=1),
IF(COUNTIF(V491:V506,"Control/Acción No Eficaz")&gt;=2,"BAJA",
IF(AND(COUNTIF(V491:V506,"Control/Acción No Eficaz")=0,COUNTIF(V491:V506,"Control/Acción Eficaz")&gt;=2),"ACEPTABLE","BAJA")),
IF(COUNTIF(V491:V506,"Control/Acción No Eficaz")&gt;=2,"BAJA",
IF(AND(COUNTIF(V491:V506,"Control/Acción No Eficaz")=0,COUNTIF(V491:V506,"Control/Acción Eficaz")&gt;=2),"ACEPTABLE","BAJA")))),
IF(COUNTIF(V491:V506,"")&gt;=5,"",O491))))),
""))))</f>
        <v/>
      </c>
      <c r="X491" s="115"/>
      <c r="Y491" s="128"/>
      <c r="Z491" s="30"/>
      <c r="AA491" s="31" t="str">
        <f>E491</f>
        <v/>
      </c>
    </row>
    <row r="492" ht="87.0" customHeight="1">
      <c r="A492" s="129"/>
      <c r="B492" s="130"/>
      <c r="C492" s="130"/>
      <c r="D492" s="130"/>
      <c r="E492" s="130"/>
      <c r="F492" s="130"/>
      <c r="G492" s="130"/>
      <c r="H492" s="130"/>
      <c r="I492" s="130"/>
      <c r="J492" s="130"/>
      <c r="K492" s="130"/>
      <c r="L492" s="130"/>
      <c r="M492" s="130"/>
      <c r="N492" s="130"/>
      <c r="O492" s="130"/>
      <c r="P492" s="132"/>
      <c r="Q492" s="134"/>
      <c r="R492" s="134"/>
      <c r="S492" s="134"/>
      <c r="T492" s="135"/>
      <c r="U492" s="135"/>
      <c r="V492" s="135" t="str">
        <f>IFERROR(IF(AA492="SEGURIDAD",OFFSET('PARÁMETROS'!$K$2,MATCH(U492,JC_SE,0),MATCH(T492,CC_SE,0)),
IF(OR(AA492="DSRC/Estratégico",AA492="DSRC/Operativo"),OFFSET('PARÁMETROS'!$K$11,MATCH(U492,JC_DS,0),MATCH(T492,CC_DS,0)),
IF(AA492="SALUD",OFFSET('PARÁMETROS'!$K$29,MATCH(U492,JC_SA,0),MATCH(T492,CC_SA,0)),
IF(AA492="MEDIO AMBIENTE",OFFSET('PARÁMETROS'!$K$20,MATCH(U492,JC_MA,0),MATCH(T492,CC_MA,0)),
IF(AA492="Rel. Gubernamentales",OFFSET('PARÁMETROS'!$K$48,MATCH(U492,JC_G,0),MATCH(T492,CC_G,0)),
IF(AA492="OPERACIONAL",OFFSET('PARÁMETROS'!$K$56,MATCH(U492,JC_OP,0),MATCH(T492,CC_OP,0)),
IF(AA492="FINANCIERO",OFFSET('PARÁMETROS'!$K$56,MATCH(U492,JC_FI,0),MATCH(T492,CC_FI,0)),
OFFSET('PARÁMETROS'!$K$38,MATCH(U492,JC_L,0),MATCH(T492,CC_L,0))))))))),"")</f>
        <v/>
      </c>
      <c r="W492" s="130"/>
      <c r="X492" s="135"/>
      <c r="Y492" s="136"/>
      <c r="Z492" s="30"/>
      <c r="AA492" s="31" t="str">
        <f>E491</f>
        <v/>
      </c>
    </row>
    <row r="493" ht="87.0" customHeight="1">
      <c r="A493" s="129"/>
      <c r="B493" s="130"/>
      <c r="C493" s="130"/>
      <c r="D493" s="130"/>
      <c r="E493" s="130"/>
      <c r="F493" s="130"/>
      <c r="G493" s="130"/>
      <c r="H493" s="130"/>
      <c r="I493" s="130"/>
      <c r="J493" s="130"/>
      <c r="K493" s="130"/>
      <c r="L493" s="130"/>
      <c r="M493" s="130"/>
      <c r="N493" s="130"/>
      <c r="O493" s="130"/>
      <c r="P493" s="132"/>
      <c r="Q493" s="134"/>
      <c r="R493" s="134"/>
      <c r="S493" s="134"/>
      <c r="T493" s="135"/>
      <c r="U493" s="135"/>
      <c r="V493" s="135" t="str">
        <f>IFERROR(IF(AA493="SEGURIDAD",OFFSET('PARÁMETROS'!$K$2,MATCH(U493,JC_SE,0),MATCH(T493,CC_SE,0)),
IF(OR(AA493="DSRC/Estratégico",AA493="DSRC/Operativo"),OFFSET('PARÁMETROS'!$K$11,MATCH(U493,JC_DS,0),MATCH(T493,CC_DS,0)),
IF(AA493="SALUD",OFFSET('PARÁMETROS'!$K$29,MATCH(U493,JC_SA,0),MATCH(T493,CC_SA,0)),
IF(AA493="MEDIO AMBIENTE",OFFSET('PARÁMETROS'!$K$20,MATCH(U493,JC_MA,0),MATCH(T493,CC_MA,0)),
IF(AA493="Rel. Gubernamentales",OFFSET('PARÁMETROS'!$K$48,MATCH(U493,JC_G,0),MATCH(T493,CC_G,0)),
IF(AA493="OPERACIONAL",OFFSET('PARÁMETROS'!$K$56,MATCH(U493,JC_OP,0),MATCH(T493,CC_OP,0)),
IF(AA493="FINANCIERO",OFFSET('PARÁMETROS'!$K$56,MATCH(U493,JC_FI,0),MATCH(T493,CC_FI,0)),
OFFSET('PARÁMETROS'!$K$38,MATCH(U493,JC_L,0),MATCH(T493,CC_L,0))))))))),"")</f>
        <v/>
      </c>
      <c r="W493" s="130"/>
      <c r="X493" s="135"/>
      <c r="Y493" s="136"/>
      <c r="Z493" s="30"/>
      <c r="AA493" s="31" t="str">
        <f>E491</f>
        <v/>
      </c>
    </row>
    <row r="494" ht="87.0" customHeight="1">
      <c r="A494" s="129"/>
      <c r="B494" s="130"/>
      <c r="C494" s="130"/>
      <c r="D494" s="130"/>
      <c r="E494" s="130"/>
      <c r="F494" s="130"/>
      <c r="G494" s="130"/>
      <c r="H494" s="130"/>
      <c r="I494" s="130"/>
      <c r="J494" s="130"/>
      <c r="K494" s="130"/>
      <c r="L494" s="130"/>
      <c r="M494" s="130"/>
      <c r="N494" s="130"/>
      <c r="O494" s="130"/>
      <c r="P494" s="132"/>
      <c r="Q494" s="134"/>
      <c r="R494" s="134"/>
      <c r="S494" s="134"/>
      <c r="T494" s="135"/>
      <c r="U494" s="135"/>
      <c r="V494" s="135" t="str">
        <f>IFERROR(IF(AA494="SEGURIDAD",OFFSET('PARÁMETROS'!$K$2,MATCH(U494,JC_SE,0),MATCH(T494,CC_SE,0)),
IF(OR(AA494="DSRC/Estratégico",AA494="DSRC/Operativo"),OFFSET('PARÁMETROS'!$K$11,MATCH(U494,JC_DS,0),MATCH(T494,CC_DS,0)),
IF(AA494="SALUD",OFFSET('PARÁMETROS'!$K$29,MATCH(U494,JC_SA,0),MATCH(T494,CC_SA,0)),
IF(AA494="MEDIO AMBIENTE",OFFSET('PARÁMETROS'!$K$20,MATCH(U494,JC_MA,0),MATCH(T494,CC_MA,0)),
IF(AA494="Rel. Gubernamentales",OFFSET('PARÁMETROS'!$K$48,MATCH(U494,JC_G,0),MATCH(T494,CC_G,0)),
IF(AA494="OPERACIONAL",OFFSET('PARÁMETROS'!$K$56,MATCH(U494,JC_OP,0),MATCH(T494,CC_OP,0)),
IF(AA494="FINANCIERO",OFFSET('PARÁMETROS'!$K$56,MATCH(U494,JC_FI,0),MATCH(T494,CC_FI,0)),
OFFSET('PARÁMETROS'!$K$38,MATCH(U494,JC_L,0),MATCH(T494,CC_L,0))))))))),"")</f>
        <v/>
      </c>
      <c r="W494" s="130"/>
      <c r="X494" s="135"/>
      <c r="Y494" s="136"/>
      <c r="Z494" s="30"/>
      <c r="AA494" s="31" t="str">
        <f>E491</f>
        <v/>
      </c>
    </row>
    <row r="495" ht="87.0" customHeight="1">
      <c r="A495" s="129"/>
      <c r="B495" s="130"/>
      <c r="C495" s="130"/>
      <c r="D495" s="130"/>
      <c r="E495" s="130"/>
      <c r="F495" s="130"/>
      <c r="G495" s="130"/>
      <c r="H495" s="130"/>
      <c r="I495" s="130"/>
      <c r="J495" s="130"/>
      <c r="K495" s="130"/>
      <c r="L495" s="130"/>
      <c r="M495" s="130"/>
      <c r="N495" s="130"/>
      <c r="O495" s="130"/>
      <c r="P495" s="132"/>
      <c r="Q495" s="134"/>
      <c r="R495" s="134"/>
      <c r="S495" s="134"/>
      <c r="T495" s="135"/>
      <c r="U495" s="135"/>
      <c r="V495" s="135" t="str">
        <f>IFERROR(IF(AA495="SEGURIDAD",OFFSET('PARÁMETROS'!$K$2,MATCH(U495,JC_SE,0),MATCH(T495,CC_SE,0)),
IF(OR(AA495="DSRC/Estratégico",AA495="DSRC/Operativo"),OFFSET('PARÁMETROS'!$K$11,MATCH(U495,JC_DS,0),MATCH(T495,CC_DS,0)),
IF(AA495="SALUD",OFFSET('PARÁMETROS'!$K$29,MATCH(U495,JC_SA,0),MATCH(T495,CC_SA,0)),
IF(AA495="MEDIO AMBIENTE",OFFSET('PARÁMETROS'!$K$20,MATCH(U495,JC_MA,0),MATCH(T495,CC_MA,0)),
IF(AA495="Rel. Gubernamentales",OFFSET('PARÁMETROS'!$K$48,MATCH(U495,JC_G,0),MATCH(T495,CC_G,0)),
IF(AA495="OPERACIONAL",OFFSET('PARÁMETROS'!$K$56,MATCH(U495,JC_OP,0),MATCH(T495,CC_OP,0)),
IF(AA495="FINANCIERO",OFFSET('PARÁMETROS'!$K$56,MATCH(U495,JC_FI,0),MATCH(T495,CC_FI,0)),
OFFSET('PARÁMETROS'!$K$38,MATCH(U495,JC_L,0),MATCH(T495,CC_L,0))))))))),"")</f>
        <v/>
      </c>
      <c r="W495" s="130"/>
      <c r="X495" s="135"/>
      <c r="Y495" s="136"/>
      <c r="Z495" s="30"/>
      <c r="AA495" s="31" t="str">
        <f>E491</f>
        <v/>
      </c>
    </row>
    <row r="496" ht="87.0" customHeight="1">
      <c r="A496" s="129"/>
      <c r="B496" s="130"/>
      <c r="C496" s="130"/>
      <c r="D496" s="130"/>
      <c r="E496" s="130"/>
      <c r="F496" s="130"/>
      <c r="G496" s="130"/>
      <c r="H496" s="130"/>
      <c r="I496" s="130"/>
      <c r="J496" s="130"/>
      <c r="K496" s="130"/>
      <c r="L496" s="130"/>
      <c r="M496" s="130"/>
      <c r="N496" s="130"/>
      <c r="O496" s="130"/>
      <c r="P496" s="132"/>
      <c r="Q496" s="134"/>
      <c r="R496" s="134"/>
      <c r="S496" s="134"/>
      <c r="T496" s="135"/>
      <c r="U496" s="135"/>
      <c r="V496" s="135" t="str">
        <f>IFERROR(IF(AA496="SEGURIDAD",OFFSET('PARÁMETROS'!$K$2,MATCH(U496,JC_SE,0),MATCH(T496,CC_SE,0)),
IF(OR(AA496="DSRC/Estratégico",AA496="DSRC/Operativo"),OFFSET('PARÁMETROS'!$K$11,MATCH(U496,JC_DS,0),MATCH(T496,CC_DS,0)),
IF(AA496="SALUD",OFFSET('PARÁMETROS'!$K$29,MATCH(U496,JC_SA,0),MATCH(T496,CC_SA,0)),
IF(AA496="MEDIO AMBIENTE",OFFSET('PARÁMETROS'!$K$20,MATCH(U496,JC_MA,0),MATCH(T496,CC_MA,0)),
IF(AA496="Rel. Gubernamentales",OFFSET('PARÁMETROS'!$K$48,MATCH(U496,JC_G,0),MATCH(T496,CC_G,0)),
IF(AA496="OPERACIONAL",OFFSET('PARÁMETROS'!$K$56,MATCH(U496,JC_OP,0),MATCH(T496,CC_OP,0)),
IF(AA496="FINANCIERO",OFFSET('PARÁMETROS'!$K$56,MATCH(U496,JC_FI,0),MATCH(T496,CC_FI,0)),
OFFSET('PARÁMETROS'!$K$38,MATCH(U496,JC_L,0),MATCH(T496,CC_L,0))))))))),"")</f>
        <v/>
      </c>
      <c r="W496" s="130"/>
      <c r="X496" s="135"/>
      <c r="Y496" s="136"/>
      <c r="Z496" s="30"/>
      <c r="AA496" s="31" t="str">
        <f>E491</f>
        <v/>
      </c>
    </row>
    <row r="497" ht="87.0" customHeight="1">
      <c r="A497" s="129"/>
      <c r="B497" s="130"/>
      <c r="C497" s="130"/>
      <c r="D497" s="130"/>
      <c r="E497" s="130"/>
      <c r="F497" s="130"/>
      <c r="G497" s="130"/>
      <c r="H497" s="130"/>
      <c r="I497" s="130"/>
      <c r="J497" s="130"/>
      <c r="K497" s="130"/>
      <c r="L497" s="130"/>
      <c r="M497" s="130"/>
      <c r="N497" s="130"/>
      <c r="O497" s="130"/>
      <c r="P497" s="132"/>
      <c r="Q497" s="134"/>
      <c r="R497" s="134"/>
      <c r="S497" s="134"/>
      <c r="T497" s="135"/>
      <c r="U497" s="135"/>
      <c r="V497" s="135" t="str">
        <f>IFERROR(IF(AA497="SEGURIDAD",OFFSET('PARÁMETROS'!$K$2,MATCH(U497,JC_SE,0),MATCH(T497,CC_SE,0)),
IF(OR(AA497="DSRC/Estratégico",AA497="DSRC/Operativo"),OFFSET('PARÁMETROS'!$K$11,MATCH(U497,JC_DS,0),MATCH(T497,CC_DS,0)),
IF(AA497="SALUD",OFFSET('PARÁMETROS'!$K$29,MATCH(U497,JC_SA,0),MATCH(T497,CC_SA,0)),
IF(AA497="MEDIO AMBIENTE",OFFSET('PARÁMETROS'!$K$20,MATCH(U497,JC_MA,0),MATCH(T497,CC_MA,0)),
IF(AA497="Rel. Gubernamentales",OFFSET('PARÁMETROS'!$K$48,MATCH(U497,JC_G,0),MATCH(T497,CC_G,0)),
IF(AA497="OPERACIONAL",OFFSET('PARÁMETROS'!$K$56,MATCH(U497,JC_OP,0),MATCH(T497,CC_OP,0)),
IF(AA497="FINANCIERO",OFFSET('PARÁMETROS'!$K$56,MATCH(U497,JC_FI,0),MATCH(T497,CC_FI,0)),
OFFSET('PARÁMETROS'!$K$38,MATCH(U497,JC_L,0),MATCH(T497,CC_L,0))))))))),"")</f>
        <v/>
      </c>
      <c r="W497" s="130"/>
      <c r="X497" s="135"/>
      <c r="Y497" s="136"/>
      <c r="Z497" s="30"/>
      <c r="AA497" s="31" t="str">
        <f>E491</f>
        <v/>
      </c>
    </row>
    <row r="498" ht="87.0" customHeight="1">
      <c r="A498" s="129"/>
      <c r="B498" s="130"/>
      <c r="C498" s="130"/>
      <c r="D498" s="130"/>
      <c r="E498" s="130"/>
      <c r="F498" s="130"/>
      <c r="G498" s="130"/>
      <c r="H498" s="130"/>
      <c r="I498" s="130"/>
      <c r="J498" s="130"/>
      <c r="K498" s="130"/>
      <c r="L498" s="130"/>
      <c r="M498" s="130"/>
      <c r="N498" s="130"/>
      <c r="O498" s="130"/>
      <c r="P498" s="132"/>
      <c r="Q498" s="134"/>
      <c r="R498" s="134"/>
      <c r="S498" s="134"/>
      <c r="T498" s="135"/>
      <c r="U498" s="135"/>
      <c r="V498" s="135" t="str">
        <f>IFERROR(IF(AA498="SEGURIDAD",OFFSET('PARÁMETROS'!$K$2,MATCH(U498,JC_SE,0),MATCH(T498,CC_SE,0)),
IF(OR(AA498="DSRC/Estratégico",AA498="DSRC/Operativo"),OFFSET('PARÁMETROS'!$K$11,MATCH(U498,JC_DS,0),MATCH(T498,CC_DS,0)),
IF(AA498="SALUD",OFFSET('PARÁMETROS'!$K$29,MATCH(U498,JC_SA,0),MATCH(T498,CC_SA,0)),
IF(AA498="MEDIO AMBIENTE",OFFSET('PARÁMETROS'!$K$20,MATCH(U498,JC_MA,0),MATCH(T498,CC_MA,0)),
IF(AA498="Rel. Gubernamentales",OFFSET('PARÁMETROS'!$K$48,MATCH(U498,JC_G,0),MATCH(T498,CC_G,0)),
IF(AA498="OPERACIONAL",OFFSET('PARÁMETROS'!$K$56,MATCH(U498,JC_OP,0),MATCH(T498,CC_OP,0)),
IF(AA498="FINANCIERO",OFFSET('PARÁMETROS'!$K$56,MATCH(U498,JC_FI,0),MATCH(T498,CC_FI,0)),
OFFSET('PARÁMETROS'!$K$38,MATCH(U498,JC_L,0),MATCH(T498,CC_L,0))))))))),"")</f>
        <v/>
      </c>
      <c r="W498" s="130"/>
      <c r="X498" s="135"/>
      <c r="Y498" s="136"/>
      <c r="Z498" s="30"/>
      <c r="AA498" s="31" t="str">
        <f>E491</f>
        <v/>
      </c>
    </row>
    <row r="499" ht="87.0" customHeight="1">
      <c r="A499" s="129"/>
      <c r="B499" s="130"/>
      <c r="C499" s="130"/>
      <c r="D499" s="130"/>
      <c r="E499" s="130"/>
      <c r="F499" s="130"/>
      <c r="G499" s="130"/>
      <c r="H499" s="130"/>
      <c r="I499" s="130"/>
      <c r="J499" s="130"/>
      <c r="K499" s="130"/>
      <c r="L499" s="130"/>
      <c r="M499" s="130"/>
      <c r="N499" s="130"/>
      <c r="O499" s="130"/>
      <c r="P499" s="132"/>
      <c r="Q499" s="134"/>
      <c r="R499" s="134"/>
      <c r="S499" s="134"/>
      <c r="T499" s="135"/>
      <c r="U499" s="135"/>
      <c r="V499" s="135" t="str">
        <f>IFERROR(IF(AA499="SEGURIDAD",OFFSET('PARÁMETROS'!$K$2,MATCH(U499,JC_SE,0),MATCH(T499,CC_SE,0)),
IF(OR(AA499="DSRC/Estratégico",AA499="DSRC/Operativo"),OFFSET('PARÁMETROS'!$K$11,MATCH(U499,JC_DS,0),MATCH(T499,CC_DS,0)),
IF(AA499="SALUD",OFFSET('PARÁMETROS'!$K$29,MATCH(U499,JC_SA,0),MATCH(T499,CC_SA,0)),
IF(AA499="MEDIO AMBIENTE",OFFSET('PARÁMETROS'!$K$20,MATCH(U499,JC_MA,0),MATCH(T499,CC_MA,0)),
IF(AA499="Rel. Gubernamentales",OFFSET('PARÁMETROS'!$K$48,MATCH(U499,JC_G,0),MATCH(T499,CC_G,0)),
IF(AA499="OPERACIONAL",OFFSET('PARÁMETROS'!$K$56,MATCH(U499,JC_OP,0),MATCH(T499,CC_OP,0)),
IF(AA499="FINANCIERO",OFFSET('PARÁMETROS'!$K$56,MATCH(U499,JC_FI,0),MATCH(T499,CC_FI,0)),
OFFSET('PARÁMETROS'!$K$38,MATCH(U499,JC_L,0),MATCH(T499,CC_L,0))))))))),"")</f>
        <v/>
      </c>
      <c r="W499" s="130"/>
      <c r="X499" s="135"/>
      <c r="Y499" s="136"/>
      <c r="Z499" s="30"/>
      <c r="AA499" s="31" t="str">
        <f>E491</f>
        <v/>
      </c>
    </row>
    <row r="500" ht="87.0" customHeight="1">
      <c r="A500" s="129"/>
      <c r="B500" s="130"/>
      <c r="C500" s="130"/>
      <c r="D500" s="130"/>
      <c r="E500" s="130"/>
      <c r="F500" s="130"/>
      <c r="G500" s="130"/>
      <c r="H500" s="130"/>
      <c r="I500" s="130"/>
      <c r="J500" s="130"/>
      <c r="K500" s="130"/>
      <c r="L500" s="130"/>
      <c r="M500" s="130"/>
      <c r="N500" s="130"/>
      <c r="O500" s="130"/>
      <c r="P500" s="132"/>
      <c r="Q500" s="134"/>
      <c r="R500" s="134"/>
      <c r="S500" s="134"/>
      <c r="T500" s="135"/>
      <c r="U500" s="135"/>
      <c r="V500" s="135" t="str">
        <f>IFERROR(IF(AA500="SEGURIDAD",OFFSET('PARÁMETROS'!$K$2,MATCH(U500,JC_SE,0),MATCH(T500,CC_SE,0)),
IF(OR(AA500="DSRC/Estratégico",AA500="DSRC/Operativo"),OFFSET('PARÁMETROS'!$K$11,MATCH(U500,JC_DS,0),MATCH(T500,CC_DS,0)),
IF(AA500="SALUD",OFFSET('PARÁMETROS'!$K$29,MATCH(U500,JC_SA,0),MATCH(T500,CC_SA,0)),
IF(AA500="MEDIO AMBIENTE",OFFSET('PARÁMETROS'!$K$20,MATCH(U500,JC_MA,0),MATCH(T500,CC_MA,0)),
IF(AA500="Rel. Gubernamentales",OFFSET('PARÁMETROS'!$K$48,MATCH(U500,JC_G,0),MATCH(T500,CC_G,0)),
IF(AA500="OPERACIONAL",OFFSET('PARÁMETROS'!$K$56,MATCH(U500,JC_OP,0),MATCH(T500,CC_OP,0)),
IF(AA500="FINANCIERO",OFFSET('PARÁMETROS'!$K$56,MATCH(U500,JC_FI,0),MATCH(T500,CC_FI,0)),
OFFSET('PARÁMETROS'!$K$38,MATCH(U500,JC_L,0),MATCH(T500,CC_L,0))))))))),"")</f>
        <v/>
      </c>
      <c r="W500" s="130"/>
      <c r="X500" s="135"/>
      <c r="Y500" s="136"/>
      <c r="Z500" s="30"/>
      <c r="AA500" s="31" t="str">
        <f>E491</f>
        <v/>
      </c>
    </row>
    <row r="501" ht="87.0" customHeight="1">
      <c r="A501" s="129"/>
      <c r="B501" s="130"/>
      <c r="C501" s="130"/>
      <c r="D501" s="130"/>
      <c r="E501" s="130"/>
      <c r="F501" s="130"/>
      <c r="G501" s="130"/>
      <c r="H501" s="130"/>
      <c r="I501" s="130"/>
      <c r="J501" s="130"/>
      <c r="K501" s="130"/>
      <c r="L501" s="130"/>
      <c r="M501" s="130"/>
      <c r="N501" s="130"/>
      <c r="O501" s="130"/>
      <c r="P501" s="132"/>
      <c r="Q501" s="134"/>
      <c r="R501" s="134"/>
      <c r="S501" s="134"/>
      <c r="T501" s="135"/>
      <c r="U501" s="135"/>
      <c r="V501" s="135" t="str">
        <f>IFERROR(IF(AA501="SEGURIDAD",OFFSET('PARÁMETROS'!$K$2,MATCH(U501,JC_SE,0),MATCH(T501,CC_SE,0)),
IF(OR(AA501="DSRC/Estratégico",AA501="DSRC/Operativo"),OFFSET('PARÁMETROS'!$K$11,MATCH(U501,JC_DS,0),MATCH(T501,CC_DS,0)),
IF(AA501="SALUD",OFFSET('PARÁMETROS'!$K$29,MATCH(U501,JC_SA,0),MATCH(T501,CC_SA,0)),
IF(AA501="MEDIO AMBIENTE",OFFSET('PARÁMETROS'!$K$20,MATCH(U501,JC_MA,0),MATCH(T501,CC_MA,0)),
IF(AA501="Rel. Gubernamentales",OFFSET('PARÁMETROS'!$K$48,MATCH(U501,JC_G,0),MATCH(T501,CC_G,0)),
IF(AA501="OPERACIONAL",OFFSET('PARÁMETROS'!$K$56,MATCH(U501,JC_OP,0),MATCH(T501,CC_OP,0)),
IF(AA501="FINANCIERO",OFFSET('PARÁMETROS'!$K$56,MATCH(U501,JC_FI,0),MATCH(T501,CC_FI,0)),
OFFSET('PARÁMETROS'!$K$38,MATCH(U501,JC_L,0),MATCH(T501,CC_L,0))))))))),"")</f>
        <v/>
      </c>
      <c r="W501" s="130"/>
      <c r="X501" s="135"/>
      <c r="Y501" s="136"/>
      <c r="Z501" s="30"/>
      <c r="AA501" s="31" t="str">
        <f>E491</f>
        <v/>
      </c>
    </row>
    <row r="502" ht="87.0" customHeight="1">
      <c r="A502" s="129"/>
      <c r="B502" s="130"/>
      <c r="C502" s="130"/>
      <c r="D502" s="130"/>
      <c r="E502" s="130"/>
      <c r="F502" s="130"/>
      <c r="G502" s="130"/>
      <c r="H502" s="130"/>
      <c r="I502" s="130"/>
      <c r="J502" s="130"/>
      <c r="K502" s="130"/>
      <c r="L502" s="130"/>
      <c r="M502" s="130"/>
      <c r="N502" s="130"/>
      <c r="O502" s="130"/>
      <c r="P502" s="132"/>
      <c r="Q502" s="134"/>
      <c r="R502" s="134"/>
      <c r="S502" s="134"/>
      <c r="T502" s="135"/>
      <c r="U502" s="135"/>
      <c r="V502" s="135" t="str">
        <f>IFERROR(IF(AA502="SEGURIDAD",OFFSET('PARÁMETROS'!$K$2,MATCH(U502,JC_SE,0),MATCH(T502,CC_SE,0)),
IF(OR(AA502="DSRC/Estratégico",AA502="DSRC/Operativo"),OFFSET('PARÁMETROS'!$K$11,MATCH(U502,JC_DS,0),MATCH(T502,CC_DS,0)),
IF(AA502="SALUD",OFFSET('PARÁMETROS'!$K$29,MATCH(U502,JC_SA,0),MATCH(T502,CC_SA,0)),
IF(AA502="MEDIO AMBIENTE",OFFSET('PARÁMETROS'!$K$20,MATCH(U502,JC_MA,0),MATCH(T502,CC_MA,0)),
IF(AA502="Rel. Gubernamentales",OFFSET('PARÁMETROS'!$K$48,MATCH(U502,JC_G,0),MATCH(T502,CC_G,0)),
IF(AA502="OPERACIONAL",OFFSET('PARÁMETROS'!$K$56,MATCH(U502,JC_OP,0),MATCH(T502,CC_OP,0)),
IF(AA502="FINANCIERO",OFFSET('PARÁMETROS'!$K$56,MATCH(U502,JC_FI,0),MATCH(T502,CC_FI,0)),
OFFSET('PARÁMETROS'!$K$38,MATCH(U502,JC_L,0),MATCH(T502,CC_L,0))))))))),"")</f>
        <v/>
      </c>
      <c r="W502" s="130"/>
      <c r="X502" s="135"/>
      <c r="Y502" s="136"/>
      <c r="Z502" s="30"/>
      <c r="AA502" s="31" t="str">
        <f>E491</f>
        <v/>
      </c>
    </row>
    <row r="503" ht="87.0" customHeight="1">
      <c r="A503" s="129"/>
      <c r="B503" s="130"/>
      <c r="C503" s="130"/>
      <c r="D503" s="130"/>
      <c r="E503" s="130"/>
      <c r="F503" s="130"/>
      <c r="G503" s="130"/>
      <c r="H503" s="130"/>
      <c r="I503" s="130"/>
      <c r="J503" s="130"/>
      <c r="K503" s="130"/>
      <c r="L503" s="130"/>
      <c r="M503" s="130"/>
      <c r="N503" s="130"/>
      <c r="O503" s="130"/>
      <c r="P503" s="132"/>
      <c r="Q503" s="134"/>
      <c r="R503" s="134"/>
      <c r="S503" s="134"/>
      <c r="T503" s="135"/>
      <c r="U503" s="135"/>
      <c r="V503" s="135" t="str">
        <f>IFERROR(IF(AA503="SEGURIDAD",OFFSET('PARÁMETROS'!$K$2,MATCH(U503,JC_SE,0),MATCH(T503,CC_SE,0)),
IF(OR(AA503="DSRC/Estratégico",AA503="DSRC/Operativo"),OFFSET('PARÁMETROS'!$K$11,MATCH(U503,JC_DS,0),MATCH(T503,CC_DS,0)),
IF(AA503="SALUD",OFFSET('PARÁMETROS'!$K$29,MATCH(U503,JC_SA,0),MATCH(T503,CC_SA,0)),
IF(AA503="MEDIO AMBIENTE",OFFSET('PARÁMETROS'!$K$20,MATCH(U503,JC_MA,0),MATCH(T503,CC_MA,0)),
IF(AA503="Rel. Gubernamentales",OFFSET('PARÁMETROS'!$K$48,MATCH(U503,JC_G,0),MATCH(T503,CC_G,0)),
IF(AA503="OPERACIONAL",OFFSET('PARÁMETROS'!$K$56,MATCH(U503,JC_OP,0),MATCH(T503,CC_OP,0)),
IF(AA503="FINANCIERO",OFFSET('PARÁMETROS'!$K$56,MATCH(U503,JC_FI,0),MATCH(T503,CC_FI,0)),
OFFSET('PARÁMETROS'!$K$38,MATCH(U503,JC_L,0),MATCH(T503,CC_L,0))))))))),"")</f>
        <v/>
      </c>
      <c r="W503" s="130"/>
      <c r="X503" s="135"/>
      <c r="Y503" s="136"/>
      <c r="Z503" s="30"/>
      <c r="AA503" s="31" t="str">
        <f>E491</f>
        <v/>
      </c>
    </row>
    <row r="504" ht="87.0" customHeight="1">
      <c r="A504" s="129"/>
      <c r="B504" s="130"/>
      <c r="C504" s="130"/>
      <c r="D504" s="130"/>
      <c r="E504" s="130"/>
      <c r="F504" s="130"/>
      <c r="G504" s="130"/>
      <c r="H504" s="130"/>
      <c r="I504" s="130"/>
      <c r="J504" s="130"/>
      <c r="K504" s="130"/>
      <c r="L504" s="130"/>
      <c r="M504" s="130"/>
      <c r="N504" s="130"/>
      <c r="O504" s="130"/>
      <c r="P504" s="132"/>
      <c r="Q504" s="134"/>
      <c r="R504" s="134"/>
      <c r="S504" s="134"/>
      <c r="T504" s="135"/>
      <c r="U504" s="135"/>
      <c r="V504" s="135" t="str">
        <f>IFERROR(IF(AA504="SEGURIDAD",OFFSET('PARÁMETROS'!$K$2,MATCH(U504,JC_SE,0),MATCH(T504,CC_SE,0)),
IF(OR(AA504="DSRC/Estratégico",AA504="DSRC/Operativo"),OFFSET('PARÁMETROS'!$K$11,MATCH(U504,JC_DS,0),MATCH(T504,CC_DS,0)),
IF(AA504="SALUD",OFFSET('PARÁMETROS'!$K$29,MATCH(U504,JC_SA,0),MATCH(T504,CC_SA,0)),
IF(AA504="MEDIO AMBIENTE",OFFSET('PARÁMETROS'!$K$20,MATCH(U504,JC_MA,0),MATCH(T504,CC_MA,0)),
IF(AA504="Rel. Gubernamentales",OFFSET('PARÁMETROS'!$K$48,MATCH(U504,JC_G,0),MATCH(T504,CC_G,0)),
IF(AA504="OPERACIONAL",OFFSET('PARÁMETROS'!$K$56,MATCH(U504,JC_OP,0),MATCH(T504,CC_OP,0)),
IF(AA504="FINANCIERO",OFFSET('PARÁMETROS'!$K$56,MATCH(U504,JC_FI,0),MATCH(T504,CC_FI,0)),
OFFSET('PARÁMETROS'!$K$38,MATCH(U504,JC_L,0),MATCH(T504,CC_L,0))))))))),"")</f>
        <v/>
      </c>
      <c r="W504" s="130"/>
      <c r="X504" s="135"/>
      <c r="Y504" s="136"/>
      <c r="Z504" s="30"/>
      <c r="AA504" s="31" t="str">
        <f>E491</f>
        <v/>
      </c>
    </row>
    <row r="505" ht="87.0" customHeight="1">
      <c r="A505" s="129"/>
      <c r="B505" s="130"/>
      <c r="C505" s="130"/>
      <c r="D505" s="130"/>
      <c r="E505" s="130"/>
      <c r="F505" s="130"/>
      <c r="G505" s="130"/>
      <c r="H505" s="130"/>
      <c r="I505" s="130"/>
      <c r="J505" s="130"/>
      <c r="K505" s="130"/>
      <c r="L505" s="130"/>
      <c r="M505" s="130"/>
      <c r="N505" s="130"/>
      <c r="O505" s="130"/>
      <c r="P505" s="132"/>
      <c r="Q505" s="134"/>
      <c r="R505" s="134"/>
      <c r="S505" s="134"/>
      <c r="T505" s="135"/>
      <c r="U505" s="135"/>
      <c r="V505" s="135" t="str">
        <f>IFERROR(IF(AA505="SEGURIDAD",OFFSET('PARÁMETROS'!$K$2,MATCH(U505,JC_SE,0),MATCH(T505,CC_SE,0)),
IF(OR(AA505="DSRC/Estratégico",AA505="DSRC/Operativo"),OFFSET('PARÁMETROS'!$K$11,MATCH(U505,JC_DS,0),MATCH(T505,CC_DS,0)),
IF(AA505="SALUD",OFFSET('PARÁMETROS'!$K$29,MATCH(U505,JC_SA,0),MATCH(T505,CC_SA,0)),
IF(AA505="MEDIO AMBIENTE",OFFSET('PARÁMETROS'!$K$20,MATCH(U505,JC_MA,0),MATCH(T505,CC_MA,0)),
IF(AA505="Rel. Gubernamentales",OFFSET('PARÁMETROS'!$K$48,MATCH(U505,JC_G,0),MATCH(T505,CC_G,0)),
IF(AA505="OPERACIONAL",OFFSET('PARÁMETROS'!$K$56,MATCH(U505,JC_OP,0),MATCH(T505,CC_OP,0)),
IF(AA505="FINANCIERO",OFFSET('PARÁMETROS'!$K$56,MATCH(U505,JC_FI,0),MATCH(T505,CC_FI,0)),
OFFSET('PARÁMETROS'!$K$38,MATCH(U505,JC_L,0),MATCH(T505,CC_L,0))))))))),"")</f>
        <v/>
      </c>
      <c r="W505" s="130"/>
      <c r="X505" s="135"/>
      <c r="Y505" s="136"/>
      <c r="Z505" s="30"/>
      <c r="AA505" s="31" t="str">
        <f>E491</f>
        <v/>
      </c>
    </row>
    <row r="506" ht="87.0" customHeight="1">
      <c r="A506" s="89"/>
      <c r="B506" s="90"/>
      <c r="C506" s="90"/>
      <c r="D506" s="157"/>
      <c r="E506" s="157"/>
      <c r="F506" s="157"/>
      <c r="G506" s="157"/>
      <c r="H506" s="157"/>
      <c r="I506" s="90"/>
      <c r="J506" s="90"/>
      <c r="K506" s="90"/>
      <c r="L506" s="90"/>
      <c r="M506" s="90"/>
      <c r="N506" s="90"/>
      <c r="O506" s="90"/>
      <c r="P506" s="132"/>
      <c r="Q506" s="134"/>
      <c r="R506" s="145"/>
      <c r="S506" s="145"/>
      <c r="T506" s="135"/>
      <c r="U506" s="135"/>
      <c r="V506" s="135" t="str">
        <f>IFERROR(IF(AA506="SEGURIDAD",OFFSET('PARÁMETROS'!$K$2,MATCH(U506,JC_SE,0),MATCH(T506,CC_SE,0)),
IF(OR(AA506="DSRC/Estratégico",AA506="DSRC/Operativo"),OFFSET('PARÁMETROS'!$K$11,MATCH(U506,JC_DS,0),MATCH(T506,CC_DS,0)),
IF(AA506="SALUD",OFFSET('PARÁMETROS'!$K$29,MATCH(U506,JC_SA,0),MATCH(T506,CC_SA,0)),
IF(AA506="MEDIO AMBIENTE",OFFSET('PARÁMETROS'!$K$20,MATCH(U506,JC_MA,0),MATCH(T506,CC_MA,0)),
IF(AA506="Rel. Gubernamentales",OFFSET('PARÁMETROS'!$K$48,MATCH(U506,JC_G,0),MATCH(T506,CC_G,0)),
IF(AA506="OPERACIONAL",OFFSET('PARÁMETROS'!$K$56,MATCH(U506,JC_OP,0),MATCH(T506,CC_OP,0)),
IF(AA506="FINANCIERO",OFFSET('PARÁMETROS'!$K$56,MATCH(U506,JC_FI,0),MATCH(T506,CC_FI,0)),
OFFSET('PARÁMETROS'!$K$38,MATCH(U506,JC_L,0),MATCH(T506,CC_L,0))))))))),"")</f>
        <v/>
      </c>
      <c r="W506" s="90"/>
      <c r="X506" s="135"/>
      <c r="Y506" s="136"/>
      <c r="Z506" s="30"/>
      <c r="AA506" s="31" t="str">
        <f>E491</f>
        <v/>
      </c>
    </row>
    <row r="507" ht="87.0" customHeight="1">
      <c r="A507" s="102"/>
      <c r="B507" s="103"/>
      <c r="C507" s="103"/>
      <c r="D507" s="103"/>
      <c r="E507" s="103"/>
      <c r="F507" s="103"/>
      <c r="G507" s="105"/>
      <c r="H507" s="103"/>
      <c r="I507" s="105"/>
      <c r="J507" s="103"/>
      <c r="K507" s="103"/>
      <c r="L507" s="103" t="str">
        <f>IF(OR(J507&lt;&gt;"",K507&lt;&gt;""),OFFSET('PARÁMETROS'!$B$2,K507,J507),"")</f>
        <v/>
      </c>
      <c r="M507" s="103"/>
      <c r="N507" s="103">
        <f>IFERROR(L507*M507,"")</f>
        <v>0</v>
      </c>
      <c r="O507" s="108" t="str">
        <f>IF(N507="","",IFERROR(IF(N507&lt;=2,"ACEPTABLE",IF(N507&lt;=6,"BAJA",IF(N507&lt;=10,"ACEPTABLE CON REVISIÓN",IF(N507&lt;=15,"SUSTANCIAL","INACEPTABLE")))),""))</f>
        <v>ACEPTABLE</v>
      </c>
      <c r="P507" s="113"/>
      <c r="Q507" s="114"/>
      <c r="R507" s="114"/>
      <c r="S507" s="114"/>
      <c r="T507" s="115"/>
      <c r="U507" s="115"/>
      <c r="V507" s="115" t="str">
        <f>IFERROR(IF(AA507="SEGURIDAD",OFFSET('PARÁMETROS'!$K$2,MATCH(U507,JC_SE,0),MATCH(T507,CC_SE,0)),
IF(OR(AA507="DSRC/Estratégico",AA507="DSRC/Operativo"),OFFSET('PARÁMETROS'!$K$11,MATCH(U507,JC_DS,0),MATCH(T507,CC_DS,0)),
IF(AA507="SALUD",OFFSET('PARÁMETROS'!$K$29,MATCH(U507,JC_SA,0),MATCH(T507,CC_SA,0)),
IF(AA507="MEDIO AMBIENTE",OFFSET('PARÁMETROS'!$K$20,MATCH(U507,JC_MA,0),MATCH(T507,CC_MA,0)),
IF(AA507="Rel. Gubernamentales",OFFSET('PARÁMETROS'!$K$48,MATCH(U507,JC_G,0),MATCH(T507,CC_G,0)),
IF(AA507="OPERACIONAL",OFFSET('PARÁMETROS'!$K$56,MATCH(U507,JC_OP,0),MATCH(T507,CC_OP,0)),
IF(AA507="FINANCIERO",OFFSET('PARÁMETROS'!$K$56,MATCH(U507,JC_FI,0),MATCH(T507,CC_FI,0)),
OFFSET('PARÁMETROS'!$K$38,MATCH(U507,JC_L,0),MATCH(T507,CC_L,0))))))))),"")</f>
        <v/>
      </c>
      <c r="W507" s="108" t="str">
        <f>IF(E507="","",
IF(COUNTA(V507:V522)-COUNTBLANK(V507:V522)=1,
IF(O507="INACEPTABLE",IF(COUNTIF(V507:V522,"Control/Acción Eficaz")&gt;=1,"SUSTANCIAL","INACEPTABLE"),
IF(O507="SUSTANCIAL",IF(COUNTIF(V507:V522,"Control/Acción Eficaz")&gt;=1,"ACEPTABLE CON REVISIÓN","SUSTANCIAL"),
IF(O507="ACEPTABLE CON REVISIÓN",IF(COUNTIF(V507:V522,"Control/Acción Eficaz")&gt;=1,"BAJA","ACEPTABLE CON REVISIÓN"),
IF(O507="BAJA",IF(COUNTIF(V507:V522,"Control/Acción Eficaz")&gt;=1,"ACEPTABLE","BAJA"),)))),
IF(COUNTA(V507:V522)-COUNTBLANK(V507:V522)=2,
IF(O507="INACEPTABLE",IF(COUNTIF(V507:V522,"Control/Acción Eficaz")=2,"ACEPTABLE CON REVISIÓN",
IF(OR(AND(COUNTIF(V507:V522,"Control/Acción Eficaz")=1,COUNTIF(V507:V522,"Control/Acción Satisfactorio")=1),
AND(COUNTIF(V507:V522,"Control/Acción Eficaz")=1,COUNTIF(V507:V522,"Control/Acción No Eficaz")=1)),"SUSTANCIAL","INACEPTABLE")),
IF(O507="SUSTANCIAL",IF(COUNTIF(V507:V522,"Control/Acción Eficaz")=2,"BAJA",
IF(OR(AND(COUNTIF(V507:V522,"Control/Acción Eficaz")=1,COUNTIF(V507:V522,"Control/Acción Satisfactorio")=1),
AND(COUNTIF(V507:V522,"Control/Acción Eficaz")=1,COUNTIF(V507:V522,"Control/Acción No Eficaz")=1)),"ACEPTABLE CON REVISIÓN ","SUSTANCIAL")),
IF(O507="ACEPTABLE CON REVISIÓN",IF(COUNTIF(V507:V522,"Control/Acción Eficaz")=2,"ACEPTABLE",
IF(OR(AND(COUNTIF(V507:V522,"Control/Acción Eficaz")=1,COUNTIF(V507:V522,"Control/Acción Satisfactorio")=1),
AND(COUNTIF(V507:V522,"Control/Acción Eficaz")=1,COUNTIF(V507:V522,"Control/Acción No Eficaz")=1)),"BAJA","ACEPTABLE CON REVISIÓN")),
IF(O507="BAJA",IF(COUNTIF(V507:V522,"Control/Acción Eficaz")&gt;=2,"ACEPTABLE","BAJA"),)))),
IF(COUNTA(V507:V522)-COUNTBLANK(V507:V522)&gt;=3,
IF(O507="INACEPTABLE",
IF(COUNTBLANK(V507:V522)=COUNTA(V507:V522),"",
IF(COUNTIF(V507:V522,"Control/Acción No Eficaz")&gt;=2,"INACEPTABLE",
IF(AND(COUNTIF(V507:V522,"Control/Acción No Eficaz")=0,COUNTIF(V507:V522,"Control/Acción Eficaz")&gt;=2),"ACEPTABLE CON REVISIÓN ","SUSTANCIAL"))),
IF(O507="SUSTANCIAL",
IF(COUNTBLANK(V507:V522)=COUNTA(V507:V522),"",
IF(COUNTIF(V507:V522,"Control/Acción No Eficaz")&gt;=2,"SUSTANCIAL",
IF(AND(COUNTIF(V507:V522,"Control/Acción No Eficaz")=0,COUNTIF(V507:V522,"Control/Acción Eficaz")&gt;=2),"BAJA","ACEPTABLE CON REVISIÓN"))),
IF(O507="ACEPTABLE CON REVISIÓN",
IF(COUNTBLANK(V507:V522)=COUNTA(V507:V522),"",
IF(COUNTIF(V507:V522,"Control/Acción No Eficaz")&gt;=2,"ACEPTABLE CON REVISIÓN",
IF(AND(COUNTIF(V507:V522,"Control/Acción No Eficaz")=0,COUNTIF(V507:V522,"Control/Acción Eficaz")&gt;=2),"ACEPTABLE","BAJA"))),
IF(O507="BAJA",
IF(COUNTBLANK(V507:V522)=COUNTA(V507:V522),"",
IF(AND(COUNTBLANK(V507:V522)&lt;1,COUNTA(V507:V522)=1),
IF(COUNTIF(V507:V522,"Control/Acción No Eficaz")&gt;=2,"BAJA",
IF(AND(COUNTIF(V507:V522,"Control/Acción No Eficaz")=0,COUNTIF(V507:V522,"Control/Acción Eficaz")&gt;=2),"ACEPTABLE","BAJA")),
IF(COUNTIF(V507:V522,"Control/Acción No Eficaz")&gt;=2,"BAJA",
IF(AND(COUNTIF(V507:V522,"Control/Acción No Eficaz")=0,COUNTIF(V507:V522,"Control/Acción Eficaz")&gt;=2),"ACEPTABLE","BAJA")))),
IF(COUNTIF(V507:V522,"")&gt;=5,"",O507))))),
""))))</f>
        <v/>
      </c>
      <c r="X507" s="115"/>
      <c r="Y507" s="128"/>
      <c r="Z507" s="30"/>
      <c r="AA507" s="31" t="str">
        <f>E507</f>
        <v/>
      </c>
    </row>
    <row r="508" ht="87.0" customHeight="1">
      <c r="A508" s="129"/>
      <c r="B508" s="130"/>
      <c r="C508" s="130"/>
      <c r="D508" s="130"/>
      <c r="E508" s="130"/>
      <c r="F508" s="130"/>
      <c r="G508" s="130"/>
      <c r="H508" s="130"/>
      <c r="I508" s="130"/>
      <c r="J508" s="130"/>
      <c r="K508" s="130"/>
      <c r="L508" s="130"/>
      <c r="M508" s="130"/>
      <c r="N508" s="130"/>
      <c r="O508" s="130"/>
      <c r="P508" s="132"/>
      <c r="Q508" s="134"/>
      <c r="R508" s="134"/>
      <c r="S508" s="134"/>
      <c r="T508" s="135"/>
      <c r="U508" s="135"/>
      <c r="V508" s="135" t="str">
        <f>IFERROR(IF(AA508="SEGURIDAD",OFFSET('PARÁMETROS'!$K$2,MATCH(U508,JC_SE,0),MATCH(T508,CC_SE,0)),
IF(OR(AA508="DSRC/Estratégico",AA508="DSRC/Operativo"),OFFSET('PARÁMETROS'!$K$11,MATCH(U508,JC_DS,0),MATCH(T508,CC_DS,0)),
IF(AA508="SALUD",OFFSET('PARÁMETROS'!$K$29,MATCH(U508,JC_SA,0),MATCH(T508,CC_SA,0)),
IF(AA508="MEDIO AMBIENTE",OFFSET('PARÁMETROS'!$K$20,MATCH(U508,JC_MA,0),MATCH(T508,CC_MA,0)),
IF(AA508="Rel. Gubernamentales",OFFSET('PARÁMETROS'!$K$48,MATCH(U508,JC_G,0),MATCH(T508,CC_G,0)),
IF(AA508="OPERACIONAL",OFFSET('PARÁMETROS'!$K$56,MATCH(U508,JC_OP,0),MATCH(T508,CC_OP,0)),
IF(AA508="FINANCIERO",OFFSET('PARÁMETROS'!$K$56,MATCH(U508,JC_FI,0),MATCH(T508,CC_FI,0)),
OFFSET('PARÁMETROS'!$K$38,MATCH(U508,JC_L,0),MATCH(T508,CC_L,0))))))))),"")</f>
        <v/>
      </c>
      <c r="W508" s="130"/>
      <c r="X508" s="135"/>
      <c r="Y508" s="136"/>
      <c r="Z508" s="30"/>
      <c r="AA508" s="31" t="str">
        <f>E507</f>
        <v/>
      </c>
    </row>
    <row r="509" ht="87.0" customHeight="1">
      <c r="A509" s="129"/>
      <c r="B509" s="130"/>
      <c r="C509" s="130"/>
      <c r="D509" s="130"/>
      <c r="E509" s="130"/>
      <c r="F509" s="130"/>
      <c r="G509" s="130"/>
      <c r="H509" s="130"/>
      <c r="I509" s="130"/>
      <c r="J509" s="130"/>
      <c r="K509" s="130"/>
      <c r="L509" s="130"/>
      <c r="M509" s="130"/>
      <c r="N509" s="130"/>
      <c r="O509" s="130"/>
      <c r="P509" s="132"/>
      <c r="Q509" s="134"/>
      <c r="R509" s="134"/>
      <c r="S509" s="134"/>
      <c r="T509" s="135"/>
      <c r="U509" s="135"/>
      <c r="V509" s="135" t="str">
        <f>IFERROR(IF(AA509="SEGURIDAD",OFFSET('PARÁMETROS'!$K$2,MATCH(U509,JC_SE,0),MATCH(T509,CC_SE,0)),
IF(OR(AA509="DSRC/Estratégico",AA509="DSRC/Operativo"),OFFSET('PARÁMETROS'!$K$11,MATCH(U509,JC_DS,0),MATCH(T509,CC_DS,0)),
IF(AA509="SALUD",OFFSET('PARÁMETROS'!$K$29,MATCH(U509,JC_SA,0),MATCH(T509,CC_SA,0)),
IF(AA509="MEDIO AMBIENTE",OFFSET('PARÁMETROS'!$K$20,MATCH(U509,JC_MA,0),MATCH(T509,CC_MA,0)),
IF(AA509="Rel. Gubernamentales",OFFSET('PARÁMETROS'!$K$48,MATCH(U509,JC_G,0),MATCH(T509,CC_G,0)),
IF(AA509="OPERACIONAL",OFFSET('PARÁMETROS'!$K$56,MATCH(U509,JC_OP,0),MATCH(T509,CC_OP,0)),
IF(AA509="FINANCIERO",OFFSET('PARÁMETROS'!$K$56,MATCH(U509,JC_FI,0),MATCH(T509,CC_FI,0)),
OFFSET('PARÁMETROS'!$K$38,MATCH(U509,JC_L,0),MATCH(T509,CC_L,0))))))))),"")</f>
        <v/>
      </c>
      <c r="W509" s="130"/>
      <c r="X509" s="135"/>
      <c r="Y509" s="136"/>
      <c r="Z509" s="30"/>
      <c r="AA509" s="31" t="str">
        <f>E507</f>
        <v/>
      </c>
    </row>
    <row r="510" ht="87.0" customHeight="1">
      <c r="A510" s="129"/>
      <c r="B510" s="130"/>
      <c r="C510" s="130"/>
      <c r="D510" s="130"/>
      <c r="E510" s="130"/>
      <c r="F510" s="130"/>
      <c r="G510" s="130"/>
      <c r="H510" s="130"/>
      <c r="I510" s="130"/>
      <c r="J510" s="130"/>
      <c r="K510" s="130"/>
      <c r="L510" s="130"/>
      <c r="M510" s="130"/>
      <c r="N510" s="130"/>
      <c r="O510" s="130"/>
      <c r="P510" s="132"/>
      <c r="Q510" s="134"/>
      <c r="R510" s="134"/>
      <c r="S510" s="134"/>
      <c r="T510" s="135"/>
      <c r="U510" s="135"/>
      <c r="V510" s="135" t="str">
        <f>IFERROR(IF(AA510="SEGURIDAD",OFFSET('PARÁMETROS'!$K$2,MATCH(U510,JC_SE,0),MATCH(T510,CC_SE,0)),
IF(OR(AA510="DSRC/Estratégico",AA510="DSRC/Operativo"),OFFSET('PARÁMETROS'!$K$11,MATCH(U510,JC_DS,0),MATCH(T510,CC_DS,0)),
IF(AA510="SALUD",OFFSET('PARÁMETROS'!$K$29,MATCH(U510,JC_SA,0),MATCH(T510,CC_SA,0)),
IF(AA510="MEDIO AMBIENTE",OFFSET('PARÁMETROS'!$K$20,MATCH(U510,JC_MA,0),MATCH(T510,CC_MA,0)),
IF(AA510="Rel. Gubernamentales",OFFSET('PARÁMETROS'!$K$48,MATCH(U510,JC_G,0),MATCH(T510,CC_G,0)),
IF(AA510="OPERACIONAL",OFFSET('PARÁMETROS'!$K$56,MATCH(U510,JC_OP,0),MATCH(T510,CC_OP,0)),
IF(AA510="FINANCIERO",OFFSET('PARÁMETROS'!$K$56,MATCH(U510,JC_FI,0),MATCH(T510,CC_FI,0)),
OFFSET('PARÁMETROS'!$K$38,MATCH(U510,JC_L,0),MATCH(T510,CC_L,0))))))))),"")</f>
        <v/>
      </c>
      <c r="W510" s="130"/>
      <c r="X510" s="135"/>
      <c r="Y510" s="136"/>
      <c r="Z510" s="30"/>
      <c r="AA510" s="31" t="str">
        <f>E507</f>
        <v/>
      </c>
    </row>
    <row r="511" ht="87.0" customHeight="1">
      <c r="A511" s="129"/>
      <c r="B511" s="130"/>
      <c r="C511" s="130"/>
      <c r="D511" s="130"/>
      <c r="E511" s="130"/>
      <c r="F511" s="130"/>
      <c r="G511" s="130"/>
      <c r="H511" s="130"/>
      <c r="I511" s="130"/>
      <c r="J511" s="130"/>
      <c r="K511" s="130"/>
      <c r="L511" s="130"/>
      <c r="M511" s="130"/>
      <c r="N511" s="130"/>
      <c r="O511" s="130"/>
      <c r="P511" s="132"/>
      <c r="Q511" s="134"/>
      <c r="R511" s="134"/>
      <c r="S511" s="134"/>
      <c r="T511" s="135"/>
      <c r="U511" s="135"/>
      <c r="V511" s="135" t="str">
        <f>IFERROR(IF(AA511="SEGURIDAD",OFFSET('PARÁMETROS'!$K$2,MATCH(U511,JC_SE,0),MATCH(T511,CC_SE,0)),
IF(OR(AA511="DSRC/Estratégico",AA511="DSRC/Operativo"),OFFSET('PARÁMETROS'!$K$11,MATCH(U511,JC_DS,0),MATCH(T511,CC_DS,0)),
IF(AA511="SALUD",OFFSET('PARÁMETROS'!$K$29,MATCH(U511,JC_SA,0),MATCH(T511,CC_SA,0)),
IF(AA511="MEDIO AMBIENTE",OFFSET('PARÁMETROS'!$K$20,MATCH(U511,JC_MA,0),MATCH(T511,CC_MA,0)),
IF(AA511="Rel. Gubernamentales",OFFSET('PARÁMETROS'!$K$48,MATCH(U511,JC_G,0),MATCH(T511,CC_G,0)),
IF(AA511="OPERACIONAL",OFFSET('PARÁMETROS'!$K$56,MATCH(U511,JC_OP,0),MATCH(T511,CC_OP,0)),
IF(AA511="FINANCIERO",OFFSET('PARÁMETROS'!$K$56,MATCH(U511,JC_FI,0),MATCH(T511,CC_FI,0)),
OFFSET('PARÁMETROS'!$K$38,MATCH(U511,JC_L,0),MATCH(T511,CC_L,0))))))))),"")</f>
        <v/>
      </c>
      <c r="W511" s="130"/>
      <c r="X511" s="135"/>
      <c r="Y511" s="136"/>
      <c r="Z511" s="30"/>
      <c r="AA511" s="31" t="str">
        <f>E507</f>
        <v/>
      </c>
    </row>
    <row r="512" ht="87.0" customHeight="1">
      <c r="A512" s="129"/>
      <c r="B512" s="130"/>
      <c r="C512" s="130"/>
      <c r="D512" s="130"/>
      <c r="E512" s="130"/>
      <c r="F512" s="130"/>
      <c r="G512" s="130"/>
      <c r="H512" s="130"/>
      <c r="I512" s="130"/>
      <c r="J512" s="130"/>
      <c r="K512" s="130"/>
      <c r="L512" s="130"/>
      <c r="M512" s="130"/>
      <c r="N512" s="130"/>
      <c r="O512" s="130"/>
      <c r="P512" s="132"/>
      <c r="Q512" s="134"/>
      <c r="R512" s="134"/>
      <c r="S512" s="134"/>
      <c r="T512" s="135"/>
      <c r="U512" s="135"/>
      <c r="V512" s="135" t="str">
        <f>IFERROR(IF(AA512="SEGURIDAD",OFFSET('PARÁMETROS'!$K$2,MATCH(U512,JC_SE,0),MATCH(T512,CC_SE,0)),
IF(OR(AA512="DSRC/Estratégico",AA512="DSRC/Operativo"),OFFSET('PARÁMETROS'!$K$11,MATCH(U512,JC_DS,0),MATCH(T512,CC_DS,0)),
IF(AA512="SALUD",OFFSET('PARÁMETROS'!$K$29,MATCH(U512,JC_SA,0),MATCH(T512,CC_SA,0)),
IF(AA512="MEDIO AMBIENTE",OFFSET('PARÁMETROS'!$K$20,MATCH(U512,JC_MA,0),MATCH(T512,CC_MA,0)),
IF(AA512="Rel. Gubernamentales",OFFSET('PARÁMETROS'!$K$48,MATCH(U512,JC_G,0),MATCH(T512,CC_G,0)),
IF(AA512="OPERACIONAL",OFFSET('PARÁMETROS'!$K$56,MATCH(U512,JC_OP,0),MATCH(T512,CC_OP,0)),
IF(AA512="FINANCIERO",OFFSET('PARÁMETROS'!$K$56,MATCH(U512,JC_FI,0),MATCH(T512,CC_FI,0)),
OFFSET('PARÁMETROS'!$K$38,MATCH(U512,JC_L,0),MATCH(T512,CC_L,0))))))))),"")</f>
        <v/>
      </c>
      <c r="W512" s="130"/>
      <c r="X512" s="135"/>
      <c r="Y512" s="136"/>
      <c r="Z512" s="30"/>
      <c r="AA512" s="31" t="str">
        <f>E507</f>
        <v/>
      </c>
    </row>
    <row r="513" ht="87.0" customHeight="1">
      <c r="A513" s="129"/>
      <c r="B513" s="130"/>
      <c r="C513" s="130"/>
      <c r="D513" s="130"/>
      <c r="E513" s="130"/>
      <c r="F513" s="130"/>
      <c r="G513" s="130"/>
      <c r="H513" s="130"/>
      <c r="I513" s="130"/>
      <c r="J513" s="130"/>
      <c r="K513" s="130"/>
      <c r="L513" s="130"/>
      <c r="M513" s="130"/>
      <c r="N513" s="130"/>
      <c r="O513" s="130"/>
      <c r="P513" s="132"/>
      <c r="Q513" s="134"/>
      <c r="R513" s="134"/>
      <c r="S513" s="134"/>
      <c r="T513" s="135"/>
      <c r="U513" s="135"/>
      <c r="V513" s="135" t="str">
        <f>IFERROR(IF(AA513="SEGURIDAD",OFFSET('PARÁMETROS'!$K$2,MATCH(U513,JC_SE,0),MATCH(T513,CC_SE,0)),
IF(OR(AA513="DSRC/Estratégico",AA513="DSRC/Operativo"),OFFSET('PARÁMETROS'!$K$11,MATCH(U513,JC_DS,0),MATCH(T513,CC_DS,0)),
IF(AA513="SALUD",OFFSET('PARÁMETROS'!$K$29,MATCH(U513,JC_SA,0),MATCH(T513,CC_SA,0)),
IF(AA513="MEDIO AMBIENTE",OFFSET('PARÁMETROS'!$K$20,MATCH(U513,JC_MA,0),MATCH(T513,CC_MA,0)),
IF(AA513="Rel. Gubernamentales",OFFSET('PARÁMETROS'!$K$48,MATCH(U513,JC_G,0),MATCH(T513,CC_G,0)),
IF(AA513="OPERACIONAL",OFFSET('PARÁMETROS'!$K$56,MATCH(U513,JC_OP,0),MATCH(T513,CC_OP,0)),
IF(AA513="FINANCIERO",OFFSET('PARÁMETROS'!$K$56,MATCH(U513,JC_FI,0),MATCH(T513,CC_FI,0)),
OFFSET('PARÁMETROS'!$K$38,MATCH(U513,JC_L,0),MATCH(T513,CC_L,0))))))))),"")</f>
        <v/>
      </c>
      <c r="W513" s="130"/>
      <c r="X513" s="135"/>
      <c r="Y513" s="136"/>
      <c r="Z513" s="30"/>
      <c r="AA513" s="31" t="str">
        <f>E507</f>
        <v/>
      </c>
    </row>
    <row r="514" ht="87.0" customHeight="1">
      <c r="A514" s="129"/>
      <c r="B514" s="130"/>
      <c r="C514" s="130"/>
      <c r="D514" s="130"/>
      <c r="E514" s="130"/>
      <c r="F514" s="130"/>
      <c r="G514" s="130"/>
      <c r="H514" s="130"/>
      <c r="I514" s="130"/>
      <c r="J514" s="130"/>
      <c r="K514" s="130"/>
      <c r="L514" s="130"/>
      <c r="M514" s="130"/>
      <c r="N514" s="130"/>
      <c r="O514" s="130"/>
      <c r="P514" s="132"/>
      <c r="Q514" s="134"/>
      <c r="R514" s="134"/>
      <c r="S514" s="134"/>
      <c r="T514" s="135"/>
      <c r="U514" s="135"/>
      <c r="V514" s="135" t="str">
        <f>IFERROR(IF(AA514="SEGURIDAD",OFFSET('PARÁMETROS'!$K$2,MATCH(U514,JC_SE,0),MATCH(T514,CC_SE,0)),
IF(OR(AA514="DSRC/Estratégico",AA514="DSRC/Operativo"),OFFSET('PARÁMETROS'!$K$11,MATCH(U514,JC_DS,0),MATCH(T514,CC_DS,0)),
IF(AA514="SALUD",OFFSET('PARÁMETROS'!$K$29,MATCH(U514,JC_SA,0),MATCH(T514,CC_SA,0)),
IF(AA514="MEDIO AMBIENTE",OFFSET('PARÁMETROS'!$K$20,MATCH(U514,JC_MA,0),MATCH(T514,CC_MA,0)),
IF(AA514="Rel. Gubernamentales",OFFSET('PARÁMETROS'!$K$48,MATCH(U514,JC_G,0),MATCH(T514,CC_G,0)),
IF(AA514="OPERACIONAL",OFFSET('PARÁMETROS'!$K$56,MATCH(U514,JC_OP,0),MATCH(T514,CC_OP,0)),
IF(AA514="FINANCIERO",OFFSET('PARÁMETROS'!$K$56,MATCH(U514,JC_FI,0),MATCH(T514,CC_FI,0)),
OFFSET('PARÁMETROS'!$K$38,MATCH(U514,JC_L,0),MATCH(T514,CC_L,0))))))))),"")</f>
        <v/>
      </c>
      <c r="W514" s="130"/>
      <c r="X514" s="135"/>
      <c r="Y514" s="136"/>
      <c r="Z514" s="30"/>
      <c r="AA514" s="31" t="str">
        <f>E507</f>
        <v/>
      </c>
    </row>
    <row r="515" ht="87.0" customHeight="1">
      <c r="A515" s="129"/>
      <c r="B515" s="130"/>
      <c r="C515" s="130"/>
      <c r="D515" s="130"/>
      <c r="E515" s="130"/>
      <c r="F515" s="130"/>
      <c r="G515" s="130"/>
      <c r="H515" s="130"/>
      <c r="I515" s="130"/>
      <c r="J515" s="130"/>
      <c r="K515" s="130"/>
      <c r="L515" s="130"/>
      <c r="M515" s="130"/>
      <c r="N515" s="130"/>
      <c r="O515" s="130"/>
      <c r="P515" s="132"/>
      <c r="Q515" s="134"/>
      <c r="R515" s="134"/>
      <c r="S515" s="134"/>
      <c r="T515" s="135"/>
      <c r="U515" s="135"/>
      <c r="V515" s="135" t="str">
        <f>IFERROR(IF(AA515="SEGURIDAD",OFFSET('PARÁMETROS'!$K$2,MATCH(U515,JC_SE,0),MATCH(T515,CC_SE,0)),
IF(OR(AA515="DSRC/Estratégico",AA515="DSRC/Operativo"),OFFSET('PARÁMETROS'!$K$11,MATCH(U515,JC_DS,0),MATCH(T515,CC_DS,0)),
IF(AA515="SALUD",OFFSET('PARÁMETROS'!$K$29,MATCH(U515,JC_SA,0),MATCH(T515,CC_SA,0)),
IF(AA515="MEDIO AMBIENTE",OFFSET('PARÁMETROS'!$K$20,MATCH(U515,JC_MA,0),MATCH(T515,CC_MA,0)),
IF(AA515="Rel. Gubernamentales",OFFSET('PARÁMETROS'!$K$48,MATCH(U515,JC_G,0),MATCH(T515,CC_G,0)),
IF(AA515="OPERACIONAL",OFFSET('PARÁMETROS'!$K$56,MATCH(U515,JC_OP,0),MATCH(T515,CC_OP,0)),
IF(AA515="FINANCIERO",OFFSET('PARÁMETROS'!$K$56,MATCH(U515,JC_FI,0),MATCH(T515,CC_FI,0)),
OFFSET('PARÁMETROS'!$K$38,MATCH(U515,JC_L,0),MATCH(T515,CC_L,0))))))))),"")</f>
        <v/>
      </c>
      <c r="W515" s="130"/>
      <c r="X515" s="135"/>
      <c r="Y515" s="136"/>
      <c r="Z515" s="30"/>
      <c r="AA515" s="31" t="str">
        <f>E507</f>
        <v/>
      </c>
    </row>
    <row r="516" ht="87.0" customHeight="1">
      <c r="A516" s="129"/>
      <c r="B516" s="130"/>
      <c r="C516" s="130"/>
      <c r="D516" s="130"/>
      <c r="E516" s="130"/>
      <c r="F516" s="130"/>
      <c r="G516" s="130"/>
      <c r="H516" s="130"/>
      <c r="I516" s="130"/>
      <c r="J516" s="130"/>
      <c r="K516" s="130"/>
      <c r="L516" s="130"/>
      <c r="M516" s="130"/>
      <c r="N516" s="130"/>
      <c r="O516" s="130"/>
      <c r="P516" s="132"/>
      <c r="Q516" s="134"/>
      <c r="R516" s="134"/>
      <c r="S516" s="134"/>
      <c r="T516" s="135"/>
      <c r="U516" s="135"/>
      <c r="V516" s="135" t="str">
        <f>IFERROR(IF(AA516="SEGURIDAD",OFFSET('PARÁMETROS'!$K$2,MATCH(U516,JC_SE,0),MATCH(T516,CC_SE,0)),
IF(OR(AA516="DSRC/Estratégico",AA516="DSRC/Operativo"),OFFSET('PARÁMETROS'!$K$11,MATCH(U516,JC_DS,0),MATCH(T516,CC_DS,0)),
IF(AA516="SALUD",OFFSET('PARÁMETROS'!$K$29,MATCH(U516,JC_SA,0),MATCH(T516,CC_SA,0)),
IF(AA516="MEDIO AMBIENTE",OFFSET('PARÁMETROS'!$K$20,MATCH(U516,JC_MA,0),MATCH(T516,CC_MA,0)),
IF(AA516="Rel. Gubernamentales",OFFSET('PARÁMETROS'!$K$48,MATCH(U516,JC_G,0),MATCH(T516,CC_G,0)),
IF(AA516="OPERACIONAL",OFFSET('PARÁMETROS'!$K$56,MATCH(U516,JC_OP,0),MATCH(T516,CC_OP,0)),
IF(AA516="FINANCIERO",OFFSET('PARÁMETROS'!$K$56,MATCH(U516,JC_FI,0),MATCH(T516,CC_FI,0)),
OFFSET('PARÁMETROS'!$K$38,MATCH(U516,JC_L,0),MATCH(T516,CC_L,0))))))))),"")</f>
        <v/>
      </c>
      <c r="W516" s="130"/>
      <c r="X516" s="135"/>
      <c r="Y516" s="136"/>
      <c r="Z516" s="30"/>
      <c r="AA516" s="31" t="str">
        <f>E507</f>
        <v/>
      </c>
    </row>
    <row r="517" ht="87.0" customHeight="1">
      <c r="A517" s="129"/>
      <c r="B517" s="130"/>
      <c r="C517" s="130"/>
      <c r="D517" s="130"/>
      <c r="E517" s="130"/>
      <c r="F517" s="130"/>
      <c r="G517" s="130"/>
      <c r="H517" s="130"/>
      <c r="I517" s="130"/>
      <c r="J517" s="130"/>
      <c r="K517" s="130"/>
      <c r="L517" s="130"/>
      <c r="M517" s="130"/>
      <c r="N517" s="130"/>
      <c r="O517" s="130"/>
      <c r="P517" s="132"/>
      <c r="Q517" s="134"/>
      <c r="R517" s="134"/>
      <c r="S517" s="134"/>
      <c r="T517" s="135"/>
      <c r="U517" s="135"/>
      <c r="V517" s="135" t="str">
        <f>IFERROR(IF(AA517="SEGURIDAD",OFFSET('PARÁMETROS'!$K$2,MATCH(U517,JC_SE,0),MATCH(T517,CC_SE,0)),
IF(OR(AA517="DSRC/Estratégico",AA517="DSRC/Operativo"),OFFSET('PARÁMETROS'!$K$11,MATCH(U517,JC_DS,0),MATCH(T517,CC_DS,0)),
IF(AA517="SALUD",OFFSET('PARÁMETROS'!$K$29,MATCH(U517,JC_SA,0),MATCH(T517,CC_SA,0)),
IF(AA517="MEDIO AMBIENTE",OFFSET('PARÁMETROS'!$K$20,MATCH(U517,JC_MA,0),MATCH(T517,CC_MA,0)),
IF(AA517="Rel. Gubernamentales",OFFSET('PARÁMETROS'!$K$48,MATCH(U517,JC_G,0),MATCH(T517,CC_G,0)),
IF(AA517="OPERACIONAL",OFFSET('PARÁMETROS'!$K$56,MATCH(U517,JC_OP,0),MATCH(T517,CC_OP,0)),
IF(AA517="FINANCIERO",OFFSET('PARÁMETROS'!$K$56,MATCH(U517,JC_FI,0),MATCH(T517,CC_FI,0)),
OFFSET('PARÁMETROS'!$K$38,MATCH(U517,JC_L,0),MATCH(T517,CC_L,0))))))))),"")</f>
        <v/>
      </c>
      <c r="W517" s="130"/>
      <c r="X517" s="135"/>
      <c r="Y517" s="136"/>
      <c r="Z517" s="30"/>
      <c r="AA517" s="31" t="str">
        <f>E507</f>
        <v/>
      </c>
    </row>
    <row r="518" ht="87.0" customHeight="1">
      <c r="A518" s="129"/>
      <c r="B518" s="130"/>
      <c r="C518" s="130"/>
      <c r="D518" s="130"/>
      <c r="E518" s="130"/>
      <c r="F518" s="130"/>
      <c r="G518" s="130"/>
      <c r="H518" s="130"/>
      <c r="I518" s="130"/>
      <c r="J518" s="130"/>
      <c r="K518" s="130"/>
      <c r="L518" s="130"/>
      <c r="M518" s="130"/>
      <c r="N518" s="130"/>
      <c r="O518" s="130"/>
      <c r="P518" s="132"/>
      <c r="Q518" s="134"/>
      <c r="R518" s="134"/>
      <c r="S518" s="134"/>
      <c r="T518" s="135"/>
      <c r="U518" s="135"/>
      <c r="V518" s="135" t="str">
        <f>IFERROR(IF(AA518="SEGURIDAD",OFFSET('PARÁMETROS'!$K$2,MATCH(U518,JC_SE,0),MATCH(T518,CC_SE,0)),
IF(OR(AA518="DSRC/Estratégico",AA518="DSRC/Operativo"),OFFSET('PARÁMETROS'!$K$11,MATCH(U518,JC_DS,0),MATCH(T518,CC_DS,0)),
IF(AA518="SALUD",OFFSET('PARÁMETROS'!$K$29,MATCH(U518,JC_SA,0),MATCH(T518,CC_SA,0)),
IF(AA518="MEDIO AMBIENTE",OFFSET('PARÁMETROS'!$K$20,MATCH(U518,JC_MA,0),MATCH(T518,CC_MA,0)),
IF(AA518="Rel. Gubernamentales",OFFSET('PARÁMETROS'!$K$48,MATCH(U518,JC_G,0),MATCH(T518,CC_G,0)),
IF(AA518="OPERACIONAL",OFFSET('PARÁMETROS'!$K$56,MATCH(U518,JC_OP,0),MATCH(T518,CC_OP,0)),
IF(AA518="FINANCIERO",OFFSET('PARÁMETROS'!$K$56,MATCH(U518,JC_FI,0),MATCH(T518,CC_FI,0)),
OFFSET('PARÁMETROS'!$K$38,MATCH(U518,JC_L,0),MATCH(T518,CC_L,0))))))))),"")</f>
        <v/>
      </c>
      <c r="W518" s="130"/>
      <c r="X518" s="135"/>
      <c r="Y518" s="136"/>
      <c r="Z518" s="30"/>
      <c r="AA518" s="31" t="str">
        <f>E507</f>
        <v/>
      </c>
    </row>
    <row r="519" ht="87.0" customHeight="1">
      <c r="A519" s="129"/>
      <c r="B519" s="130"/>
      <c r="C519" s="130"/>
      <c r="D519" s="130"/>
      <c r="E519" s="130"/>
      <c r="F519" s="130"/>
      <c r="G519" s="130"/>
      <c r="H519" s="130"/>
      <c r="I519" s="130"/>
      <c r="J519" s="130"/>
      <c r="K519" s="130"/>
      <c r="L519" s="130"/>
      <c r="M519" s="130"/>
      <c r="N519" s="130"/>
      <c r="O519" s="130"/>
      <c r="P519" s="132"/>
      <c r="Q519" s="134"/>
      <c r="R519" s="134"/>
      <c r="S519" s="134"/>
      <c r="T519" s="135"/>
      <c r="U519" s="135"/>
      <c r="V519" s="135" t="str">
        <f>IFERROR(IF(AA519="SEGURIDAD",OFFSET('PARÁMETROS'!$K$2,MATCH(U519,JC_SE,0),MATCH(T519,CC_SE,0)),
IF(OR(AA519="DSRC/Estratégico",AA519="DSRC/Operativo"),OFFSET('PARÁMETROS'!$K$11,MATCH(U519,JC_DS,0),MATCH(T519,CC_DS,0)),
IF(AA519="SALUD",OFFSET('PARÁMETROS'!$K$29,MATCH(U519,JC_SA,0),MATCH(T519,CC_SA,0)),
IF(AA519="MEDIO AMBIENTE",OFFSET('PARÁMETROS'!$K$20,MATCH(U519,JC_MA,0),MATCH(T519,CC_MA,0)),
IF(AA519="Rel. Gubernamentales",OFFSET('PARÁMETROS'!$K$48,MATCH(U519,JC_G,0),MATCH(T519,CC_G,0)),
IF(AA519="OPERACIONAL",OFFSET('PARÁMETROS'!$K$56,MATCH(U519,JC_OP,0),MATCH(T519,CC_OP,0)),
IF(AA519="FINANCIERO",OFFSET('PARÁMETROS'!$K$56,MATCH(U519,JC_FI,0),MATCH(T519,CC_FI,0)),
OFFSET('PARÁMETROS'!$K$38,MATCH(U519,JC_L,0),MATCH(T519,CC_L,0))))))))),"")</f>
        <v/>
      </c>
      <c r="W519" s="130"/>
      <c r="X519" s="135"/>
      <c r="Y519" s="136"/>
      <c r="Z519" s="30"/>
      <c r="AA519" s="31" t="str">
        <f>E507</f>
        <v/>
      </c>
    </row>
    <row r="520" ht="87.0" customHeight="1">
      <c r="A520" s="129"/>
      <c r="B520" s="130"/>
      <c r="C520" s="130"/>
      <c r="D520" s="130"/>
      <c r="E520" s="130"/>
      <c r="F520" s="130"/>
      <c r="G520" s="130"/>
      <c r="H520" s="130"/>
      <c r="I520" s="130"/>
      <c r="J520" s="130"/>
      <c r="K520" s="130"/>
      <c r="L520" s="130"/>
      <c r="M520" s="130"/>
      <c r="N520" s="130"/>
      <c r="O520" s="130"/>
      <c r="P520" s="132"/>
      <c r="Q520" s="134"/>
      <c r="R520" s="134"/>
      <c r="S520" s="134"/>
      <c r="T520" s="135"/>
      <c r="U520" s="135"/>
      <c r="V520" s="135" t="str">
        <f>IFERROR(IF(AA520="SEGURIDAD",OFFSET('PARÁMETROS'!$K$2,MATCH(U520,JC_SE,0),MATCH(T520,CC_SE,0)),
IF(OR(AA520="DSRC/Estratégico",AA520="DSRC/Operativo"),OFFSET('PARÁMETROS'!$K$11,MATCH(U520,JC_DS,0),MATCH(T520,CC_DS,0)),
IF(AA520="SALUD",OFFSET('PARÁMETROS'!$K$29,MATCH(U520,JC_SA,0),MATCH(T520,CC_SA,0)),
IF(AA520="MEDIO AMBIENTE",OFFSET('PARÁMETROS'!$K$20,MATCH(U520,JC_MA,0),MATCH(T520,CC_MA,0)),
IF(AA520="Rel. Gubernamentales",OFFSET('PARÁMETROS'!$K$48,MATCH(U520,JC_G,0),MATCH(T520,CC_G,0)),
IF(AA520="OPERACIONAL",OFFSET('PARÁMETROS'!$K$56,MATCH(U520,JC_OP,0),MATCH(T520,CC_OP,0)),
IF(AA520="FINANCIERO",OFFSET('PARÁMETROS'!$K$56,MATCH(U520,JC_FI,0),MATCH(T520,CC_FI,0)),
OFFSET('PARÁMETROS'!$K$38,MATCH(U520,JC_L,0),MATCH(T520,CC_L,0))))))))),"")</f>
        <v/>
      </c>
      <c r="W520" s="130"/>
      <c r="X520" s="135"/>
      <c r="Y520" s="136"/>
      <c r="Z520" s="30"/>
      <c r="AA520" s="31" t="str">
        <f>E507</f>
        <v/>
      </c>
    </row>
    <row r="521" ht="87.0" customHeight="1">
      <c r="A521" s="129"/>
      <c r="B521" s="130"/>
      <c r="C521" s="130"/>
      <c r="D521" s="130"/>
      <c r="E521" s="130"/>
      <c r="F521" s="130"/>
      <c r="G521" s="130"/>
      <c r="H521" s="130"/>
      <c r="I521" s="130"/>
      <c r="J521" s="130"/>
      <c r="K521" s="130"/>
      <c r="L521" s="130"/>
      <c r="M521" s="130"/>
      <c r="N521" s="130"/>
      <c r="O521" s="130"/>
      <c r="P521" s="132"/>
      <c r="Q521" s="134"/>
      <c r="R521" s="134"/>
      <c r="S521" s="134"/>
      <c r="T521" s="135"/>
      <c r="U521" s="135"/>
      <c r="V521" s="135" t="str">
        <f>IFERROR(IF(AA521="SEGURIDAD",OFFSET('PARÁMETROS'!$K$2,MATCH(U521,JC_SE,0),MATCH(T521,CC_SE,0)),
IF(OR(AA521="DSRC/Estratégico",AA521="DSRC/Operativo"),OFFSET('PARÁMETROS'!$K$11,MATCH(U521,JC_DS,0),MATCH(T521,CC_DS,0)),
IF(AA521="SALUD",OFFSET('PARÁMETROS'!$K$29,MATCH(U521,JC_SA,0),MATCH(T521,CC_SA,0)),
IF(AA521="MEDIO AMBIENTE",OFFSET('PARÁMETROS'!$K$20,MATCH(U521,JC_MA,0),MATCH(T521,CC_MA,0)),
IF(AA521="Rel. Gubernamentales",OFFSET('PARÁMETROS'!$K$48,MATCH(U521,JC_G,0),MATCH(T521,CC_G,0)),
IF(AA521="OPERACIONAL",OFFSET('PARÁMETROS'!$K$56,MATCH(U521,JC_OP,0),MATCH(T521,CC_OP,0)),
IF(AA521="FINANCIERO",OFFSET('PARÁMETROS'!$K$56,MATCH(U521,JC_FI,0),MATCH(T521,CC_FI,0)),
OFFSET('PARÁMETROS'!$K$38,MATCH(U521,JC_L,0),MATCH(T521,CC_L,0))))))))),"")</f>
        <v/>
      </c>
      <c r="W521" s="130"/>
      <c r="X521" s="135"/>
      <c r="Y521" s="136"/>
      <c r="Z521" s="30"/>
      <c r="AA521" s="31" t="str">
        <f>E507</f>
        <v/>
      </c>
    </row>
    <row r="522" ht="87.0" customHeight="1">
      <c r="A522" s="89"/>
      <c r="B522" s="90"/>
      <c r="C522" s="90"/>
      <c r="D522" s="157"/>
      <c r="E522" s="157"/>
      <c r="F522" s="157"/>
      <c r="G522" s="157"/>
      <c r="H522" s="157"/>
      <c r="I522" s="90"/>
      <c r="J522" s="90"/>
      <c r="K522" s="90"/>
      <c r="L522" s="90"/>
      <c r="M522" s="90"/>
      <c r="N522" s="90"/>
      <c r="O522" s="90"/>
      <c r="P522" s="132"/>
      <c r="Q522" s="134"/>
      <c r="R522" s="145"/>
      <c r="S522" s="145"/>
      <c r="T522" s="135"/>
      <c r="U522" s="135"/>
      <c r="V522" s="135" t="str">
        <f>IFERROR(IF(AA522="SEGURIDAD",OFFSET('PARÁMETROS'!$K$2,MATCH(U522,JC_SE,0),MATCH(T522,CC_SE,0)),
IF(OR(AA522="DSRC/Estratégico",AA522="DSRC/Operativo"),OFFSET('PARÁMETROS'!$K$11,MATCH(U522,JC_DS,0),MATCH(T522,CC_DS,0)),
IF(AA522="SALUD",OFFSET('PARÁMETROS'!$K$29,MATCH(U522,JC_SA,0),MATCH(T522,CC_SA,0)),
IF(AA522="MEDIO AMBIENTE",OFFSET('PARÁMETROS'!$K$20,MATCH(U522,JC_MA,0),MATCH(T522,CC_MA,0)),
IF(AA522="Rel. Gubernamentales",OFFSET('PARÁMETROS'!$K$48,MATCH(U522,JC_G,0),MATCH(T522,CC_G,0)),
IF(AA522="OPERACIONAL",OFFSET('PARÁMETROS'!$K$56,MATCH(U522,JC_OP,0),MATCH(T522,CC_OP,0)),
IF(AA522="FINANCIERO",OFFSET('PARÁMETROS'!$K$56,MATCH(U522,JC_FI,0),MATCH(T522,CC_FI,0)),
OFFSET('PARÁMETROS'!$K$38,MATCH(U522,JC_L,0),MATCH(T522,CC_L,0))))))))),"")</f>
        <v/>
      </c>
      <c r="W522" s="90"/>
      <c r="X522" s="135"/>
      <c r="Y522" s="136"/>
      <c r="Z522" s="30"/>
      <c r="AA522" s="31" t="str">
        <f>E507</f>
        <v/>
      </c>
    </row>
    <row r="523" ht="87.0" customHeight="1">
      <c r="A523" s="102"/>
      <c r="B523" s="103"/>
      <c r="C523" s="103"/>
      <c r="D523" s="103"/>
      <c r="E523" s="103"/>
      <c r="F523" s="103"/>
      <c r="G523" s="105"/>
      <c r="H523" s="103"/>
      <c r="I523" s="105"/>
      <c r="J523" s="103"/>
      <c r="K523" s="103"/>
      <c r="L523" s="103" t="str">
        <f>IF(OR(J523&lt;&gt;"",K523&lt;&gt;""),OFFSET('PARÁMETROS'!$B$2,K523,J523),"")</f>
        <v/>
      </c>
      <c r="M523" s="103"/>
      <c r="N523" s="103">
        <f>IFERROR(L523*M523,"")</f>
        <v>0</v>
      </c>
      <c r="O523" s="108" t="str">
        <f>IF(N523="","",IFERROR(IF(N523&lt;=2,"ACEPTABLE",IF(N523&lt;=6,"BAJA",IF(N523&lt;=10,"ACEPTABLE CON REVISIÓN",IF(N523&lt;=15,"SUSTANCIAL","INACEPTABLE")))),""))</f>
        <v>ACEPTABLE</v>
      </c>
      <c r="P523" s="113"/>
      <c r="Q523" s="114"/>
      <c r="R523" s="114"/>
      <c r="S523" s="114"/>
      <c r="T523" s="115"/>
      <c r="U523" s="115"/>
      <c r="V523" s="115" t="str">
        <f>IFERROR(IF(AA523="SEGURIDAD",OFFSET('PARÁMETROS'!$K$2,MATCH(U523,JC_SE,0),MATCH(T523,CC_SE,0)),
IF(OR(AA523="DSRC/Estratégico",AA523="DSRC/Operativo"),OFFSET('PARÁMETROS'!$K$11,MATCH(U523,JC_DS,0),MATCH(T523,CC_DS,0)),
IF(AA523="SALUD",OFFSET('PARÁMETROS'!$K$29,MATCH(U523,JC_SA,0),MATCH(T523,CC_SA,0)),
IF(AA523="MEDIO AMBIENTE",OFFSET('PARÁMETROS'!$K$20,MATCH(U523,JC_MA,0),MATCH(T523,CC_MA,0)),
IF(AA523="Rel. Gubernamentales",OFFSET('PARÁMETROS'!$K$48,MATCH(U523,JC_G,0),MATCH(T523,CC_G,0)),
IF(AA523="OPERACIONAL",OFFSET('PARÁMETROS'!$K$56,MATCH(U523,JC_OP,0),MATCH(T523,CC_OP,0)),
IF(AA523="FINANCIERO",OFFSET('PARÁMETROS'!$K$56,MATCH(U523,JC_FI,0),MATCH(T523,CC_FI,0)),
OFFSET('PARÁMETROS'!$K$38,MATCH(U523,JC_L,0),MATCH(T523,CC_L,0))))))))),"")</f>
        <v/>
      </c>
      <c r="W523" s="108" t="str">
        <f>IF(E523="","",
IF(COUNTA(V523:V538)-COUNTBLANK(V523:V538)=1,
IF(O523="INACEPTABLE",IF(COUNTIF(V523:V538,"Control/Acción Eficaz")&gt;=1,"SUSTANCIAL","INACEPTABLE"),
IF(O523="SUSTANCIAL",IF(COUNTIF(V523:V538,"Control/Acción Eficaz")&gt;=1,"ACEPTABLE CON REVISIÓN","SUSTANCIAL"),
IF(O523="ACEPTABLE CON REVISIÓN",IF(COUNTIF(V523:V538,"Control/Acción Eficaz")&gt;=1,"BAJA","ACEPTABLE CON REVISIÓN"),
IF(O523="BAJA",IF(COUNTIF(V523:V538,"Control/Acción Eficaz")&gt;=1,"ACEPTABLE","BAJA"),)))),
IF(COUNTA(V523:V538)-COUNTBLANK(V523:V538)=2,
IF(O523="INACEPTABLE",IF(COUNTIF(V523:V538,"Control/Acción Eficaz")=2,"ACEPTABLE CON REVISIÓN",
IF(OR(AND(COUNTIF(V523:V538,"Control/Acción Eficaz")=1,COUNTIF(V523:V538,"Control/Acción Satisfactorio")=1),
AND(COUNTIF(V523:V538,"Control/Acción Eficaz")=1,COUNTIF(V523:V538,"Control/Acción No Eficaz")=1)),"SUSTANCIAL","INACEPTABLE")),
IF(O523="SUSTANCIAL",IF(COUNTIF(V523:V538,"Control/Acción Eficaz")=2,"BAJA",
IF(OR(AND(COUNTIF(V523:V538,"Control/Acción Eficaz")=1,COUNTIF(V523:V538,"Control/Acción Satisfactorio")=1),
AND(COUNTIF(V523:V538,"Control/Acción Eficaz")=1,COUNTIF(V523:V538,"Control/Acción No Eficaz")=1)),"ACEPTABLE CON REVISIÓN ","SUSTANCIAL")),
IF(O523="ACEPTABLE CON REVISIÓN",IF(COUNTIF(V523:V538,"Control/Acción Eficaz")=2,"ACEPTABLE",
IF(OR(AND(COUNTIF(V523:V538,"Control/Acción Eficaz")=1,COUNTIF(V523:V538,"Control/Acción Satisfactorio")=1),
AND(COUNTIF(V523:V538,"Control/Acción Eficaz")=1,COUNTIF(V523:V538,"Control/Acción No Eficaz")=1)),"BAJA","ACEPTABLE CON REVISIÓN")),
IF(O523="BAJA",IF(COUNTIF(V523:V538,"Control/Acción Eficaz")&gt;=2,"ACEPTABLE","BAJA"),)))),
IF(COUNTA(V523:V538)-COUNTBLANK(V523:V538)&gt;=3,
IF(O523="INACEPTABLE",
IF(COUNTBLANK(V523:V538)=COUNTA(V523:V538),"",
IF(COUNTIF(V523:V538,"Control/Acción No Eficaz")&gt;=2,"INACEPTABLE",
IF(AND(COUNTIF(V523:V538,"Control/Acción No Eficaz")=0,COUNTIF(V523:V538,"Control/Acción Eficaz")&gt;=2),"ACEPTABLE CON REVISIÓN ","SUSTANCIAL"))),
IF(O523="SUSTANCIAL",
IF(COUNTBLANK(V523:V538)=COUNTA(V523:V538),"",
IF(COUNTIF(V523:V538,"Control/Acción No Eficaz")&gt;=2,"SUSTANCIAL",
IF(AND(COUNTIF(V523:V538,"Control/Acción No Eficaz")=0,COUNTIF(V523:V538,"Control/Acción Eficaz")&gt;=2),"BAJA","ACEPTABLE CON REVISIÓN"))),
IF(O523="ACEPTABLE CON REVISIÓN",
IF(COUNTBLANK(V523:V538)=COUNTA(V523:V538),"",
IF(COUNTIF(V523:V538,"Control/Acción No Eficaz")&gt;=2,"ACEPTABLE CON REVISIÓN",
IF(AND(COUNTIF(V523:V538,"Control/Acción No Eficaz")=0,COUNTIF(V523:V538,"Control/Acción Eficaz")&gt;=2),"ACEPTABLE","BAJA"))),
IF(O523="BAJA",
IF(COUNTBLANK(V523:V538)=COUNTA(V523:V538),"",
IF(AND(COUNTBLANK(V523:V538)&lt;1,COUNTA(V523:V538)=1),
IF(COUNTIF(V523:V538,"Control/Acción No Eficaz")&gt;=2,"BAJA",
IF(AND(COUNTIF(V523:V538,"Control/Acción No Eficaz")=0,COUNTIF(V523:V538,"Control/Acción Eficaz")&gt;=2),"ACEPTABLE","BAJA")),
IF(COUNTIF(V523:V538,"Control/Acción No Eficaz")&gt;=2,"BAJA",
IF(AND(COUNTIF(V523:V538,"Control/Acción No Eficaz")=0,COUNTIF(V523:V538,"Control/Acción Eficaz")&gt;=2),"ACEPTABLE","BAJA")))),
IF(COUNTIF(V523:V538,"")&gt;=5,"",O523))))),
""))))</f>
        <v/>
      </c>
      <c r="X523" s="115"/>
      <c r="Y523" s="128"/>
      <c r="Z523" s="30"/>
      <c r="AA523" s="31" t="str">
        <f>E523</f>
        <v/>
      </c>
    </row>
    <row r="524" ht="87.0" customHeight="1">
      <c r="A524" s="129"/>
      <c r="B524" s="130"/>
      <c r="C524" s="130"/>
      <c r="D524" s="130"/>
      <c r="E524" s="130"/>
      <c r="F524" s="130"/>
      <c r="G524" s="130"/>
      <c r="H524" s="130"/>
      <c r="I524" s="130"/>
      <c r="J524" s="130"/>
      <c r="K524" s="130"/>
      <c r="L524" s="130"/>
      <c r="M524" s="130"/>
      <c r="N524" s="130"/>
      <c r="O524" s="130"/>
      <c r="P524" s="132"/>
      <c r="Q524" s="134"/>
      <c r="R524" s="134"/>
      <c r="S524" s="134"/>
      <c r="T524" s="135"/>
      <c r="U524" s="135"/>
      <c r="V524" s="135" t="str">
        <f>IFERROR(IF(AA524="SEGURIDAD",OFFSET('PARÁMETROS'!$K$2,MATCH(U524,JC_SE,0),MATCH(T524,CC_SE,0)),
IF(OR(AA524="DSRC/Estratégico",AA524="DSRC/Operativo"),OFFSET('PARÁMETROS'!$K$11,MATCH(U524,JC_DS,0),MATCH(T524,CC_DS,0)),
IF(AA524="SALUD",OFFSET('PARÁMETROS'!$K$29,MATCH(U524,JC_SA,0),MATCH(T524,CC_SA,0)),
IF(AA524="MEDIO AMBIENTE",OFFSET('PARÁMETROS'!$K$20,MATCH(U524,JC_MA,0),MATCH(T524,CC_MA,0)),
IF(AA524="Rel. Gubernamentales",OFFSET('PARÁMETROS'!$K$48,MATCH(U524,JC_G,0),MATCH(T524,CC_G,0)),
IF(AA524="OPERACIONAL",OFFSET('PARÁMETROS'!$K$56,MATCH(U524,JC_OP,0),MATCH(T524,CC_OP,0)),
IF(AA524="FINANCIERO",OFFSET('PARÁMETROS'!$K$56,MATCH(U524,JC_FI,0),MATCH(T524,CC_FI,0)),
OFFSET('PARÁMETROS'!$K$38,MATCH(U524,JC_L,0),MATCH(T524,CC_L,0))))))))),"")</f>
        <v/>
      </c>
      <c r="W524" s="130"/>
      <c r="X524" s="135"/>
      <c r="Y524" s="136"/>
      <c r="Z524" s="30"/>
      <c r="AA524" s="31" t="str">
        <f>E523</f>
        <v/>
      </c>
    </row>
    <row r="525" ht="87.0" customHeight="1">
      <c r="A525" s="129"/>
      <c r="B525" s="130"/>
      <c r="C525" s="130"/>
      <c r="D525" s="130"/>
      <c r="E525" s="130"/>
      <c r="F525" s="130"/>
      <c r="G525" s="130"/>
      <c r="H525" s="130"/>
      <c r="I525" s="130"/>
      <c r="J525" s="130"/>
      <c r="K525" s="130"/>
      <c r="L525" s="130"/>
      <c r="M525" s="130"/>
      <c r="N525" s="130"/>
      <c r="O525" s="130"/>
      <c r="P525" s="132"/>
      <c r="Q525" s="134"/>
      <c r="R525" s="134"/>
      <c r="S525" s="134"/>
      <c r="T525" s="135"/>
      <c r="U525" s="135"/>
      <c r="V525" s="135" t="str">
        <f>IFERROR(IF(AA525="SEGURIDAD",OFFSET('PARÁMETROS'!$K$2,MATCH(U525,JC_SE,0),MATCH(T525,CC_SE,0)),
IF(OR(AA525="DSRC/Estratégico",AA525="DSRC/Operativo"),OFFSET('PARÁMETROS'!$K$11,MATCH(U525,JC_DS,0),MATCH(T525,CC_DS,0)),
IF(AA525="SALUD",OFFSET('PARÁMETROS'!$K$29,MATCH(U525,JC_SA,0),MATCH(T525,CC_SA,0)),
IF(AA525="MEDIO AMBIENTE",OFFSET('PARÁMETROS'!$K$20,MATCH(U525,JC_MA,0),MATCH(T525,CC_MA,0)),
IF(AA525="Rel. Gubernamentales",OFFSET('PARÁMETROS'!$K$48,MATCH(U525,JC_G,0),MATCH(T525,CC_G,0)),
IF(AA525="OPERACIONAL",OFFSET('PARÁMETROS'!$K$56,MATCH(U525,JC_OP,0),MATCH(T525,CC_OP,0)),
IF(AA525="FINANCIERO",OFFSET('PARÁMETROS'!$K$56,MATCH(U525,JC_FI,0),MATCH(T525,CC_FI,0)),
OFFSET('PARÁMETROS'!$K$38,MATCH(U525,JC_L,0),MATCH(T525,CC_L,0))))))))),"")</f>
        <v/>
      </c>
      <c r="W525" s="130"/>
      <c r="X525" s="135"/>
      <c r="Y525" s="136"/>
      <c r="Z525" s="30"/>
      <c r="AA525" s="31" t="str">
        <f>E523</f>
        <v/>
      </c>
    </row>
    <row r="526" ht="87.0" customHeight="1">
      <c r="A526" s="129"/>
      <c r="B526" s="130"/>
      <c r="C526" s="130"/>
      <c r="D526" s="130"/>
      <c r="E526" s="130"/>
      <c r="F526" s="130"/>
      <c r="G526" s="130"/>
      <c r="H526" s="130"/>
      <c r="I526" s="130"/>
      <c r="J526" s="130"/>
      <c r="K526" s="130"/>
      <c r="L526" s="130"/>
      <c r="M526" s="130"/>
      <c r="N526" s="130"/>
      <c r="O526" s="130"/>
      <c r="P526" s="132"/>
      <c r="Q526" s="134"/>
      <c r="R526" s="134"/>
      <c r="S526" s="134"/>
      <c r="T526" s="135"/>
      <c r="U526" s="135"/>
      <c r="V526" s="135" t="str">
        <f>IFERROR(IF(AA526="SEGURIDAD",OFFSET('PARÁMETROS'!$K$2,MATCH(U526,JC_SE,0),MATCH(T526,CC_SE,0)),
IF(OR(AA526="DSRC/Estratégico",AA526="DSRC/Operativo"),OFFSET('PARÁMETROS'!$K$11,MATCH(U526,JC_DS,0),MATCH(T526,CC_DS,0)),
IF(AA526="SALUD",OFFSET('PARÁMETROS'!$K$29,MATCH(U526,JC_SA,0),MATCH(T526,CC_SA,0)),
IF(AA526="MEDIO AMBIENTE",OFFSET('PARÁMETROS'!$K$20,MATCH(U526,JC_MA,0),MATCH(T526,CC_MA,0)),
IF(AA526="Rel. Gubernamentales",OFFSET('PARÁMETROS'!$K$48,MATCH(U526,JC_G,0),MATCH(T526,CC_G,0)),
IF(AA526="OPERACIONAL",OFFSET('PARÁMETROS'!$K$56,MATCH(U526,JC_OP,0),MATCH(T526,CC_OP,0)),
IF(AA526="FINANCIERO",OFFSET('PARÁMETROS'!$K$56,MATCH(U526,JC_FI,0),MATCH(T526,CC_FI,0)),
OFFSET('PARÁMETROS'!$K$38,MATCH(U526,JC_L,0),MATCH(T526,CC_L,0))))))))),"")</f>
        <v/>
      </c>
      <c r="W526" s="130"/>
      <c r="X526" s="135"/>
      <c r="Y526" s="136"/>
      <c r="Z526" s="30"/>
      <c r="AA526" s="31" t="str">
        <f>E523</f>
        <v/>
      </c>
    </row>
    <row r="527" ht="87.0" customHeight="1">
      <c r="A527" s="129"/>
      <c r="B527" s="130"/>
      <c r="C527" s="130"/>
      <c r="D527" s="130"/>
      <c r="E527" s="130"/>
      <c r="F527" s="130"/>
      <c r="G527" s="130"/>
      <c r="H527" s="130"/>
      <c r="I527" s="130"/>
      <c r="J527" s="130"/>
      <c r="K527" s="130"/>
      <c r="L527" s="130"/>
      <c r="M527" s="130"/>
      <c r="N527" s="130"/>
      <c r="O527" s="130"/>
      <c r="P527" s="132"/>
      <c r="Q527" s="134"/>
      <c r="R527" s="134"/>
      <c r="S527" s="134"/>
      <c r="T527" s="135"/>
      <c r="U527" s="135"/>
      <c r="V527" s="135" t="str">
        <f>IFERROR(IF(AA527="SEGURIDAD",OFFSET('PARÁMETROS'!$K$2,MATCH(U527,JC_SE,0),MATCH(T527,CC_SE,0)),
IF(OR(AA527="DSRC/Estratégico",AA527="DSRC/Operativo"),OFFSET('PARÁMETROS'!$K$11,MATCH(U527,JC_DS,0),MATCH(T527,CC_DS,0)),
IF(AA527="SALUD",OFFSET('PARÁMETROS'!$K$29,MATCH(U527,JC_SA,0),MATCH(T527,CC_SA,0)),
IF(AA527="MEDIO AMBIENTE",OFFSET('PARÁMETROS'!$K$20,MATCH(U527,JC_MA,0),MATCH(T527,CC_MA,0)),
IF(AA527="Rel. Gubernamentales",OFFSET('PARÁMETROS'!$K$48,MATCH(U527,JC_G,0),MATCH(T527,CC_G,0)),
IF(AA527="OPERACIONAL",OFFSET('PARÁMETROS'!$K$56,MATCH(U527,JC_OP,0),MATCH(T527,CC_OP,0)),
IF(AA527="FINANCIERO",OFFSET('PARÁMETROS'!$K$56,MATCH(U527,JC_FI,0),MATCH(T527,CC_FI,0)),
OFFSET('PARÁMETROS'!$K$38,MATCH(U527,JC_L,0),MATCH(T527,CC_L,0))))))))),"")</f>
        <v/>
      </c>
      <c r="W527" s="130"/>
      <c r="X527" s="135"/>
      <c r="Y527" s="136"/>
      <c r="Z527" s="30"/>
      <c r="AA527" s="31" t="str">
        <f>E523</f>
        <v/>
      </c>
    </row>
    <row r="528" ht="87.0" customHeight="1">
      <c r="A528" s="129"/>
      <c r="B528" s="130"/>
      <c r="C528" s="130"/>
      <c r="D528" s="130"/>
      <c r="E528" s="130"/>
      <c r="F528" s="130"/>
      <c r="G528" s="130"/>
      <c r="H528" s="130"/>
      <c r="I528" s="130"/>
      <c r="J528" s="130"/>
      <c r="K528" s="130"/>
      <c r="L528" s="130"/>
      <c r="M528" s="130"/>
      <c r="N528" s="130"/>
      <c r="O528" s="130"/>
      <c r="P528" s="132"/>
      <c r="Q528" s="134"/>
      <c r="R528" s="134"/>
      <c r="S528" s="134"/>
      <c r="T528" s="135"/>
      <c r="U528" s="135"/>
      <c r="V528" s="135" t="str">
        <f>IFERROR(IF(AA528="SEGURIDAD",OFFSET('PARÁMETROS'!$K$2,MATCH(U528,JC_SE,0),MATCH(T528,CC_SE,0)),
IF(OR(AA528="DSRC/Estratégico",AA528="DSRC/Operativo"),OFFSET('PARÁMETROS'!$K$11,MATCH(U528,JC_DS,0),MATCH(T528,CC_DS,0)),
IF(AA528="SALUD",OFFSET('PARÁMETROS'!$K$29,MATCH(U528,JC_SA,0),MATCH(T528,CC_SA,0)),
IF(AA528="MEDIO AMBIENTE",OFFSET('PARÁMETROS'!$K$20,MATCH(U528,JC_MA,0),MATCH(T528,CC_MA,0)),
IF(AA528="Rel. Gubernamentales",OFFSET('PARÁMETROS'!$K$48,MATCH(U528,JC_G,0),MATCH(T528,CC_G,0)),
IF(AA528="OPERACIONAL",OFFSET('PARÁMETROS'!$K$56,MATCH(U528,JC_OP,0),MATCH(T528,CC_OP,0)),
IF(AA528="FINANCIERO",OFFSET('PARÁMETROS'!$K$56,MATCH(U528,JC_FI,0),MATCH(T528,CC_FI,0)),
OFFSET('PARÁMETROS'!$K$38,MATCH(U528,JC_L,0),MATCH(T528,CC_L,0))))))))),"")</f>
        <v/>
      </c>
      <c r="W528" s="130"/>
      <c r="X528" s="135"/>
      <c r="Y528" s="136"/>
      <c r="Z528" s="30"/>
      <c r="AA528" s="31" t="str">
        <f>E523</f>
        <v/>
      </c>
    </row>
    <row r="529" ht="87.0" customHeight="1">
      <c r="A529" s="129"/>
      <c r="B529" s="130"/>
      <c r="C529" s="130"/>
      <c r="D529" s="130"/>
      <c r="E529" s="130"/>
      <c r="F529" s="130"/>
      <c r="G529" s="130"/>
      <c r="H529" s="130"/>
      <c r="I529" s="130"/>
      <c r="J529" s="130"/>
      <c r="K529" s="130"/>
      <c r="L529" s="130"/>
      <c r="M529" s="130"/>
      <c r="N529" s="130"/>
      <c r="O529" s="130"/>
      <c r="P529" s="132"/>
      <c r="Q529" s="134"/>
      <c r="R529" s="134"/>
      <c r="S529" s="134"/>
      <c r="T529" s="135"/>
      <c r="U529" s="135"/>
      <c r="V529" s="135" t="str">
        <f>IFERROR(IF(AA529="SEGURIDAD",OFFSET('PARÁMETROS'!$K$2,MATCH(U529,JC_SE,0),MATCH(T529,CC_SE,0)),
IF(OR(AA529="DSRC/Estratégico",AA529="DSRC/Operativo"),OFFSET('PARÁMETROS'!$K$11,MATCH(U529,JC_DS,0),MATCH(T529,CC_DS,0)),
IF(AA529="SALUD",OFFSET('PARÁMETROS'!$K$29,MATCH(U529,JC_SA,0),MATCH(T529,CC_SA,0)),
IF(AA529="MEDIO AMBIENTE",OFFSET('PARÁMETROS'!$K$20,MATCH(U529,JC_MA,0),MATCH(T529,CC_MA,0)),
IF(AA529="Rel. Gubernamentales",OFFSET('PARÁMETROS'!$K$48,MATCH(U529,JC_G,0),MATCH(T529,CC_G,0)),
IF(AA529="OPERACIONAL",OFFSET('PARÁMETROS'!$K$56,MATCH(U529,JC_OP,0),MATCH(T529,CC_OP,0)),
IF(AA529="FINANCIERO",OFFSET('PARÁMETROS'!$K$56,MATCH(U529,JC_FI,0),MATCH(T529,CC_FI,0)),
OFFSET('PARÁMETROS'!$K$38,MATCH(U529,JC_L,0),MATCH(T529,CC_L,0))))))))),"")</f>
        <v/>
      </c>
      <c r="W529" s="130"/>
      <c r="X529" s="135"/>
      <c r="Y529" s="136"/>
      <c r="Z529" s="30"/>
      <c r="AA529" s="31" t="str">
        <f>E523</f>
        <v/>
      </c>
    </row>
    <row r="530" ht="87.0" customHeight="1">
      <c r="A530" s="129"/>
      <c r="B530" s="130"/>
      <c r="C530" s="130"/>
      <c r="D530" s="130"/>
      <c r="E530" s="130"/>
      <c r="F530" s="130"/>
      <c r="G530" s="130"/>
      <c r="H530" s="130"/>
      <c r="I530" s="130"/>
      <c r="J530" s="130"/>
      <c r="K530" s="130"/>
      <c r="L530" s="130"/>
      <c r="M530" s="130"/>
      <c r="N530" s="130"/>
      <c r="O530" s="130"/>
      <c r="P530" s="132"/>
      <c r="Q530" s="134"/>
      <c r="R530" s="134"/>
      <c r="S530" s="134"/>
      <c r="T530" s="135"/>
      <c r="U530" s="135"/>
      <c r="V530" s="135" t="str">
        <f>IFERROR(IF(AA530="SEGURIDAD",OFFSET('PARÁMETROS'!$K$2,MATCH(U530,JC_SE,0),MATCH(T530,CC_SE,0)),
IF(OR(AA530="DSRC/Estratégico",AA530="DSRC/Operativo"),OFFSET('PARÁMETROS'!$K$11,MATCH(U530,JC_DS,0),MATCH(T530,CC_DS,0)),
IF(AA530="SALUD",OFFSET('PARÁMETROS'!$K$29,MATCH(U530,JC_SA,0),MATCH(T530,CC_SA,0)),
IF(AA530="MEDIO AMBIENTE",OFFSET('PARÁMETROS'!$K$20,MATCH(U530,JC_MA,0),MATCH(T530,CC_MA,0)),
IF(AA530="Rel. Gubernamentales",OFFSET('PARÁMETROS'!$K$48,MATCH(U530,JC_G,0),MATCH(T530,CC_G,0)),
IF(AA530="OPERACIONAL",OFFSET('PARÁMETROS'!$K$56,MATCH(U530,JC_OP,0),MATCH(T530,CC_OP,0)),
IF(AA530="FINANCIERO",OFFSET('PARÁMETROS'!$K$56,MATCH(U530,JC_FI,0),MATCH(T530,CC_FI,0)),
OFFSET('PARÁMETROS'!$K$38,MATCH(U530,JC_L,0),MATCH(T530,CC_L,0))))))))),"")</f>
        <v/>
      </c>
      <c r="W530" s="130"/>
      <c r="X530" s="135"/>
      <c r="Y530" s="136"/>
      <c r="Z530" s="30"/>
      <c r="AA530" s="31" t="str">
        <f>E523</f>
        <v/>
      </c>
    </row>
    <row r="531" ht="87.0" customHeight="1">
      <c r="A531" s="129"/>
      <c r="B531" s="130"/>
      <c r="C531" s="130"/>
      <c r="D531" s="130"/>
      <c r="E531" s="130"/>
      <c r="F531" s="130"/>
      <c r="G531" s="130"/>
      <c r="H531" s="130"/>
      <c r="I531" s="130"/>
      <c r="J531" s="130"/>
      <c r="K531" s="130"/>
      <c r="L531" s="130"/>
      <c r="M531" s="130"/>
      <c r="N531" s="130"/>
      <c r="O531" s="130"/>
      <c r="P531" s="132"/>
      <c r="Q531" s="134"/>
      <c r="R531" s="134"/>
      <c r="S531" s="134"/>
      <c r="T531" s="135"/>
      <c r="U531" s="135"/>
      <c r="V531" s="135" t="str">
        <f>IFERROR(IF(AA531="SEGURIDAD",OFFSET('PARÁMETROS'!$K$2,MATCH(U531,JC_SE,0),MATCH(T531,CC_SE,0)),
IF(OR(AA531="DSRC/Estratégico",AA531="DSRC/Operativo"),OFFSET('PARÁMETROS'!$K$11,MATCH(U531,JC_DS,0),MATCH(T531,CC_DS,0)),
IF(AA531="SALUD",OFFSET('PARÁMETROS'!$K$29,MATCH(U531,JC_SA,0),MATCH(T531,CC_SA,0)),
IF(AA531="MEDIO AMBIENTE",OFFSET('PARÁMETROS'!$K$20,MATCH(U531,JC_MA,0),MATCH(T531,CC_MA,0)),
IF(AA531="Rel. Gubernamentales",OFFSET('PARÁMETROS'!$K$48,MATCH(U531,JC_G,0),MATCH(T531,CC_G,0)),
IF(AA531="OPERACIONAL",OFFSET('PARÁMETROS'!$K$56,MATCH(U531,JC_OP,0),MATCH(T531,CC_OP,0)),
IF(AA531="FINANCIERO",OFFSET('PARÁMETROS'!$K$56,MATCH(U531,JC_FI,0),MATCH(T531,CC_FI,0)),
OFFSET('PARÁMETROS'!$K$38,MATCH(U531,JC_L,0),MATCH(T531,CC_L,0))))))))),"")</f>
        <v/>
      </c>
      <c r="W531" s="130"/>
      <c r="X531" s="135"/>
      <c r="Y531" s="136"/>
      <c r="Z531" s="30"/>
      <c r="AA531" s="31" t="str">
        <f>E523</f>
        <v/>
      </c>
    </row>
    <row r="532" ht="87.0" customHeight="1">
      <c r="A532" s="129"/>
      <c r="B532" s="130"/>
      <c r="C532" s="130"/>
      <c r="D532" s="130"/>
      <c r="E532" s="130"/>
      <c r="F532" s="130"/>
      <c r="G532" s="130"/>
      <c r="H532" s="130"/>
      <c r="I532" s="130"/>
      <c r="J532" s="130"/>
      <c r="K532" s="130"/>
      <c r="L532" s="130"/>
      <c r="M532" s="130"/>
      <c r="N532" s="130"/>
      <c r="O532" s="130"/>
      <c r="P532" s="132"/>
      <c r="Q532" s="134"/>
      <c r="R532" s="134"/>
      <c r="S532" s="134"/>
      <c r="T532" s="135"/>
      <c r="U532" s="135"/>
      <c r="V532" s="135" t="str">
        <f>IFERROR(IF(AA532="SEGURIDAD",OFFSET('PARÁMETROS'!$K$2,MATCH(U532,JC_SE,0),MATCH(T532,CC_SE,0)),
IF(OR(AA532="DSRC/Estratégico",AA532="DSRC/Operativo"),OFFSET('PARÁMETROS'!$K$11,MATCH(U532,JC_DS,0),MATCH(T532,CC_DS,0)),
IF(AA532="SALUD",OFFSET('PARÁMETROS'!$K$29,MATCH(U532,JC_SA,0),MATCH(T532,CC_SA,0)),
IF(AA532="MEDIO AMBIENTE",OFFSET('PARÁMETROS'!$K$20,MATCH(U532,JC_MA,0),MATCH(T532,CC_MA,0)),
IF(AA532="Rel. Gubernamentales",OFFSET('PARÁMETROS'!$K$48,MATCH(U532,JC_G,0),MATCH(T532,CC_G,0)),
IF(AA532="OPERACIONAL",OFFSET('PARÁMETROS'!$K$56,MATCH(U532,JC_OP,0),MATCH(T532,CC_OP,0)),
IF(AA532="FINANCIERO",OFFSET('PARÁMETROS'!$K$56,MATCH(U532,JC_FI,0),MATCH(T532,CC_FI,0)),
OFFSET('PARÁMETROS'!$K$38,MATCH(U532,JC_L,0),MATCH(T532,CC_L,0))))))))),"")</f>
        <v/>
      </c>
      <c r="W532" s="130"/>
      <c r="X532" s="135"/>
      <c r="Y532" s="136"/>
      <c r="Z532" s="30"/>
      <c r="AA532" s="31" t="str">
        <f>E523</f>
        <v/>
      </c>
    </row>
    <row r="533" ht="87.0" customHeight="1">
      <c r="A533" s="129"/>
      <c r="B533" s="130"/>
      <c r="C533" s="130"/>
      <c r="D533" s="130"/>
      <c r="E533" s="130"/>
      <c r="F533" s="130"/>
      <c r="G533" s="130"/>
      <c r="H533" s="130"/>
      <c r="I533" s="130"/>
      <c r="J533" s="130"/>
      <c r="K533" s="130"/>
      <c r="L533" s="130"/>
      <c r="M533" s="130"/>
      <c r="N533" s="130"/>
      <c r="O533" s="130"/>
      <c r="P533" s="132"/>
      <c r="Q533" s="134"/>
      <c r="R533" s="134"/>
      <c r="S533" s="134"/>
      <c r="T533" s="135"/>
      <c r="U533" s="135"/>
      <c r="V533" s="135" t="str">
        <f>IFERROR(IF(AA533="SEGURIDAD",OFFSET('PARÁMETROS'!$K$2,MATCH(U533,JC_SE,0),MATCH(T533,CC_SE,0)),
IF(OR(AA533="DSRC/Estratégico",AA533="DSRC/Operativo"),OFFSET('PARÁMETROS'!$K$11,MATCH(U533,JC_DS,0),MATCH(T533,CC_DS,0)),
IF(AA533="SALUD",OFFSET('PARÁMETROS'!$K$29,MATCH(U533,JC_SA,0),MATCH(T533,CC_SA,0)),
IF(AA533="MEDIO AMBIENTE",OFFSET('PARÁMETROS'!$K$20,MATCH(U533,JC_MA,0),MATCH(T533,CC_MA,0)),
IF(AA533="Rel. Gubernamentales",OFFSET('PARÁMETROS'!$K$48,MATCH(U533,JC_G,0),MATCH(T533,CC_G,0)),
IF(AA533="OPERACIONAL",OFFSET('PARÁMETROS'!$K$56,MATCH(U533,JC_OP,0),MATCH(T533,CC_OP,0)),
IF(AA533="FINANCIERO",OFFSET('PARÁMETROS'!$K$56,MATCH(U533,JC_FI,0),MATCH(T533,CC_FI,0)),
OFFSET('PARÁMETROS'!$K$38,MATCH(U533,JC_L,0),MATCH(T533,CC_L,0))))))))),"")</f>
        <v/>
      </c>
      <c r="W533" s="130"/>
      <c r="X533" s="135"/>
      <c r="Y533" s="136"/>
      <c r="Z533" s="30"/>
      <c r="AA533" s="31" t="str">
        <f>E523</f>
        <v/>
      </c>
    </row>
    <row r="534" ht="87.0" customHeight="1">
      <c r="A534" s="129"/>
      <c r="B534" s="130"/>
      <c r="C534" s="130"/>
      <c r="D534" s="130"/>
      <c r="E534" s="130"/>
      <c r="F534" s="130"/>
      <c r="G534" s="130"/>
      <c r="H534" s="130"/>
      <c r="I534" s="130"/>
      <c r="J534" s="130"/>
      <c r="K534" s="130"/>
      <c r="L534" s="130"/>
      <c r="M534" s="130"/>
      <c r="N534" s="130"/>
      <c r="O534" s="130"/>
      <c r="P534" s="132"/>
      <c r="Q534" s="134"/>
      <c r="R534" s="134"/>
      <c r="S534" s="134"/>
      <c r="T534" s="135"/>
      <c r="U534" s="135"/>
      <c r="V534" s="135" t="str">
        <f>IFERROR(IF(AA534="SEGURIDAD",OFFSET('PARÁMETROS'!$K$2,MATCH(U534,JC_SE,0),MATCH(T534,CC_SE,0)),
IF(OR(AA534="DSRC/Estratégico",AA534="DSRC/Operativo"),OFFSET('PARÁMETROS'!$K$11,MATCH(U534,JC_DS,0),MATCH(T534,CC_DS,0)),
IF(AA534="SALUD",OFFSET('PARÁMETROS'!$K$29,MATCH(U534,JC_SA,0),MATCH(T534,CC_SA,0)),
IF(AA534="MEDIO AMBIENTE",OFFSET('PARÁMETROS'!$K$20,MATCH(U534,JC_MA,0),MATCH(T534,CC_MA,0)),
IF(AA534="Rel. Gubernamentales",OFFSET('PARÁMETROS'!$K$48,MATCH(U534,JC_G,0),MATCH(T534,CC_G,0)),
IF(AA534="OPERACIONAL",OFFSET('PARÁMETROS'!$K$56,MATCH(U534,JC_OP,0),MATCH(T534,CC_OP,0)),
IF(AA534="FINANCIERO",OFFSET('PARÁMETROS'!$K$56,MATCH(U534,JC_FI,0),MATCH(T534,CC_FI,0)),
OFFSET('PARÁMETROS'!$K$38,MATCH(U534,JC_L,0),MATCH(T534,CC_L,0))))))))),"")</f>
        <v/>
      </c>
      <c r="W534" s="130"/>
      <c r="X534" s="135"/>
      <c r="Y534" s="136"/>
      <c r="Z534" s="30"/>
      <c r="AA534" s="31" t="str">
        <f>E523</f>
        <v/>
      </c>
    </row>
    <row r="535" ht="87.0" customHeight="1">
      <c r="A535" s="129"/>
      <c r="B535" s="130"/>
      <c r="C535" s="130"/>
      <c r="D535" s="130"/>
      <c r="E535" s="130"/>
      <c r="F535" s="130"/>
      <c r="G535" s="130"/>
      <c r="H535" s="130"/>
      <c r="I535" s="130"/>
      <c r="J535" s="130"/>
      <c r="K535" s="130"/>
      <c r="L535" s="130"/>
      <c r="M535" s="130"/>
      <c r="N535" s="130"/>
      <c r="O535" s="130"/>
      <c r="P535" s="132"/>
      <c r="Q535" s="134"/>
      <c r="R535" s="134"/>
      <c r="S535" s="134"/>
      <c r="T535" s="135"/>
      <c r="U535" s="135"/>
      <c r="V535" s="135" t="str">
        <f>IFERROR(IF(AA535="SEGURIDAD",OFFSET('PARÁMETROS'!$K$2,MATCH(U535,JC_SE,0),MATCH(T535,CC_SE,0)),
IF(OR(AA535="DSRC/Estratégico",AA535="DSRC/Operativo"),OFFSET('PARÁMETROS'!$K$11,MATCH(U535,JC_DS,0),MATCH(T535,CC_DS,0)),
IF(AA535="SALUD",OFFSET('PARÁMETROS'!$K$29,MATCH(U535,JC_SA,0),MATCH(T535,CC_SA,0)),
IF(AA535="MEDIO AMBIENTE",OFFSET('PARÁMETROS'!$K$20,MATCH(U535,JC_MA,0),MATCH(T535,CC_MA,0)),
IF(AA535="Rel. Gubernamentales",OFFSET('PARÁMETROS'!$K$48,MATCH(U535,JC_G,0),MATCH(T535,CC_G,0)),
IF(AA535="OPERACIONAL",OFFSET('PARÁMETROS'!$K$56,MATCH(U535,JC_OP,0),MATCH(T535,CC_OP,0)),
IF(AA535="FINANCIERO",OFFSET('PARÁMETROS'!$K$56,MATCH(U535,JC_FI,0),MATCH(T535,CC_FI,0)),
OFFSET('PARÁMETROS'!$K$38,MATCH(U535,JC_L,0),MATCH(T535,CC_L,0))))))))),"")</f>
        <v/>
      </c>
      <c r="W535" s="130"/>
      <c r="X535" s="135"/>
      <c r="Y535" s="136"/>
      <c r="Z535" s="30"/>
      <c r="AA535" s="31" t="str">
        <f>E523</f>
        <v/>
      </c>
    </row>
    <row r="536" ht="87.0" customHeight="1">
      <c r="A536" s="129"/>
      <c r="B536" s="130"/>
      <c r="C536" s="130"/>
      <c r="D536" s="130"/>
      <c r="E536" s="130"/>
      <c r="F536" s="130"/>
      <c r="G536" s="130"/>
      <c r="H536" s="130"/>
      <c r="I536" s="130"/>
      <c r="J536" s="130"/>
      <c r="K536" s="130"/>
      <c r="L536" s="130"/>
      <c r="M536" s="130"/>
      <c r="N536" s="130"/>
      <c r="O536" s="130"/>
      <c r="P536" s="132"/>
      <c r="Q536" s="134"/>
      <c r="R536" s="134"/>
      <c r="S536" s="134"/>
      <c r="T536" s="135"/>
      <c r="U536" s="135"/>
      <c r="V536" s="135" t="str">
        <f>IFERROR(IF(AA536="SEGURIDAD",OFFSET('PARÁMETROS'!$K$2,MATCH(U536,JC_SE,0),MATCH(T536,CC_SE,0)),
IF(OR(AA536="DSRC/Estratégico",AA536="DSRC/Operativo"),OFFSET('PARÁMETROS'!$K$11,MATCH(U536,JC_DS,0),MATCH(T536,CC_DS,0)),
IF(AA536="SALUD",OFFSET('PARÁMETROS'!$K$29,MATCH(U536,JC_SA,0),MATCH(T536,CC_SA,0)),
IF(AA536="MEDIO AMBIENTE",OFFSET('PARÁMETROS'!$K$20,MATCH(U536,JC_MA,0),MATCH(T536,CC_MA,0)),
IF(AA536="Rel. Gubernamentales",OFFSET('PARÁMETROS'!$K$48,MATCH(U536,JC_G,0),MATCH(T536,CC_G,0)),
IF(AA536="OPERACIONAL",OFFSET('PARÁMETROS'!$K$56,MATCH(U536,JC_OP,0),MATCH(T536,CC_OP,0)),
IF(AA536="FINANCIERO",OFFSET('PARÁMETROS'!$K$56,MATCH(U536,JC_FI,0),MATCH(T536,CC_FI,0)),
OFFSET('PARÁMETROS'!$K$38,MATCH(U536,JC_L,0),MATCH(T536,CC_L,0))))))))),"")</f>
        <v/>
      </c>
      <c r="W536" s="130"/>
      <c r="X536" s="135"/>
      <c r="Y536" s="136"/>
      <c r="Z536" s="30"/>
      <c r="AA536" s="31" t="str">
        <f>E523</f>
        <v/>
      </c>
    </row>
    <row r="537" ht="87.0" customHeight="1">
      <c r="A537" s="129"/>
      <c r="B537" s="130"/>
      <c r="C537" s="130"/>
      <c r="D537" s="130"/>
      <c r="E537" s="130"/>
      <c r="F537" s="130"/>
      <c r="G537" s="130"/>
      <c r="H537" s="130"/>
      <c r="I537" s="130"/>
      <c r="J537" s="130"/>
      <c r="K537" s="130"/>
      <c r="L537" s="130"/>
      <c r="M537" s="130"/>
      <c r="N537" s="130"/>
      <c r="O537" s="130"/>
      <c r="P537" s="132"/>
      <c r="Q537" s="134"/>
      <c r="R537" s="134"/>
      <c r="S537" s="134"/>
      <c r="T537" s="135"/>
      <c r="U537" s="135"/>
      <c r="V537" s="135" t="str">
        <f>IFERROR(IF(AA537="SEGURIDAD",OFFSET('PARÁMETROS'!$K$2,MATCH(U537,JC_SE,0),MATCH(T537,CC_SE,0)),
IF(OR(AA537="DSRC/Estratégico",AA537="DSRC/Operativo"),OFFSET('PARÁMETROS'!$K$11,MATCH(U537,JC_DS,0),MATCH(T537,CC_DS,0)),
IF(AA537="SALUD",OFFSET('PARÁMETROS'!$K$29,MATCH(U537,JC_SA,0),MATCH(T537,CC_SA,0)),
IF(AA537="MEDIO AMBIENTE",OFFSET('PARÁMETROS'!$K$20,MATCH(U537,JC_MA,0),MATCH(T537,CC_MA,0)),
IF(AA537="Rel. Gubernamentales",OFFSET('PARÁMETROS'!$K$48,MATCH(U537,JC_G,0),MATCH(T537,CC_G,0)),
IF(AA537="OPERACIONAL",OFFSET('PARÁMETROS'!$K$56,MATCH(U537,JC_OP,0),MATCH(T537,CC_OP,0)),
IF(AA537="FINANCIERO",OFFSET('PARÁMETROS'!$K$56,MATCH(U537,JC_FI,0),MATCH(T537,CC_FI,0)),
OFFSET('PARÁMETROS'!$K$38,MATCH(U537,JC_L,0),MATCH(T537,CC_L,0))))))))),"")</f>
        <v/>
      </c>
      <c r="W537" s="130"/>
      <c r="X537" s="135"/>
      <c r="Y537" s="136"/>
      <c r="Z537" s="30"/>
      <c r="AA537" s="31" t="str">
        <f>E523</f>
        <v/>
      </c>
    </row>
    <row r="538" ht="87.0" customHeight="1">
      <c r="A538" s="89"/>
      <c r="B538" s="90"/>
      <c r="C538" s="90"/>
      <c r="D538" s="157"/>
      <c r="E538" s="157"/>
      <c r="F538" s="157"/>
      <c r="G538" s="157"/>
      <c r="H538" s="157"/>
      <c r="I538" s="90"/>
      <c r="J538" s="90"/>
      <c r="K538" s="90"/>
      <c r="L538" s="90"/>
      <c r="M538" s="90"/>
      <c r="N538" s="90"/>
      <c r="O538" s="90"/>
      <c r="P538" s="132"/>
      <c r="Q538" s="134"/>
      <c r="R538" s="145"/>
      <c r="S538" s="145"/>
      <c r="T538" s="135"/>
      <c r="U538" s="135"/>
      <c r="V538" s="135" t="str">
        <f>IFERROR(IF(AA538="SEGURIDAD",OFFSET('PARÁMETROS'!$K$2,MATCH(U538,JC_SE,0),MATCH(T538,CC_SE,0)),
IF(OR(AA538="DSRC/Estratégico",AA538="DSRC/Operativo"),OFFSET('PARÁMETROS'!$K$11,MATCH(U538,JC_DS,0),MATCH(T538,CC_DS,0)),
IF(AA538="SALUD",OFFSET('PARÁMETROS'!$K$29,MATCH(U538,JC_SA,0),MATCH(T538,CC_SA,0)),
IF(AA538="MEDIO AMBIENTE",OFFSET('PARÁMETROS'!$K$20,MATCH(U538,JC_MA,0),MATCH(T538,CC_MA,0)),
IF(AA538="Rel. Gubernamentales",OFFSET('PARÁMETROS'!$K$48,MATCH(U538,JC_G,0),MATCH(T538,CC_G,0)),
IF(AA538="OPERACIONAL",OFFSET('PARÁMETROS'!$K$56,MATCH(U538,JC_OP,0),MATCH(T538,CC_OP,0)),
IF(AA538="FINANCIERO",OFFSET('PARÁMETROS'!$K$56,MATCH(U538,JC_FI,0),MATCH(T538,CC_FI,0)),
OFFSET('PARÁMETROS'!$K$38,MATCH(U538,JC_L,0),MATCH(T538,CC_L,0))))))))),"")</f>
        <v/>
      </c>
      <c r="W538" s="90"/>
      <c r="X538" s="135"/>
      <c r="Y538" s="136"/>
      <c r="Z538" s="30"/>
      <c r="AA538" s="31" t="str">
        <f>E523</f>
        <v/>
      </c>
    </row>
    <row r="539" ht="87.0" customHeight="1">
      <c r="A539" s="102"/>
      <c r="B539" s="103"/>
      <c r="C539" s="103"/>
      <c r="D539" s="103"/>
      <c r="E539" s="103"/>
      <c r="F539" s="103"/>
      <c r="G539" s="105"/>
      <c r="H539" s="103"/>
      <c r="I539" s="105"/>
      <c r="J539" s="103"/>
      <c r="K539" s="103"/>
      <c r="L539" s="103" t="str">
        <f>IF(OR(J539&lt;&gt;"",K539&lt;&gt;""),OFFSET('PARÁMETROS'!$B$2,K539,J539),"")</f>
        <v/>
      </c>
      <c r="M539" s="103"/>
      <c r="N539" s="103">
        <f>IFERROR(L539*M539,"")</f>
        <v>0</v>
      </c>
      <c r="O539" s="108" t="str">
        <f>IF(N539="","",IFERROR(IF(N539&lt;=2,"ACEPTABLE",IF(N539&lt;=6,"BAJA",IF(N539&lt;=10,"ACEPTABLE CON REVISIÓN",IF(N539&lt;=15,"SUSTANCIAL","INACEPTABLE")))),""))</f>
        <v>ACEPTABLE</v>
      </c>
      <c r="P539" s="113"/>
      <c r="Q539" s="114"/>
      <c r="R539" s="114"/>
      <c r="S539" s="114"/>
      <c r="T539" s="115"/>
      <c r="U539" s="115"/>
      <c r="V539" s="115" t="str">
        <f>IFERROR(IF(AA539="SEGURIDAD",OFFSET('PARÁMETROS'!$K$2,MATCH(U539,JC_SE,0),MATCH(T539,CC_SE,0)),
IF(OR(AA539="DSRC/Estratégico",AA539="DSRC/Operativo"),OFFSET('PARÁMETROS'!$K$11,MATCH(U539,JC_DS,0),MATCH(T539,CC_DS,0)),
IF(AA539="SALUD",OFFSET('PARÁMETROS'!$K$29,MATCH(U539,JC_SA,0),MATCH(T539,CC_SA,0)),
IF(AA539="MEDIO AMBIENTE",OFFSET('PARÁMETROS'!$K$20,MATCH(U539,JC_MA,0),MATCH(T539,CC_MA,0)),
IF(AA539="Rel. Gubernamentales",OFFSET('PARÁMETROS'!$K$48,MATCH(U539,JC_G,0),MATCH(T539,CC_G,0)),
IF(AA539="OPERACIONAL",OFFSET('PARÁMETROS'!$K$56,MATCH(U539,JC_OP,0),MATCH(T539,CC_OP,0)),
IF(AA539="FINANCIERO",OFFSET('PARÁMETROS'!$K$56,MATCH(U539,JC_FI,0),MATCH(T539,CC_FI,0)),
OFFSET('PARÁMETROS'!$K$38,MATCH(U539,JC_L,0),MATCH(T539,CC_L,0))))))))),"")</f>
        <v/>
      </c>
      <c r="W539" s="108" t="str">
        <f>IF(E539="","",
IF(COUNTA(V539:V554)-COUNTBLANK(V539:V554)=1,
IF(O539="INACEPTABLE",IF(COUNTIF(V539:V554,"Control/Acción Eficaz")&gt;=1,"SUSTANCIAL","INACEPTABLE"),
IF(O539="SUSTANCIAL",IF(COUNTIF(V539:V554,"Control/Acción Eficaz")&gt;=1,"ACEPTABLE CON REVISIÓN","SUSTANCIAL"),
IF(O539="ACEPTABLE CON REVISIÓN",IF(COUNTIF(V539:V554,"Control/Acción Eficaz")&gt;=1,"BAJA","ACEPTABLE CON REVISIÓN"),
IF(O539="BAJA",IF(COUNTIF(V539:V554,"Control/Acción Eficaz")&gt;=1,"ACEPTABLE","BAJA"),)))),
IF(COUNTA(V539:V554)-COUNTBLANK(V539:V554)=2,
IF(O539="INACEPTABLE",IF(COUNTIF(V539:V554,"Control/Acción Eficaz")=2,"ACEPTABLE CON REVISIÓN",
IF(OR(AND(COUNTIF(V539:V554,"Control/Acción Eficaz")=1,COUNTIF(V539:V554,"Control/Acción Satisfactorio")=1),
AND(COUNTIF(V539:V554,"Control/Acción Eficaz")=1,COUNTIF(V539:V554,"Control/Acción No Eficaz")=1)),"SUSTANCIAL","INACEPTABLE")),
IF(O539="SUSTANCIAL",IF(COUNTIF(V539:V554,"Control/Acción Eficaz")=2,"BAJA",
IF(OR(AND(COUNTIF(V539:V554,"Control/Acción Eficaz")=1,COUNTIF(V539:V554,"Control/Acción Satisfactorio")=1),
AND(COUNTIF(V539:V554,"Control/Acción Eficaz")=1,COUNTIF(V539:V554,"Control/Acción No Eficaz")=1)),"ACEPTABLE CON REVISIÓN ","SUSTANCIAL")),
IF(O539="ACEPTABLE CON REVISIÓN",IF(COUNTIF(V539:V554,"Control/Acción Eficaz")=2,"ACEPTABLE",
IF(OR(AND(COUNTIF(V539:V554,"Control/Acción Eficaz")=1,COUNTIF(V539:V554,"Control/Acción Satisfactorio")=1),
AND(COUNTIF(V539:V554,"Control/Acción Eficaz")=1,COUNTIF(V539:V554,"Control/Acción No Eficaz")=1)),"BAJA","ACEPTABLE CON REVISIÓN")),
IF(O539="BAJA",IF(COUNTIF(V539:V554,"Control/Acción Eficaz")&gt;=2,"ACEPTABLE","BAJA"),)))),
IF(COUNTA(V539:V554)-COUNTBLANK(V539:V554)&gt;=3,
IF(O539="INACEPTABLE",
IF(COUNTBLANK(V539:V554)=COUNTA(V539:V554),"",
IF(COUNTIF(V539:V554,"Control/Acción No Eficaz")&gt;=2,"INACEPTABLE",
IF(AND(COUNTIF(V539:V554,"Control/Acción No Eficaz")=0,COUNTIF(V539:V554,"Control/Acción Eficaz")&gt;=2),"ACEPTABLE CON REVISIÓN ","SUSTANCIAL"))),
IF(O539="SUSTANCIAL",
IF(COUNTBLANK(V539:V554)=COUNTA(V539:V554),"",
IF(COUNTIF(V539:V554,"Control/Acción No Eficaz")&gt;=2,"SUSTANCIAL",
IF(AND(COUNTIF(V539:V554,"Control/Acción No Eficaz")=0,COUNTIF(V539:V554,"Control/Acción Eficaz")&gt;=2),"BAJA","ACEPTABLE CON REVISIÓN"))),
IF(O539="ACEPTABLE CON REVISIÓN",
IF(COUNTBLANK(V539:V554)=COUNTA(V539:V554),"",
IF(COUNTIF(V539:V554,"Control/Acción No Eficaz")&gt;=2,"ACEPTABLE CON REVISIÓN",
IF(AND(COUNTIF(V539:V554,"Control/Acción No Eficaz")=0,COUNTIF(V539:V554,"Control/Acción Eficaz")&gt;=2),"ACEPTABLE","BAJA"))),
IF(O539="BAJA",
IF(COUNTBLANK(V539:V554)=COUNTA(V539:V554),"",
IF(AND(COUNTBLANK(V539:V554)&lt;1,COUNTA(V539:V554)=1),
IF(COUNTIF(V539:V554,"Control/Acción No Eficaz")&gt;=2,"BAJA",
IF(AND(COUNTIF(V539:V554,"Control/Acción No Eficaz")=0,COUNTIF(V539:V554,"Control/Acción Eficaz")&gt;=2),"ACEPTABLE","BAJA")),
IF(COUNTIF(V539:V554,"Control/Acción No Eficaz")&gt;=2,"BAJA",
IF(AND(COUNTIF(V539:V554,"Control/Acción No Eficaz")=0,COUNTIF(V539:V554,"Control/Acción Eficaz")&gt;=2),"ACEPTABLE","BAJA")))),
IF(COUNTIF(V539:V554,"")&gt;=5,"",O539))))),
""))))</f>
        <v/>
      </c>
      <c r="X539" s="115"/>
      <c r="Y539" s="128"/>
      <c r="Z539" s="30"/>
      <c r="AA539" s="31" t="str">
        <f>E539</f>
        <v/>
      </c>
    </row>
    <row r="540" ht="87.0" customHeight="1">
      <c r="A540" s="129"/>
      <c r="B540" s="130"/>
      <c r="C540" s="130"/>
      <c r="D540" s="130"/>
      <c r="E540" s="130"/>
      <c r="F540" s="130"/>
      <c r="G540" s="130"/>
      <c r="H540" s="130"/>
      <c r="I540" s="130"/>
      <c r="J540" s="130"/>
      <c r="K540" s="130"/>
      <c r="L540" s="130"/>
      <c r="M540" s="130"/>
      <c r="N540" s="130"/>
      <c r="O540" s="130"/>
      <c r="P540" s="132"/>
      <c r="Q540" s="134"/>
      <c r="R540" s="134"/>
      <c r="S540" s="134"/>
      <c r="T540" s="135"/>
      <c r="U540" s="135"/>
      <c r="V540" s="135" t="str">
        <f>IFERROR(IF(AA540="SEGURIDAD",OFFSET('PARÁMETROS'!$K$2,MATCH(U540,JC_SE,0),MATCH(T540,CC_SE,0)),
IF(OR(AA540="DSRC/Estratégico",AA540="DSRC/Operativo"),OFFSET('PARÁMETROS'!$K$11,MATCH(U540,JC_DS,0),MATCH(T540,CC_DS,0)),
IF(AA540="SALUD",OFFSET('PARÁMETROS'!$K$29,MATCH(U540,JC_SA,0),MATCH(T540,CC_SA,0)),
IF(AA540="MEDIO AMBIENTE",OFFSET('PARÁMETROS'!$K$20,MATCH(U540,JC_MA,0),MATCH(T540,CC_MA,0)),
IF(AA540="Rel. Gubernamentales",OFFSET('PARÁMETROS'!$K$48,MATCH(U540,JC_G,0),MATCH(T540,CC_G,0)),
IF(AA540="OPERACIONAL",OFFSET('PARÁMETROS'!$K$56,MATCH(U540,JC_OP,0),MATCH(T540,CC_OP,0)),
IF(AA540="FINANCIERO",OFFSET('PARÁMETROS'!$K$56,MATCH(U540,JC_FI,0),MATCH(T540,CC_FI,0)),
OFFSET('PARÁMETROS'!$K$38,MATCH(U540,JC_L,0),MATCH(T540,CC_L,0))))))))),"")</f>
        <v/>
      </c>
      <c r="W540" s="130"/>
      <c r="X540" s="135"/>
      <c r="Y540" s="136"/>
      <c r="Z540" s="30"/>
      <c r="AA540" s="31" t="str">
        <f>E539</f>
        <v/>
      </c>
    </row>
    <row r="541" ht="87.0" customHeight="1">
      <c r="A541" s="129"/>
      <c r="B541" s="130"/>
      <c r="C541" s="130"/>
      <c r="D541" s="130"/>
      <c r="E541" s="130"/>
      <c r="F541" s="130"/>
      <c r="G541" s="130"/>
      <c r="H541" s="130"/>
      <c r="I541" s="130"/>
      <c r="J541" s="130"/>
      <c r="K541" s="130"/>
      <c r="L541" s="130"/>
      <c r="M541" s="130"/>
      <c r="N541" s="130"/>
      <c r="O541" s="130"/>
      <c r="P541" s="132"/>
      <c r="Q541" s="134"/>
      <c r="R541" s="134"/>
      <c r="S541" s="134"/>
      <c r="T541" s="135"/>
      <c r="U541" s="135"/>
      <c r="V541" s="135" t="str">
        <f>IFERROR(IF(AA541="SEGURIDAD",OFFSET('PARÁMETROS'!$K$2,MATCH(U541,JC_SE,0),MATCH(T541,CC_SE,0)),
IF(OR(AA541="DSRC/Estratégico",AA541="DSRC/Operativo"),OFFSET('PARÁMETROS'!$K$11,MATCH(U541,JC_DS,0),MATCH(T541,CC_DS,0)),
IF(AA541="SALUD",OFFSET('PARÁMETROS'!$K$29,MATCH(U541,JC_SA,0),MATCH(T541,CC_SA,0)),
IF(AA541="MEDIO AMBIENTE",OFFSET('PARÁMETROS'!$K$20,MATCH(U541,JC_MA,0),MATCH(T541,CC_MA,0)),
IF(AA541="Rel. Gubernamentales",OFFSET('PARÁMETROS'!$K$48,MATCH(U541,JC_G,0),MATCH(T541,CC_G,0)),
IF(AA541="OPERACIONAL",OFFSET('PARÁMETROS'!$K$56,MATCH(U541,JC_OP,0),MATCH(T541,CC_OP,0)),
IF(AA541="FINANCIERO",OFFSET('PARÁMETROS'!$K$56,MATCH(U541,JC_FI,0),MATCH(T541,CC_FI,0)),
OFFSET('PARÁMETROS'!$K$38,MATCH(U541,JC_L,0),MATCH(T541,CC_L,0))))))))),"")</f>
        <v/>
      </c>
      <c r="W541" s="130"/>
      <c r="X541" s="135"/>
      <c r="Y541" s="136"/>
      <c r="Z541" s="30"/>
      <c r="AA541" s="31" t="str">
        <f>E539</f>
        <v/>
      </c>
    </row>
    <row r="542" ht="87.0" customHeight="1">
      <c r="A542" s="129"/>
      <c r="B542" s="130"/>
      <c r="C542" s="130"/>
      <c r="D542" s="130"/>
      <c r="E542" s="130"/>
      <c r="F542" s="130"/>
      <c r="G542" s="130"/>
      <c r="H542" s="130"/>
      <c r="I542" s="130"/>
      <c r="J542" s="130"/>
      <c r="K542" s="130"/>
      <c r="L542" s="130"/>
      <c r="M542" s="130"/>
      <c r="N542" s="130"/>
      <c r="O542" s="130"/>
      <c r="P542" s="132"/>
      <c r="Q542" s="134"/>
      <c r="R542" s="134"/>
      <c r="S542" s="134"/>
      <c r="T542" s="135"/>
      <c r="U542" s="135"/>
      <c r="V542" s="135" t="str">
        <f>IFERROR(IF(AA542="SEGURIDAD",OFFSET('PARÁMETROS'!$K$2,MATCH(U542,JC_SE,0),MATCH(T542,CC_SE,0)),
IF(OR(AA542="DSRC/Estratégico",AA542="DSRC/Operativo"),OFFSET('PARÁMETROS'!$K$11,MATCH(U542,JC_DS,0),MATCH(T542,CC_DS,0)),
IF(AA542="SALUD",OFFSET('PARÁMETROS'!$K$29,MATCH(U542,JC_SA,0),MATCH(T542,CC_SA,0)),
IF(AA542="MEDIO AMBIENTE",OFFSET('PARÁMETROS'!$K$20,MATCH(U542,JC_MA,0),MATCH(T542,CC_MA,0)),
IF(AA542="Rel. Gubernamentales",OFFSET('PARÁMETROS'!$K$48,MATCH(U542,JC_G,0),MATCH(T542,CC_G,0)),
IF(AA542="OPERACIONAL",OFFSET('PARÁMETROS'!$K$56,MATCH(U542,JC_OP,0),MATCH(T542,CC_OP,0)),
IF(AA542="FINANCIERO",OFFSET('PARÁMETROS'!$K$56,MATCH(U542,JC_FI,0),MATCH(T542,CC_FI,0)),
OFFSET('PARÁMETROS'!$K$38,MATCH(U542,JC_L,0),MATCH(T542,CC_L,0))))))))),"")</f>
        <v/>
      </c>
      <c r="W542" s="130"/>
      <c r="X542" s="135"/>
      <c r="Y542" s="136"/>
      <c r="Z542" s="30"/>
      <c r="AA542" s="31" t="str">
        <f>E539</f>
        <v/>
      </c>
    </row>
    <row r="543" ht="87.0" customHeight="1">
      <c r="A543" s="129"/>
      <c r="B543" s="130"/>
      <c r="C543" s="130"/>
      <c r="D543" s="130"/>
      <c r="E543" s="130"/>
      <c r="F543" s="130"/>
      <c r="G543" s="130"/>
      <c r="H543" s="130"/>
      <c r="I543" s="130"/>
      <c r="J543" s="130"/>
      <c r="K543" s="130"/>
      <c r="L543" s="130"/>
      <c r="M543" s="130"/>
      <c r="N543" s="130"/>
      <c r="O543" s="130"/>
      <c r="P543" s="132"/>
      <c r="Q543" s="134"/>
      <c r="R543" s="134"/>
      <c r="S543" s="134"/>
      <c r="T543" s="135"/>
      <c r="U543" s="135"/>
      <c r="V543" s="135" t="str">
        <f>IFERROR(IF(AA543="SEGURIDAD",OFFSET('PARÁMETROS'!$K$2,MATCH(U543,JC_SE,0),MATCH(T543,CC_SE,0)),
IF(OR(AA543="DSRC/Estratégico",AA543="DSRC/Operativo"),OFFSET('PARÁMETROS'!$K$11,MATCH(U543,JC_DS,0),MATCH(T543,CC_DS,0)),
IF(AA543="SALUD",OFFSET('PARÁMETROS'!$K$29,MATCH(U543,JC_SA,0),MATCH(T543,CC_SA,0)),
IF(AA543="MEDIO AMBIENTE",OFFSET('PARÁMETROS'!$K$20,MATCH(U543,JC_MA,0),MATCH(T543,CC_MA,0)),
IF(AA543="Rel. Gubernamentales",OFFSET('PARÁMETROS'!$K$48,MATCH(U543,JC_G,0),MATCH(T543,CC_G,0)),
IF(AA543="OPERACIONAL",OFFSET('PARÁMETROS'!$K$56,MATCH(U543,JC_OP,0),MATCH(T543,CC_OP,0)),
IF(AA543="FINANCIERO",OFFSET('PARÁMETROS'!$K$56,MATCH(U543,JC_FI,0),MATCH(T543,CC_FI,0)),
OFFSET('PARÁMETROS'!$K$38,MATCH(U543,JC_L,0),MATCH(T543,CC_L,0))))))))),"")</f>
        <v/>
      </c>
      <c r="W543" s="130"/>
      <c r="X543" s="135"/>
      <c r="Y543" s="136"/>
      <c r="Z543" s="30"/>
      <c r="AA543" s="31" t="str">
        <f>E539</f>
        <v/>
      </c>
    </row>
    <row r="544" ht="87.0" customHeight="1">
      <c r="A544" s="129"/>
      <c r="B544" s="130"/>
      <c r="C544" s="130"/>
      <c r="D544" s="130"/>
      <c r="E544" s="130"/>
      <c r="F544" s="130"/>
      <c r="G544" s="130"/>
      <c r="H544" s="130"/>
      <c r="I544" s="130"/>
      <c r="J544" s="130"/>
      <c r="K544" s="130"/>
      <c r="L544" s="130"/>
      <c r="M544" s="130"/>
      <c r="N544" s="130"/>
      <c r="O544" s="130"/>
      <c r="P544" s="132"/>
      <c r="Q544" s="134"/>
      <c r="R544" s="134"/>
      <c r="S544" s="134"/>
      <c r="T544" s="135"/>
      <c r="U544" s="135"/>
      <c r="V544" s="135" t="str">
        <f>IFERROR(IF(AA544="SEGURIDAD",OFFSET('PARÁMETROS'!$K$2,MATCH(U544,JC_SE,0),MATCH(T544,CC_SE,0)),
IF(OR(AA544="DSRC/Estratégico",AA544="DSRC/Operativo"),OFFSET('PARÁMETROS'!$K$11,MATCH(U544,JC_DS,0),MATCH(T544,CC_DS,0)),
IF(AA544="SALUD",OFFSET('PARÁMETROS'!$K$29,MATCH(U544,JC_SA,0),MATCH(T544,CC_SA,0)),
IF(AA544="MEDIO AMBIENTE",OFFSET('PARÁMETROS'!$K$20,MATCH(U544,JC_MA,0),MATCH(T544,CC_MA,0)),
IF(AA544="Rel. Gubernamentales",OFFSET('PARÁMETROS'!$K$48,MATCH(U544,JC_G,0),MATCH(T544,CC_G,0)),
IF(AA544="OPERACIONAL",OFFSET('PARÁMETROS'!$K$56,MATCH(U544,JC_OP,0),MATCH(T544,CC_OP,0)),
IF(AA544="FINANCIERO",OFFSET('PARÁMETROS'!$K$56,MATCH(U544,JC_FI,0),MATCH(T544,CC_FI,0)),
OFFSET('PARÁMETROS'!$K$38,MATCH(U544,JC_L,0),MATCH(T544,CC_L,0))))))))),"")</f>
        <v/>
      </c>
      <c r="W544" s="130"/>
      <c r="X544" s="135"/>
      <c r="Y544" s="136"/>
      <c r="Z544" s="30"/>
      <c r="AA544" s="31" t="str">
        <f>E539</f>
        <v/>
      </c>
    </row>
    <row r="545" ht="87.0" customHeight="1">
      <c r="A545" s="129"/>
      <c r="B545" s="130"/>
      <c r="C545" s="130"/>
      <c r="D545" s="130"/>
      <c r="E545" s="130"/>
      <c r="F545" s="130"/>
      <c r="G545" s="130"/>
      <c r="H545" s="130"/>
      <c r="I545" s="130"/>
      <c r="J545" s="130"/>
      <c r="K545" s="130"/>
      <c r="L545" s="130"/>
      <c r="M545" s="130"/>
      <c r="N545" s="130"/>
      <c r="O545" s="130"/>
      <c r="P545" s="132"/>
      <c r="Q545" s="134"/>
      <c r="R545" s="134"/>
      <c r="S545" s="134"/>
      <c r="T545" s="135"/>
      <c r="U545" s="135"/>
      <c r="V545" s="135" t="str">
        <f>IFERROR(IF(AA545="SEGURIDAD",OFFSET('PARÁMETROS'!$K$2,MATCH(U545,JC_SE,0),MATCH(T545,CC_SE,0)),
IF(OR(AA545="DSRC/Estratégico",AA545="DSRC/Operativo"),OFFSET('PARÁMETROS'!$K$11,MATCH(U545,JC_DS,0),MATCH(T545,CC_DS,0)),
IF(AA545="SALUD",OFFSET('PARÁMETROS'!$K$29,MATCH(U545,JC_SA,0),MATCH(T545,CC_SA,0)),
IF(AA545="MEDIO AMBIENTE",OFFSET('PARÁMETROS'!$K$20,MATCH(U545,JC_MA,0),MATCH(T545,CC_MA,0)),
IF(AA545="Rel. Gubernamentales",OFFSET('PARÁMETROS'!$K$48,MATCH(U545,JC_G,0),MATCH(T545,CC_G,0)),
IF(AA545="OPERACIONAL",OFFSET('PARÁMETROS'!$K$56,MATCH(U545,JC_OP,0),MATCH(T545,CC_OP,0)),
IF(AA545="FINANCIERO",OFFSET('PARÁMETROS'!$K$56,MATCH(U545,JC_FI,0),MATCH(T545,CC_FI,0)),
OFFSET('PARÁMETROS'!$K$38,MATCH(U545,JC_L,0),MATCH(T545,CC_L,0))))))))),"")</f>
        <v/>
      </c>
      <c r="W545" s="130"/>
      <c r="X545" s="135"/>
      <c r="Y545" s="136"/>
      <c r="Z545" s="30"/>
      <c r="AA545" s="31" t="str">
        <f>E539</f>
        <v/>
      </c>
    </row>
    <row r="546" ht="87.0" customHeight="1">
      <c r="A546" s="129"/>
      <c r="B546" s="130"/>
      <c r="C546" s="130"/>
      <c r="D546" s="130"/>
      <c r="E546" s="130"/>
      <c r="F546" s="130"/>
      <c r="G546" s="130"/>
      <c r="H546" s="130"/>
      <c r="I546" s="130"/>
      <c r="J546" s="130"/>
      <c r="K546" s="130"/>
      <c r="L546" s="130"/>
      <c r="M546" s="130"/>
      <c r="N546" s="130"/>
      <c r="O546" s="130"/>
      <c r="P546" s="132"/>
      <c r="Q546" s="134"/>
      <c r="R546" s="134"/>
      <c r="S546" s="134"/>
      <c r="T546" s="135"/>
      <c r="U546" s="135"/>
      <c r="V546" s="135" t="str">
        <f>IFERROR(IF(AA546="SEGURIDAD",OFFSET('PARÁMETROS'!$K$2,MATCH(U546,JC_SE,0),MATCH(T546,CC_SE,0)),
IF(OR(AA546="DSRC/Estratégico",AA546="DSRC/Operativo"),OFFSET('PARÁMETROS'!$K$11,MATCH(U546,JC_DS,0),MATCH(T546,CC_DS,0)),
IF(AA546="SALUD",OFFSET('PARÁMETROS'!$K$29,MATCH(U546,JC_SA,0),MATCH(T546,CC_SA,0)),
IF(AA546="MEDIO AMBIENTE",OFFSET('PARÁMETROS'!$K$20,MATCH(U546,JC_MA,0),MATCH(T546,CC_MA,0)),
IF(AA546="Rel. Gubernamentales",OFFSET('PARÁMETROS'!$K$48,MATCH(U546,JC_G,0),MATCH(T546,CC_G,0)),
IF(AA546="OPERACIONAL",OFFSET('PARÁMETROS'!$K$56,MATCH(U546,JC_OP,0),MATCH(T546,CC_OP,0)),
IF(AA546="FINANCIERO",OFFSET('PARÁMETROS'!$K$56,MATCH(U546,JC_FI,0),MATCH(T546,CC_FI,0)),
OFFSET('PARÁMETROS'!$K$38,MATCH(U546,JC_L,0),MATCH(T546,CC_L,0))))))))),"")</f>
        <v/>
      </c>
      <c r="W546" s="130"/>
      <c r="X546" s="135"/>
      <c r="Y546" s="136"/>
      <c r="Z546" s="30"/>
      <c r="AA546" s="31" t="str">
        <f>E539</f>
        <v/>
      </c>
    </row>
    <row r="547" ht="87.0" customHeight="1">
      <c r="A547" s="129"/>
      <c r="B547" s="130"/>
      <c r="C547" s="130"/>
      <c r="D547" s="130"/>
      <c r="E547" s="130"/>
      <c r="F547" s="130"/>
      <c r="G547" s="130"/>
      <c r="H547" s="130"/>
      <c r="I547" s="130"/>
      <c r="J547" s="130"/>
      <c r="K547" s="130"/>
      <c r="L547" s="130"/>
      <c r="M547" s="130"/>
      <c r="N547" s="130"/>
      <c r="O547" s="130"/>
      <c r="P547" s="132"/>
      <c r="Q547" s="134"/>
      <c r="R547" s="134"/>
      <c r="S547" s="134"/>
      <c r="T547" s="135"/>
      <c r="U547" s="135"/>
      <c r="V547" s="135" t="str">
        <f>IFERROR(IF(AA547="SEGURIDAD",OFFSET('PARÁMETROS'!$K$2,MATCH(U547,JC_SE,0),MATCH(T547,CC_SE,0)),
IF(OR(AA547="DSRC/Estratégico",AA547="DSRC/Operativo"),OFFSET('PARÁMETROS'!$K$11,MATCH(U547,JC_DS,0),MATCH(T547,CC_DS,0)),
IF(AA547="SALUD",OFFSET('PARÁMETROS'!$K$29,MATCH(U547,JC_SA,0),MATCH(T547,CC_SA,0)),
IF(AA547="MEDIO AMBIENTE",OFFSET('PARÁMETROS'!$K$20,MATCH(U547,JC_MA,0),MATCH(T547,CC_MA,0)),
IF(AA547="Rel. Gubernamentales",OFFSET('PARÁMETROS'!$K$48,MATCH(U547,JC_G,0),MATCH(T547,CC_G,0)),
IF(AA547="OPERACIONAL",OFFSET('PARÁMETROS'!$K$56,MATCH(U547,JC_OP,0),MATCH(T547,CC_OP,0)),
IF(AA547="FINANCIERO",OFFSET('PARÁMETROS'!$K$56,MATCH(U547,JC_FI,0),MATCH(T547,CC_FI,0)),
OFFSET('PARÁMETROS'!$K$38,MATCH(U547,JC_L,0),MATCH(T547,CC_L,0))))))))),"")</f>
        <v/>
      </c>
      <c r="W547" s="130"/>
      <c r="X547" s="135"/>
      <c r="Y547" s="136"/>
      <c r="Z547" s="30"/>
      <c r="AA547" s="31" t="str">
        <f>E539</f>
        <v/>
      </c>
    </row>
    <row r="548" ht="87.0" customHeight="1">
      <c r="A548" s="129"/>
      <c r="B548" s="130"/>
      <c r="C548" s="130"/>
      <c r="D548" s="130"/>
      <c r="E548" s="130"/>
      <c r="F548" s="130"/>
      <c r="G548" s="130"/>
      <c r="H548" s="130"/>
      <c r="I548" s="130"/>
      <c r="J548" s="130"/>
      <c r="K548" s="130"/>
      <c r="L548" s="130"/>
      <c r="M548" s="130"/>
      <c r="N548" s="130"/>
      <c r="O548" s="130"/>
      <c r="P548" s="132"/>
      <c r="Q548" s="134"/>
      <c r="R548" s="134"/>
      <c r="S548" s="134"/>
      <c r="T548" s="135"/>
      <c r="U548" s="135"/>
      <c r="V548" s="135" t="str">
        <f>IFERROR(IF(AA548="SEGURIDAD",OFFSET('PARÁMETROS'!$K$2,MATCH(U548,JC_SE,0),MATCH(T548,CC_SE,0)),
IF(OR(AA548="DSRC/Estratégico",AA548="DSRC/Operativo"),OFFSET('PARÁMETROS'!$K$11,MATCH(U548,JC_DS,0),MATCH(T548,CC_DS,0)),
IF(AA548="SALUD",OFFSET('PARÁMETROS'!$K$29,MATCH(U548,JC_SA,0),MATCH(T548,CC_SA,0)),
IF(AA548="MEDIO AMBIENTE",OFFSET('PARÁMETROS'!$K$20,MATCH(U548,JC_MA,0),MATCH(T548,CC_MA,0)),
IF(AA548="Rel. Gubernamentales",OFFSET('PARÁMETROS'!$K$48,MATCH(U548,JC_G,0),MATCH(T548,CC_G,0)),
IF(AA548="OPERACIONAL",OFFSET('PARÁMETROS'!$K$56,MATCH(U548,JC_OP,0),MATCH(T548,CC_OP,0)),
IF(AA548="FINANCIERO",OFFSET('PARÁMETROS'!$K$56,MATCH(U548,JC_FI,0),MATCH(T548,CC_FI,0)),
OFFSET('PARÁMETROS'!$K$38,MATCH(U548,JC_L,0),MATCH(T548,CC_L,0))))))))),"")</f>
        <v/>
      </c>
      <c r="W548" s="130"/>
      <c r="X548" s="135"/>
      <c r="Y548" s="136"/>
      <c r="Z548" s="30"/>
      <c r="AA548" s="31" t="str">
        <f>E539</f>
        <v/>
      </c>
    </row>
    <row r="549" ht="87.0" customHeight="1">
      <c r="A549" s="129"/>
      <c r="B549" s="130"/>
      <c r="C549" s="130"/>
      <c r="D549" s="130"/>
      <c r="E549" s="130"/>
      <c r="F549" s="130"/>
      <c r="G549" s="130"/>
      <c r="H549" s="130"/>
      <c r="I549" s="130"/>
      <c r="J549" s="130"/>
      <c r="K549" s="130"/>
      <c r="L549" s="130"/>
      <c r="M549" s="130"/>
      <c r="N549" s="130"/>
      <c r="O549" s="130"/>
      <c r="P549" s="132"/>
      <c r="Q549" s="134"/>
      <c r="R549" s="134"/>
      <c r="S549" s="134"/>
      <c r="T549" s="135"/>
      <c r="U549" s="135"/>
      <c r="V549" s="135" t="str">
        <f>IFERROR(IF(AA549="SEGURIDAD",OFFSET('PARÁMETROS'!$K$2,MATCH(U549,JC_SE,0),MATCH(T549,CC_SE,0)),
IF(OR(AA549="DSRC/Estratégico",AA549="DSRC/Operativo"),OFFSET('PARÁMETROS'!$K$11,MATCH(U549,JC_DS,0),MATCH(T549,CC_DS,0)),
IF(AA549="SALUD",OFFSET('PARÁMETROS'!$K$29,MATCH(U549,JC_SA,0),MATCH(T549,CC_SA,0)),
IF(AA549="MEDIO AMBIENTE",OFFSET('PARÁMETROS'!$K$20,MATCH(U549,JC_MA,0),MATCH(T549,CC_MA,0)),
IF(AA549="Rel. Gubernamentales",OFFSET('PARÁMETROS'!$K$48,MATCH(U549,JC_G,0),MATCH(T549,CC_G,0)),
IF(AA549="OPERACIONAL",OFFSET('PARÁMETROS'!$K$56,MATCH(U549,JC_OP,0),MATCH(T549,CC_OP,0)),
IF(AA549="FINANCIERO",OFFSET('PARÁMETROS'!$K$56,MATCH(U549,JC_FI,0),MATCH(T549,CC_FI,0)),
OFFSET('PARÁMETROS'!$K$38,MATCH(U549,JC_L,0),MATCH(T549,CC_L,0))))))))),"")</f>
        <v/>
      </c>
      <c r="W549" s="130"/>
      <c r="X549" s="135"/>
      <c r="Y549" s="136"/>
      <c r="Z549" s="30"/>
      <c r="AA549" s="31" t="str">
        <f>E539</f>
        <v/>
      </c>
    </row>
    <row r="550" ht="87.0" customHeight="1">
      <c r="A550" s="129"/>
      <c r="B550" s="130"/>
      <c r="C550" s="130"/>
      <c r="D550" s="130"/>
      <c r="E550" s="130"/>
      <c r="F550" s="130"/>
      <c r="G550" s="130"/>
      <c r="H550" s="130"/>
      <c r="I550" s="130"/>
      <c r="J550" s="130"/>
      <c r="K550" s="130"/>
      <c r="L550" s="130"/>
      <c r="M550" s="130"/>
      <c r="N550" s="130"/>
      <c r="O550" s="130"/>
      <c r="P550" s="132"/>
      <c r="Q550" s="134"/>
      <c r="R550" s="134"/>
      <c r="S550" s="134"/>
      <c r="T550" s="135"/>
      <c r="U550" s="135"/>
      <c r="V550" s="135" t="str">
        <f>IFERROR(IF(AA550="SEGURIDAD",OFFSET('PARÁMETROS'!$K$2,MATCH(U550,JC_SE,0),MATCH(T550,CC_SE,0)),
IF(OR(AA550="DSRC/Estratégico",AA550="DSRC/Operativo"),OFFSET('PARÁMETROS'!$K$11,MATCH(U550,JC_DS,0),MATCH(T550,CC_DS,0)),
IF(AA550="SALUD",OFFSET('PARÁMETROS'!$K$29,MATCH(U550,JC_SA,0),MATCH(T550,CC_SA,0)),
IF(AA550="MEDIO AMBIENTE",OFFSET('PARÁMETROS'!$K$20,MATCH(U550,JC_MA,0),MATCH(T550,CC_MA,0)),
IF(AA550="Rel. Gubernamentales",OFFSET('PARÁMETROS'!$K$48,MATCH(U550,JC_G,0),MATCH(T550,CC_G,0)),
IF(AA550="OPERACIONAL",OFFSET('PARÁMETROS'!$K$56,MATCH(U550,JC_OP,0),MATCH(T550,CC_OP,0)),
IF(AA550="FINANCIERO",OFFSET('PARÁMETROS'!$K$56,MATCH(U550,JC_FI,0),MATCH(T550,CC_FI,0)),
OFFSET('PARÁMETROS'!$K$38,MATCH(U550,JC_L,0),MATCH(T550,CC_L,0))))))))),"")</f>
        <v/>
      </c>
      <c r="W550" s="130"/>
      <c r="X550" s="135"/>
      <c r="Y550" s="136"/>
      <c r="Z550" s="30"/>
      <c r="AA550" s="31" t="str">
        <f>E539</f>
        <v/>
      </c>
    </row>
    <row r="551" ht="87.0" customHeight="1">
      <c r="A551" s="129"/>
      <c r="B551" s="130"/>
      <c r="C551" s="130"/>
      <c r="D551" s="130"/>
      <c r="E551" s="130"/>
      <c r="F551" s="130"/>
      <c r="G551" s="130"/>
      <c r="H551" s="130"/>
      <c r="I551" s="130"/>
      <c r="J551" s="130"/>
      <c r="K551" s="130"/>
      <c r="L551" s="130"/>
      <c r="M551" s="130"/>
      <c r="N551" s="130"/>
      <c r="O551" s="130"/>
      <c r="P551" s="132"/>
      <c r="Q551" s="134"/>
      <c r="R551" s="134"/>
      <c r="S551" s="134"/>
      <c r="T551" s="135"/>
      <c r="U551" s="135"/>
      <c r="V551" s="135" t="str">
        <f>IFERROR(IF(AA551="SEGURIDAD",OFFSET('PARÁMETROS'!$K$2,MATCH(U551,JC_SE,0),MATCH(T551,CC_SE,0)),
IF(OR(AA551="DSRC/Estratégico",AA551="DSRC/Operativo"),OFFSET('PARÁMETROS'!$K$11,MATCH(U551,JC_DS,0),MATCH(T551,CC_DS,0)),
IF(AA551="SALUD",OFFSET('PARÁMETROS'!$K$29,MATCH(U551,JC_SA,0),MATCH(T551,CC_SA,0)),
IF(AA551="MEDIO AMBIENTE",OFFSET('PARÁMETROS'!$K$20,MATCH(U551,JC_MA,0),MATCH(T551,CC_MA,0)),
IF(AA551="Rel. Gubernamentales",OFFSET('PARÁMETROS'!$K$48,MATCH(U551,JC_G,0),MATCH(T551,CC_G,0)),
IF(AA551="OPERACIONAL",OFFSET('PARÁMETROS'!$K$56,MATCH(U551,JC_OP,0),MATCH(T551,CC_OP,0)),
IF(AA551="FINANCIERO",OFFSET('PARÁMETROS'!$K$56,MATCH(U551,JC_FI,0),MATCH(T551,CC_FI,0)),
OFFSET('PARÁMETROS'!$K$38,MATCH(U551,JC_L,0),MATCH(T551,CC_L,0))))))))),"")</f>
        <v/>
      </c>
      <c r="W551" s="130"/>
      <c r="X551" s="135"/>
      <c r="Y551" s="136"/>
      <c r="Z551" s="30"/>
      <c r="AA551" s="31" t="str">
        <f>E539</f>
        <v/>
      </c>
    </row>
    <row r="552" ht="87.0" customHeight="1">
      <c r="A552" s="129"/>
      <c r="B552" s="130"/>
      <c r="C552" s="130"/>
      <c r="D552" s="130"/>
      <c r="E552" s="130"/>
      <c r="F552" s="130"/>
      <c r="G552" s="130"/>
      <c r="H552" s="130"/>
      <c r="I552" s="130"/>
      <c r="J552" s="130"/>
      <c r="K552" s="130"/>
      <c r="L552" s="130"/>
      <c r="M552" s="130"/>
      <c r="N552" s="130"/>
      <c r="O552" s="130"/>
      <c r="P552" s="132"/>
      <c r="Q552" s="134"/>
      <c r="R552" s="134"/>
      <c r="S552" s="134"/>
      <c r="T552" s="135"/>
      <c r="U552" s="135"/>
      <c r="V552" s="135" t="str">
        <f>IFERROR(IF(AA552="SEGURIDAD",OFFSET('PARÁMETROS'!$K$2,MATCH(U552,JC_SE,0),MATCH(T552,CC_SE,0)),
IF(OR(AA552="DSRC/Estratégico",AA552="DSRC/Operativo"),OFFSET('PARÁMETROS'!$K$11,MATCH(U552,JC_DS,0),MATCH(T552,CC_DS,0)),
IF(AA552="SALUD",OFFSET('PARÁMETROS'!$K$29,MATCH(U552,JC_SA,0),MATCH(T552,CC_SA,0)),
IF(AA552="MEDIO AMBIENTE",OFFSET('PARÁMETROS'!$K$20,MATCH(U552,JC_MA,0),MATCH(T552,CC_MA,0)),
IF(AA552="Rel. Gubernamentales",OFFSET('PARÁMETROS'!$K$48,MATCH(U552,JC_G,0),MATCH(T552,CC_G,0)),
IF(AA552="OPERACIONAL",OFFSET('PARÁMETROS'!$K$56,MATCH(U552,JC_OP,0),MATCH(T552,CC_OP,0)),
IF(AA552="FINANCIERO",OFFSET('PARÁMETROS'!$K$56,MATCH(U552,JC_FI,0),MATCH(T552,CC_FI,0)),
OFFSET('PARÁMETROS'!$K$38,MATCH(U552,JC_L,0),MATCH(T552,CC_L,0))))))))),"")</f>
        <v/>
      </c>
      <c r="W552" s="130"/>
      <c r="X552" s="135"/>
      <c r="Y552" s="136"/>
      <c r="Z552" s="30"/>
      <c r="AA552" s="31" t="str">
        <f>E539</f>
        <v/>
      </c>
    </row>
    <row r="553" ht="87.0" customHeight="1">
      <c r="A553" s="129"/>
      <c r="B553" s="130"/>
      <c r="C553" s="130"/>
      <c r="D553" s="130"/>
      <c r="E553" s="130"/>
      <c r="F553" s="130"/>
      <c r="G553" s="130"/>
      <c r="H553" s="130"/>
      <c r="I553" s="130"/>
      <c r="J553" s="130"/>
      <c r="K553" s="130"/>
      <c r="L553" s="130"/>
      <c r="M553" s="130"/>
      <c r="N553" s="130"/>
      <c r="O553" s="130"/>
      <c r="P553" s="132"/>
      <c r="Q553" s="134"/>
      <c r="R553" s="134"/>
      <c r="S553" s="134"/>
      <c r="T553" s="135"/>
      <c r="U553" s="135"/>
      <c r="V553" s="135" t="str">
        <f>IFERROR(IF(AA553="SEGURIDAD",OFFSET('PARÁMETROS'!$K$2,MATCH(U553,JC_SE,0),MATCH(T553,CC_SE,0)),
IF(OR(AA553="DSRC/Estratégico",AA553="DSRC/Operativo"),OFFSET('PARÁMETROS'!$K$11,MATCH(U553,JC_DS,0),MATCH(T553,CC_DS,0)),
IF(AA553="SALUD",OFFSET('PARÁMETROS'!$K$29,MATCH(U553,JC_SA,0),MATCH(T553,CC_SA,0)),
IF(AA553="MEDIO AMBIENTE",OFFSET('PARÁMETROS'!$K$20,MATCH(U553,JC_MA,0),MATCH(T553,CC_MA,0)),
IF(AA553="Rel. Gubernamentales",OFFSET('PARÁMETROS'!$K$48,MATCH(U553,JC_G,0),MATCH(T553,CC_G,0)),
IF(AA553="OPERACIONAL",OFFSET('PARÁMETROS'!$K$56,MATCH(U553,JC_OP,0),MATCH(T553,CC_OP,0)),
IF(AA553="FINANCIERO",OFFSET('PARÁMETROS'!$K$56,MATCH(U553,JC_FI,0),MATCH(T553,CC_FI,0)),
OFFSET('PARÁMETROS'!$K$38,MATCH(U553,JC_L,0),MATCH(T553,CC_L,0))))))))),"")</f>
        <v/>
      </c>
      <c r="W553" s="130"/>
      <c r="X553" s="135"/>
      <c r="Y553" s="136"/>
      <c r="Z553" s="30"/>
      <c r="AA553" s="31" t="str">
        <f>E539</f>
        <v/>
      </c>
    </row>
    <row r="554" ht="87.0" customHeight="1">
      <c r="A554" s="89"/>
      <c r="B554" s="90"/>
      <c r="C554" s="90"/>
      <c r="D554" s="157"/>
      <c r="E554" s="157"/>
      <c r="F554" s="157"/>
      <c r="G554" s="157"/>
      <c r="H554" s="157"/>
      <c r="I554" s="90"/>
      <c r="J554" s="90"/>
      <c r="K554" s="90"/>
      <c r="L554" s="90"/>
      <c r="M554" s="90"/>
      <c r="N554" s="90"/>
      <c r="O554" s="90"/>
      <c r="P554" s="132"/>
      <c r="Q554" s="134"/>
      <c r="R554" s="145"/>
      <c r="S554" s="145"/>
      <c r="T554" s="135"/>
      <c r="U554" s="135"/>
      <c r="V554" s="135" t="str">
        <f>IFERROR(IF(AA554="SEGURIDAD",OFFSET('PARÁMETROS'!$K$2,MATCH(U554,JC_SE,0),MATCH(T554,CC_SE,0)),
IF(OR(AA554="DSRC/Estratégico",AA554="DSRC/Operativo"),OFFSET('PARÁMETROS'!$K$11,MATCH(U554,JC_DS,0),MATCH(T554,CC_DS,0)),
IF(AA554="SALUD",OFFSET('PARÁMETROS'!$K$29,MATCH(U554,JC_SA,0),MATCH(T554,CC_SA,0)),
IF(AA554="MEDIO AMBIENTE",OFFSET('PARÁMETROS'!$K$20,MATCH(U554,JC_MA,0),MATCH(T554,CC_MA,0)),
IF(AA554="Rel. Gubernamentales",OFFSET('PARÁMETROS'!$K$48,MATCH(U554,JC_G,0),MATCH(T554,CC_G,0)),
IF(AA554="OPERACIONAL",OFFSET('PARÁMETROS'!$K$56,MATCH(U554,JC_OP,0),MATCH(T554,CC_OP,0)),
IF(AA554="FINANCIERO",OFFSET('PARÁMETROS'!$K$56,MATCH(U554,JC_FI,0),MATCH(T554,CC_FI,0)),
OFFSET('PARÁMETROS'!$K$38,MATCH(U554,JC_L,0),MATCH(T554,CC_L,0))))))))),"")</f>
        <v/>
      </c>
      <c r="W554" s="90"/>
      <c r="X554" s="135"/>
      <c r="Y554" s="136"/>
      <c r="Z554" s="30"/>
      <c r="AA554" s="31" t="str">
        <f>E539</f>
        <v/>
      </c>
    </row>
    <row r="555" ht="87.0" customHeight="1">
      <c r="A555" s="102"/>
      <c r="B555" s="103"/>
      <c r="C555" s="103"/>
      <c r="D555" s="103"/>
      <c r="E555" s="103"/>
      <c r="F555" s="103"/>
      <c r="G555" s="105"/>
      <c r="H555" s="103"/>
      <c r="I555" s="105"/>
      <c r="J555" s="103"/>
      <c r="K555" s="103"/>
      <c r="L555" s="103" t="str">
        <f>IF(OR(J555&lt;&gt;"",K555&lt;&gt;""),OFFSET('PARÁMETROS'!$B$2,K555,J555),"")</f>
        <v/>
      </c>
      <c r="M555" s="103"/>
      <c r="N555" s="103">
        <f>IFERROR(L555*M555,"")</f>
        <v>0</v>
      </c>
      <c r="O555" s="108" t="str">
        <f>IF(N555="","",IFERROR(IF(N555&lt;=2,"ACEPTABLE",IF(N555&lt;=6,"BAJA",IF(N555&lt;=10,"ACEPTABLE CON REVISIÓN",IF(N555&lt;=15,"SUSTANCIAL","INACEPTABLE")))),""))</f>
        <v>ACEPTABLE</v>
      </c>
      <c r="P555" s="113"/>
      <c r="Q555" s="114"/>
      <c r="R555" s="114"/>
      <c r="S555" s="114"/>
      <c r="T555" s="115"/>
      <c r="U555" s="115"/>
      <c r="V555" s="115" t="str">
        <f>IFERROR(IF(AA555="SEGURIDAD",OFFSET('PARÁMETROS'!$K$2,MATCH(U555,JC_SE,0),MATCH(T555,CC_SE,0)),
IF(OR(AA555="DSRC/Estratégico",AA555="DSRC/Operativo"),OFFSET('PARÁMETROS'!$K$11,MATCH(U555,JC_DS,0),MATCH(T555,CC_DS,0)),
IF(AA555="SALUD",OFFSET('PARÁMETROS'!$K$29,MATCH(U555,JC_SA,0),MATCH(T555,CC_SA,0)),
IF(AA555="MEDIO AMBIENTE",OFFSET('PARÁMETROS'!$K$20,MATCH(U555,JC_MA,0),MATCH(T555,CC_MA,0)),
IF(AA555="Rel. Gubernamentales",OFFSET('PARÁMETROS'!$K$48,MATCH(U555,JC_G,0),MATCH(T555,CC_G,0)),
IF(AA555="OPERACIONAL",OFFSET('PARÁMETROS'!$K$56,MATCH(U555,JC_OP,0),MATCH(T555,CC_OP,0)),
IF(AA555="FINANCIERO",OFFSET('PARÁMETROS'!$K$56,MATCH(U555,JC_FI,0),MATCH(T555,CC_FI,0)),
OFFSET('PARÁMETROS'!$K$38,MATCH(U555,JC_L,0),MATCH(T555,CC_L,0))))))))),"")</f>
        <v/>
      </c>
      <c r="W555" s="108" t="str">
        <f>IF(E555="","",
IF(COUNTA(V555:V570)-COUNTBLANK(V555:V570)=1,
IF(O555="INACEPTABLE",IF(COUNTIF(V555:V570,"Control/Acción Eficaz")&gt;=1,"SUSTANCIAL","INACEPTABLE"),
IF(O555="SUSTANCIAL",IF(COUNTIF(V555:V570,"Control/Acción Eficaz")&gt;=1,"ACEPTABLE CON REVISIÓN","SUSTANCIAL"),
IF(O555="ACEPTABLE CON REVISIÓN",IF(COUNTIF(V555:V570,"Control/Acción Eficaz")&gt;=1,"BAJA","ACEPTABLE CON REVISIÓN"),
IF(O555="BAJA",IF(COUNTIF(V555:V570,"Control/Acción Eficaz")&gt;=1,"ACEPTABLE","BAJA"),)))),
IF(COUNTA(V555:V570)-COUNTBLANK(V555:V570)=2,
IF(O555="INACEPTABLE",IF(COUNTIF(V555:V570,"Control/Acción Eficaz")=2,"ACEPTABLE CON REVISIÓN",
IF(OR(AND(COUNTIF(V555:V570,"Control/Acción Eficaz")=1,COUNTIF(V555:V570,"Control/Acción Satisfactorio")=1),
AND(COUNTIF(V555:V570,"Control/Acción Eficaz")=1,COUNTIF(V555:V570,"Control/Acción No Eficaz")=1)),"SUSTANCIAL","INACEPTABLE")),
IF(O555="SUSTANCIAL",IF(COUNTIF(V555:V570,"Control/Acción Eficaz")=2,"BAJA",
IF(OR(AND(COUNTIF(V555:V570,"Control/Acción Eficaz")=1,COUNTIF(V555:V570,"Control/Acción Satisfactorio")=1),
AND(COUNTIF(V555:V570,"Control/Acción Eficaz")=1,COUNTIF(V555:V570,"Control/Acción No Eficaz")=1)),"ACEPTABLE CON REVISIÓN ","SUSTANCIAL")),
IF(O555="ACEPTABLE CON REVISIÓN",IF(COUNTIF(V555:V570,"Control/Acción Eficaz")=2,"ACEPTABLE",
IF(OR(AND(COUNTIF(V555:V570,"Control/Acción Eficaz")=1,COUNTIF(V555:V570,"Control/Acción Satisfactorio")=1),
AND(COUNTIF(V555:V570,"Control/Acción Eficaz")=1,COUNTIF(V555:V570,"Control/Acción No Eficaz")=1)),"BAJA","ACEPTABLE CON REVISIÓN")),
IF(O555="BAJA",IF(COUNTIF(V555:V570,"Control/Acción Eficaz")&gt;=2,"ACEPTABLE","BAJA"),)))),
IF(COUNTA(V555:V570)-COUNTBLANK(V555:V570)&gt;=3,
IF(O555="INACEPTABLE",
IF(COUNTBLANK(V555:V570)=COUNTA(V555:V570),"",
IF(COUNTIF(V555:V570,"Control/Acción No Eficaz")&gt;=2,"INACEPTABLE",
IF(AND(COUNTIF(V555:V570,"Control/Acción No Eficaz")=0,COUNTIF(V555:V570,"Control/Acción Eficaz")&gt;=2),"ACEPTABLE CON REVISIÓN ","SUSTANCIAL"))),
IF(O555="SUSTANCIAL",
IF(COUNTBLANK(V555:V570)=COUNTA(V555:V570),"",
IF(COUNTIF(V555:V570,"Control/Acción No Eficaz")&gt;=2,"SUSTANCIAL",
IF(AND(COUNTIF(V555:V570,"Control/Acción No Eficaz")=0,COUNTIF(V555:V570,"Control/Acción Eficaz")&gt;=2),"BAJA","ACEPTABLE CON REVISIÓN"))),
IF(O555="ACEPTABLE CON REVISIÓN",
IF(COUNTBLANK(V555:V570)=COUNTA(V555:V570),"",
IF(COUNTIF(V555:V570,"Control/Acción No Eficaz")&gt;=2,"ACEPTABLE CON REVISIÓN",
IF(AND(COUNTIF(V555:V570,"Control/Acción No Eficaz")=0,COUNTIF(V555:V570,"Control/Acción Eficaz")&gt;=2),"ACEPTABLE","BAJA"))),
IF(O555="BAJA",
IF(COUNTBLANK(V555:V570)=COUNTA(V555:V570),"",
IF(AND(COUNTBLANK(V555:V570)&lt;1,COUNTA(V555:V570)=1),
IF(COUNTIF(V555:V570,"Control/Acción No Eficaz")&gt;=2,"BAJA",
IF(AND(COUNTIF(V555:V570,"Control/Acción No Eficaz")=0,COUNTIF(V555:V570,"Control/Acción Eficaz")&gt;=2),"ACEPTABLE","BAJA")),
IF(COUNTIF(V555:V570,"Control/Acción No Eficaz")&gt;=2,"BAJA",
IF(AND(COUNTIF(V555:V570,"Control/Acción No Eficaz")=0,COUNTIF(V555:V570,"Control/Acción Eficaz")&gt;=2),"ACEPTABLE","BAJA")))),
IF(COUNTIF(V555:V570,"")&gt;=5,"",O555))))),
""))))</f>
        <v/>
      </c>
      <c r="X555" s="115"/>
      <c r="Y555" s="128"/>
      <c r="Z555" s="30"/>
      <c r="AA555" s="31" t="str">
        <f>E555</f>
        <v/>
      </c>
    </row>
    <row r="556" ht="87.0" customHeight="1">
      <c r="A556" s="129"/>
      <c r="B556" s="130"/>
      <c r="C556" s="130"/>
      <c r="D556" s="130"/>
      <c r="E556" s="130"/>
      <c r="F556" s="130"/>
      <c r="G556" s="130"/>
      <c r="H556" s="130"/>
      <c r="I556" s="130"/>
      <c r="J556" s="130"/>
      <c r="K556" s="130"/>
      <c r="L556" s="130"/>
      <c r="M556" s="130"/>
      <c r="N556" s="130"/>
      <c r="O556" s="130"/>
      <c r="P556" s="132"/>
      <c r="Q556" s="134"/>
      <c r="R556" s="134"/>
      <c r="S556" s="134"/>
      <c r="T556" s="135"/>
      <c r="U556" s="135"/>
      <c r="V556" s="135" t="str">
        <f>IFERROR(IF(AA556="SEGURIDAD",OFFSET('PARÁMETROS'!$K$2,MATCH(U556,JC_SE,0),MATCH(T556,CC_SE,0)),
IF(OR(AA556="DSRC/Estratégico",AA556="DSRC/Operativo"),OFFSET('PARÁMETROS'!$K$11,MATCH(U556,JC_DS,0),MATCH(T556,CC_DS,0)),
IF(AA556="SALUD",OFFSET('PARÁMETROS'!$K$29,MATCH(U556,JC_SA,0),MATCH(T556,CC_SA,0)),
IF(AA556="MEDIO AMBIENTE",OFFSET('PARÁMETROS'!$K$20,MATCH(U556,JC_MA,0),MATCH(T556,CC_MA,0)),
IF(AA556="Rel. Gubernamentales",OFFSET('PARÁMETROS'!$K$48,MATCH(U556,JC_G,0),MATCH(T556,CC_G,0)),
IF(AA556="OPERACIONAL",OFFSET('PARÁMETROS'!$K$56,MATCH(U556,JC_OP,0),MATCH(T556,CC_OP,0)),
IF(AA556="FINANCIERO",OFFSET('PARÁMETROS'!$K$56,MATCH(U556,JC_FI,0),MATCH(T556,CC_FI,0)),
OFFSET('PARÁMETROS'!$K$38,MATCH(U556,JC_L,0),MATCH(T556,CC_L,0))))))))),"")</f>
        <v/>
      </c>
      <c r="W556" s="130"/>
      <c r="X556" s="135"/>
      <c r="Y556" s="136"/>
      <c r="Z556" s="30"/>
      <c r="AA556" s="31" t="str">
        <f>E555</f>
        <v/>
      </c>
    </row>
    <row r="557" ht="87.0" customHeight="1">
      <c r="A557" s="129"/>
      <c r="B557" s="130"/>
      <c r="C557" s="130"/>
      <c r="D557" s="130"/>
      <c r="E557" s="130"/>
      <c r="F557" s="130"/>
      <c r="G557" s="130"/>
      <c r="H557" s="130"/>
      <c r="I557" s="130"/>
      <c r="J557" s="130"/>
      <c r="K557" s="130"/>
      <c r="L557" s="130"/>
      <c r="M557" s="130"/>
      <c r="N557" s="130"/>
      <c r="O557" s="130"/>
      <c r="P557" s="132"/>
      <c r="Q557" s="134"/>
      <c r="R557" s="134"/>
      <c r="S557" s="134"/>
      <c r="T557" s="135"/>
      <c r="U557" s="135"/>
      <c r="V557" s="135" t="str">
        <f>IFERROR(IF(AA557="SEGURIDAD",OFFSET('PARÁMETROS'!$K$2,MATCH(U557,JC_SE,0),MATCH(T557,CC_SE,0)),
IF(OR(AA557="DSRC/Estratégico",AA557="DSRC/Operativo"),OFFSET('PARÁMETROS'!$K$11,MATCH(U557,JC_DS,0),MATCH(T557,CC_DS,0)),
IF(AA557="SALUD",OFFSET('PARÁMETROS'!$K$29,MATCH(U557,JC_SA,0),MATCH(T557,CC_SA,0)),
IF(AA557="MEDIO AMBIENTE",OFFSET('PARÁMETROS'!$K$20,MATCH(U557,JC_MA,0),MATCH(T557,CC_MA,0)),
IF(AA557="Rel. Gubernamentales",OFFSET('PARÁMETROS'!$K$48,MATCH(U557,JC_G,0),MATCH(T557,CC_G,0)),
IF(AA557="OPERACIONAL",OFFSET('PARÁMETROS'!$K$56,MATCH(U557,JC_OP,0),MATCH(T557,CC_OP,0)),
IF(AA557="FINANCIERO",OFFSET('PARÁMETROS'!$K$56,MATCH(U557,JC_FI,0),MATCH(T557,CC_FI,0)),
OFFSET('PARÁMETROS'!$K$38,MATCH(U557,JC_L,0),MATCH(T557,CC_L,0))))))))),"")</f>
        <v/>
      </c>
      <c r="W557" s="130"/>
      <c r="X557" s="135"/>
      <c r="Y557" s="136"/>
      <c r="Z557" s="30"/>
      <c r="AA557" s="31" t="str">
        <f>E555</f>
        <v/>
      </c>
    </row>
    <row r="558" ht="87.0" customHeight="1">
      <c r="A558" s="129"/>
      <c r="B558" s="130"/>
      <c r="C558" s="130"/>
      <c r="D558" s="130"/>
      <c r="E558" s="130"/>
      <c r="F558" s="130"/>
      <c r="G558" s="130"/>
      <c r="H558" s="130"/>
      <c r="I558" s="130"/>
      <c r="J558" s="130"/>
      <c r="K558" s="130"/>
      <c r="L558" s="130"/>
      <c r="M558" s="130"/>
      <c r="N558" s="130"/>
      <c r="O558" s="130"/>
      <c r="P558" s="132"/>
      <c r="Q558" s="134"/>
      <c r="R558" s="134"/>
      <c r="S558" s="134"/>
      <c r="T558" s="135"/>
      <c r="U558" s="135"/>
      <c r="V558" s="135" t="str">
        <f>IFERROR(IF(AA558="SEGURIDAD",OFFSET('PARÁMETROS'!$K$2,MATCH(U558,JC_SE,0),MATCH(T558,CC_SE,0)),
IF(OR(AA558="DSRC/Estratégico",AA558="DSRC/Operativo"),OFFSET('PARÁMETROS'!$K$11,MATCH(U558,JC_DS,0),MATCH(T558,CC_DS,0)),
IF(AA558="SALUD",OFFSET('PARÁMETROS'!$K$29,MATCH(U558,JC_SA,0),MATCH(T558,CC_SA,0)),
IF(AA558="MEDIO AMBIENTE",OFFSET('PARÁMETROS'!$K$20,MATCH(U558,JC_MA,0),MATCH(T558,CC_MA,0)),
IF(AA558="Rel. Gubernamentales",OFFSET('PARÁMETROS'!$K$48,MATCH(U558,JC_G,0),MATCH(T558,CC_G,0)),
IF(AA558="OPERACIONAL",OFFSET('PARÁMETROS'!$K$56,MATCH(U558,JC_OP,0),MATCH(T558,CC_OP,0)),
IF(AA558="FINANCIERO",OFFSET('PARÁMETROS'!$K$56,MATCH(U558,JC_FI,0),MATCH(T558,CC_FI,0)),
OFFSET('PARÁMETROS'!$K$38,MATCH(U558,JC_L,0),MATCH(T558,CC_L,0))))))))),"")</f>
        <v/>
      </c>
      <c r="W558" s="130"/>
      <c r="X558" s="135"/>
      <c r="Y558" s="136"/>
      <c r="Z558" s="30"/>
      <c r="AA558" s="31" t="str">
        <f>E555</f>
        <v/>
      </c>
    </row>
    <row r="559" ht="87.0" customHeight="1">
      <c r="A559" s="129"/>
      <c r="B559" s="130"/>
      <c r="C559" s="130"/>
      <c r="D559" s="130"/>
      <c r="E559" s="130"/>
      <c r="F559" s="130"/>
      <c r="G559" s="130"/>
      <c r="H559" s="130"/>
      <c r="I559" s="130"/>
      <c r="J559" s="130"/>
      <c r="K559" s="130"/>
      <c r="L559" s="130"/>
      <c r="M559" s="130"/>
      <c r="N559" s="130"/>
      <c r="O559" s="130"/>
      <c r="P559" s="132"/>
      <c r="Q559" s="134"/>
      <c r="R559" s="134"/>
      <c r="S559" s="134"/>
      <c r="T559" s="135"/>
      <c r="U559" s="135"/>
      <c r="V559" s="135" t="str">
        <f>IFERROR(IF(AA559="SEGURIDAD",OFFSET('PARÁMETROS'!$K$2,MATCH(U559,JC_SE,0),MATCH(T559,CC_SE,0)),
IF(OR(AA559="DSRC/Estratégico",AA559="DSRC/Operativo"),OFFSET('PARÁMETROS'!$K$11,MATCH(U559,JC_DS,0),MATCH(T559,CC_DS,0)),
IF(AA559="SALUD",OFFSET('PARÁMETROS'!$K$29,MATCH(U559,JC_SA,0),MATCH(T559,CC_SA,0)),
IF(AA559="MEDIO AMBIENTE",OFFSET('PARÁMETROS'!$K$20,MATCH(U559,JC_MA,0),MATCH(T559,CC_MA,0)),
IF(AA559="Rel. Gubernamentales",OFFSET('PARÁMETROS'!$K$48,MATCH(U559,JC_G,0),MATCH(T559,CC_G,0)),
IF(AA559="OPERACIONAL",OFFSET('PARÁMETROS'!$K$56,MATCH(U559,JC_OP,0),MATCH(T559,CC_OP,0)),
IF(AA559="FINANCIERO",OFFSET('PARÁMETROS'!$K$56,MATCH(U559,JC_FI,0),MATCH(T559,CC_FI,0)),
OFFSET('PARÁMETROS'!$K$38,MATCH(U559,JC_L,0),MATCH(T559,CC_L,0))))))))),"")</f>
        <v/>
      </c>
      <c r="W559" s="130"/>
      <c r="X559" s="135"/>
      <c r="Y559" s="136"/>
      <c r="Z559" s="30"/>
      <c r="AA559" s="31" t="str">
        <f>E555</f>
        <v/>
      </c>
    </row>
    <row r="560" ht="87.0" customHeight="1">
      <c r="A560" s="129"/>
      <c r="B560" s="130"/>
      <c r="C560" s="130"/>
      <c r="D560" s="130"/>
      <c r="E560" s="130"/>
      <c r="F560" s="130"/>
      <c r="G560" s="130"/>
      <c r="H560" s="130"/>
      <c r="I560" s="130"/>
      <c r="J560" s="130"/>
      <c r="K560" s="130"/>
      <c r="L560" s="130"/>
      <c r="M560" s="130"/>
      <c r="N560" s="130"/>
      <c r="O560" s="130"/>
      <c r="P560" s="132"/>
      <c r="Q560" s="134"/>
      <c r="R560" s="134"/>
      <c r="S560" s="134"/>
      <c r="T560" s="135"/>
      <c r="U560" s="135"/>
      <c r="V560" s="135" t="str">
        <f>IFERROR(IF(AA560="SEGURIDAD",OFFSET('PARÁMETROS'!$K$2,MATCH(U560,JC_SE,0),MATCH(T560,CC_SE,0)),
IF(OR(AA560="DSRC/Estratégico",AA560="DSRC/Operativo"),OFFSET('PARÁMETROS'!$K$11,MATCH(U560,JC_DS,0),MATCH(T560,CC_DS,0)),
IF(AA560="SALUD",OFFSET('PARÁMETROS'!$K$29,MATCH(U560,JC_SA,0),MATCH(T560,CC_SA,0)),
IF(AA560="MEDIO AMBIENTE",OFFSET('PARÁMETROS'!$K$20,MATCH(U560,JC_MA,0),MATCH(T560,CC_MA,0)),
IF(AA560="Rel. Gubernamentales",OFFSET('PARÁMETROS'!$K$48,MATCH(U560,JC_G,0),MATCH(T560,CC_G,0)),
IF(AA560="OPERACIONAL",OFFSET('PARÁMETROS'!$K$56,MATCH(U560,JC_OP,0),MATCH(T560,CC_OP,0)),
IF(AA560="FINANCIERO",OFFSET('PARÁMETROS'!$K$56,MATCH(U560,JC_FI,0),MATCH(T560,CC_FI,0)),
OFFSET('PARÁMETROS'!$K$38,MATCH(U560,JC_L,0),MATCH(T560,CC_L,0))))))))),"")</f>
        <v/>
      </c>
      <c r="W560" s="130"/>
      <c r="X560" s="135"/>
      <c r="Y560" s="136"/>
      <c r="Z560" s="30"/>
      <c r="AA560" s="31" t="str">
        <f>E555</f>
        <v/>
      </c>
    </row>
    <row r="561" ht="87.0" customHeight="1">
      <c r="A561" s="129"/>
      <c r="B561" s="130"/>
      <c r="C561" s="130"/>
      <c r="D561" s="130"/>
      <c r="E561" s="130"/>
      <c r="F561" s="130"/>
      <c r="G561" s="130"/>
      <c r="H561" s="130"/>
      <c r="I561" s="130"/>
      <c r="J561" s="130"/>
      <c r="K561" s="130"/>
      <c r="L561" s="130"/>
      <c r="M561" s="130"/>
      <c r="N561" s="130"/>
      <c r="O561" s="130"/>
      <c r="P561" s="132"/>
      <c r="Q561" s="134"/>
      <c r="R561" s="134"/>
      <c r="S561" s="134"/>
      <c r="T561" s="135"/>
      <c r="U561" s="135"/>
      <c r="V561" s="135" t="str">
        <f>IFERROR(IF(AA561="SEGURIDAD",OFFSET('PARÁMETROS'!$K$2,MATCH(U561,JC_SE,0),MATCH(T561,CC_SE,0)),
IF(OR(AA561="DSRC/Estratégico",AA561="DSRC/Operativo"),OFFSET('PARÁMETROS'!$K$11,MATCH(U561,JC_DS,0),MATCH(T561,CC_DS,0)),
IF(AA561="SALUD",OFFSET('PARÁMETROS'!$K$29,MATCH(U561,JC_SA,0),MATCH(T561,CC_SA,0)),
IF(AA561="MEDIO AMBIENTE",OFFSET('PARÁMETROS'!$K$20,MATCH(U561,JC_MA,0),MATCH(T561,CC_MA,0)),
IF(AA561="Rel. Gubernamentales",OFFSET('PARÁMETROS'!$K$48,MATCH(U561,JC_G,0),MATCH(T561,CC_G,0)),
IF(AA561="OPERACIONAL",OFFSET('PARÁMETROS'!$K$56,MATCH(U561,JC_OP,0),MATCH(T561,CC_OP,0)),
IF(AA561="FINANCIERO",OFFSET('PARÁMETROS'!$K$56,MATCH(U561,JC_FI,0),MATCH(T561,CC_FI,0)),
OFFSET('PARÁMETROS'!$K$38,MATCH(U561,JC_L,0),MATCH(T561,CC_L,0))))))))),"")</f>
        <v/>
      </c>
      <c r="W561" s="130"/>
      <c r="X561" s="135"/>
      <c r="Y561" s="136"/>
      <c r="Z561" s="30"/>
      <c r="AA561" s="31" t="str">
        <f>E555</f>
        <v/>
      </c>
    </row>
    <row r="562" ht="87.0" customHeight="1">
      <c r="A562" s="129"/>
      <c r="B562" s="130"/>
      <c r="C562" s="130"/>
      <c r="D562" s="130"/>
      <c r="E562" s="130"/>
      <c r="F562" s="130"/>
      <c r="G562" s="130"/>
      <c r="H562" s="130"/>
      <c r="I562" s="130"/>
      <c r="J562" s="130"/>
      <c r="K562" s="130"/>
      <c r="L562" s="130"/>
      <c r="M562" s="130"/>
      <c r="N562" s="130"/>
      <c r="O562" s="130"/>
      <c r="P562" s="132"/>
      <c r="Q562" s="134"/>
      <c r="R562" s="134"/>
      <c r="S562" s="134"/>
      <c r="T562" s="135"/>
      <c r="U562" s="135"/>
      <c r="V562" s="135" t="str">
        <f>IFERROR(IF(AA562="SEGURIDAD",OFFSET('PARÁMETROS'!$K$2,MATCH(U562,JC_SE,0),MATCH(T562,CC_SE,0)),
IF(OR(AA562="DSRC/Estratégico",AA562="DSRC/Operativo"),OFFSET('PARÁMETROS'!$K$11,MATCH(U562,JC_DS,0),MATCH(T562,CC_DS,0)),
IF(AA562="SALUD",OFFSET('PARÁMETROS'!$K$29,MATCH(U562,JC_SA,0),MATCH(T562,CC_SA,0)),
IF(AA562="MEDIO AMBIENTE",OFFSET('PARÁMETROS'!$K$20,MATCH(U562,JC_MA,0),MATCH(T562,CC_MA,0)),
IF(AA562="Rel. Gubernamentales",OFFSET('PARÁMETROS'!$K$48,MATCH(U562,JC_G,0),MATCH(T562,CC_G,0)),
IF(AA562="OPERACIONAL",OFFSET('PARÁMETROS'!$K$56,MATCH(U562,JC_OP,0),MATCH(T562,CC_OP,0)),
IF(AA562="FINANCIERO",OFFSET('PARÁMETROS'!$K$56,MATCH(U562,JC_FI,0),MATCH(T562,CC_FI,0)),
OFFSET('PARÁMETROS'!$K$38,MATCH(U562,JC_L,0),MATCH(T562,CC_L,0))))))))),"")</f>
        <v/>
      </c>
      <c r="W562" s="130"/>
      <c r="X562" s="135"/>
      <c r="Y562" s="136"/>
      <c r="Z562" s="30"/>
      <c r="AA562" s="31" t="str">
        <f>E555</f>
        <v/>
      </c>
    </row>
    <row r="563" ht="87.0" customHeight="1">
      <c r="A563" s="129"/>
      <c r="B563" s="130"/>
      <c r="C563" s="130"/>
      <c r="D563" s="130"/>
      <c r="E563" s="130"/>
      <c r="F563" s="130"/>
      <c r="G563" s="130"/>
      <c r="H563" s="130"/>
      <c r="I563" s="130"/>
      <c r="J563" s="130"/>
      <c r="K563" s="130"/>
      <c r="L563" s="130"/>
      <c r="M563" s="130"/>
      <c r="N563" s="130"/>
      <c r="O563" s="130"/>
      <c r="P563" s="132"/>
      <c r="Q563" s="134"/>
      <c r="R563" s="134"/>
      <c r="S563" s="134"/>
      <c r="T563" s="135"/>
      <c r="U563" s="135"/>
      <c r="V563" s="135" t="str">
        <f>IFERROR(IF(AA563="SEGURIDAD",OFFSET('PARÁMETROS'!$K$2,MATCH(U563,JC_SE,0),MATCH(T563,CC_SE,0)),
IF(OR(AA563="DSRC/Estratégico",AA563="DSRC/Operativo"),OFFSET('PARÁMETROS'!$K$11,MATCH(U563,JC_DS,0),MATCH(T563,CC_DS,0)),
IF(AA563="SALUD",OFFSET('PARÁMETROS'!$K$29,MATCH(U563,JC_SA,0),MATCH(T563,CC_SA,0)),
IF(AA563="MEDIO AMBIENTE",OFFSET('PARÁMETROS'!$K$20,MATCH(U563,JC_MA,0),MATCH(T563,CC_MA,0)),
IF(AA563="Rel. Gubernamentales",OFFSET('PARÁMETROS'!$K$48,MATCH(U563,JC_G,0),MATCH(T563,CC_G,0)),
IF(AA563="OPERACIONAL",OFFSET('PARÁMETROS'!$K$56,MATCH(U563,JC_OP,0),MATCH(T563,CC_OP,0)),
IF(AA563="FINANCIERO",OFFSET('PARÁMETROS'!$K$56,MATCH(U563,JC_FI,0),MATCH(T563,CC_FI,0)),
OFFSET('PARÁMETROS'!$K$38,MATCH(U563,JC_L,0),MATCH(T563,CC_L,0))))))))),"")</f>
        <v/>
      </c>
      <c r="W563" s="130"/>
      <c r="X563" s="135"/>
      <c r="Y563" s="136"/>
      <c r="Z563" s="30"/>
      <c r="AA563" s="31" t="str">
        <f>E555</f>
        <v/>
      </c>
    </row>
    <row r="564" ht="87.0" customHeight="1">
      <c r="A564" s="129"/>
      <c r="B564" s="130"/>
      <c r="C564" s="130"/>
      <c r="D564" s="130"/>
      <c r="E564" s="130"/>
      <c r="F564" s="130"/>
      <c r="G564" s="130"/>
      <c r="H564" s="130"/>
      <c r="I564" s="130"/>
      <c r="J564" s="130"/>
      <c r="K564" s="130"/>
      <c r="L564" s="130"/>
      <c r="M564" s="130"/>
      <c r="N564" s="130"/>
      <c r="O564" s="130"/>
      <c r="P564" s="132"/>
      <c r="Q564" s="134"/>
      <c r="R564" s="134"/>
      <c r="S564" s="134"/>
      <c r="T564" s="135"/>
      <c r="U564" s="135"/>
      <c r="V564" s="135" t="str">
        <f>IFERROR(IF(AA564="SEGURIDAD",OFFSET('PARÁMETROS'!$K$2,MATCH(U564,JC_SE,0),MATCH(T564,CC_SE,0)),
IF(OR(AA564="DSRC/Estratégico",AA564="DSRC/Operativo"),OFFSET('PARÁMETROS'!$K$11,MATCH(U564,JC_DS,0),MATCH(T564,CC_DS,0)),
IF(AA564="SALUD",OFFSET('PARÁMETROS'!$K$29,MATCH(U564,JC_SA,0),MATCH(T564,CC_SA,0)),
IF(AA564="MEDIO AMBIENTE",OFFSET('PARÁMETROS'!$K$20,MATCH(U564,JC_MA,0),MATCH(T564,CC_MA,0)),
IF(AA564="Rel. Gubernamentales",OFFSET('PARÁMETROS'!$K$48,MATCH(U564,JC_G,0),MATCH(T564,CC_G,0)),
IF(AA564="OPERACIONAL",OFFSET('PARÁMETROS'!$K$56,MATCH(U564,JC_OP,0),MATCH(T564,CC_OP,0)),
IF(AA564="FINANCIERO",OFFSET('PARÁMETROS'!$K$56,MATCH(U564,JC_FI,0),MATCH(T564,CC_FI,0)),
OFFSET('PARÁMETROS'!$K$38,MATCH(U564,JC_L,0),MATCH(T564,CC_L,0))))))))),"")</f>
        <v/>
      </c>
      <c r="W564" s="130"/>
      <c r="X564" s="135"/>
      <c r="Y564" s="136"/>
      <c r="Z564" s="30"/>
      <c r="AA564" s="31" t="str">
        <f>E555</f>
        <v/>
      </c>
    </row>
    <row r="565" ht="87.0" customHeight="1">
      <c r="A565" s="129"/>
      <c r="B565" s="130"/>
      <c r="C565" s="130"/>
      <c r="D565" s="130"/>
      <c r="E565" s="130"/>
      <c r="F565" s="130"/>
      <c r="G565" s="130"/>
      <c r="H565" s="130"/>
      <c r="I565" s="130"/>
      <c r="J565" s="130"/>
      <c r="K565" s="130"/>
      <c r="L565" s="130"/>
      <c r="M565" s="130"/>
      <c r="N565" s="130"/>
      <c r="O565" s="130"/>
      <c r="P565" s="132"/>
      <c r="Q565" s="134"/>
      <c r="R565" s="134"/>
      <c r="S565" s="134"/>
      <c r="T565" s="135"/>
      <c r="U565" s="135"/>
      <c r="V565" s="135" t="str">
        <f>IFERROR(IF(AA565="SEGURIDAD",OFFSET('PARÁMETROS'!$K$2,MATCH(U565,JC_SE,0),MATCH(T565,CC_SE,0)),
IF(OR(AA565="DSRC/Estratégico",AA565="DSRC/Operativo"),OFFSET('PARÁMETROS'!$K$11,MATCH(U565,JC_DS,0),MATCH(T565,CC_DS,0)),
IF(AA565="SALUD",OFFSET('PARÁMETROS'!$K$29,MATCH(U565,JC_SA,0),MATCH(T565,CC_SA,0)),
IF(AA565="MEDIO AMBIENTE",OFFSET('PARÁMETROS'!$K$20,MATCH(U565,JC_MA,0),MATCH(T565,CC_MA,0)),
IF(AA565="Rel. Gubernamentales",OFFSET('PARÁMETROS'!$K$48,MATCH(U565,JC_G,0),MATCH(T565,CC_G,0)),
IF(AA565="OPERACIONAL",OFFSET('PARÁMETROS'!$K$56,MATCH(U565,JC_OP,0),MATCH(T565,CC_OP,0)),
IF(AA565="FINANCIERO",OFFSET('PARÁMETROS'!$K$56,MATCH(U565,JC_FI,0),MATCH(T565,CC_FI,0)),
OFFSET('PARÁMETROS'!$K$38,MATCH(U565,JC_L,0),MATCH(T565,CC_L,0))))))))),"")</f>
        <v/>
      </c>
      <c r="W565" s="130"/>
      <c r="X565" s="135"/>
      <c r="Y565" s="136"/>
      <c r="Z565" s="30"/>
      <c r="AA565" s="31" t="str">
        <f>E555</f>
        <v/>
      </c>
    </row>
    <row r="566" ht="87.0" customHeight="1">
      <c r="A566" s="129"/>
      <c r="B566" s="130"/>
      <c r="C566" s="130"/>
      <c r="D566" s="130"/>
      <c r="E566" s="130"/>
      <c r="F566" s="130"/>
      <c r="G566" s="130"/>
      <c r="H566" s="130"/>
      <c r="I566" s="130"/>
      <c r="J566" s="130"/>
      <c r="K566" s="130"/>
      <c r="L566" s="130"/>
      <c r="M566" s="130"/>
      <c r="N566" s="130"/>
      <c r="O566" s="130"/>
      <c r="P566" s="132"/>
      <c r="Q566" s="134"/>
      <c r="R566" s="134"/>
      <c r="S566" s="134"/>
      <c r="T566" s="135"/>
      <c r="U566" s="135"/>
      <c r="V566" s="135" t="str">
        <f>IFERROR(IF(AA566="SEGURIDAD",OFFSET('PARÁMETROS'!$K$2,MATCH(U566,JC_SE,0),MATCH(T566,CC_SE,0)),
IF(OR(AA566="DSRC/Estratégico",AA566="DSRC/Operativo"),OFFSET('PARÁMETROS'!$K$11,MATCH(U566,JC_DS,0),MATCH(T566,CC_DS,0)),
IF(AA566="SALUD",OFFSET('PARÁMETROS'!$K$29,MATCH(U566,JC_SA,0),MATCH(T566,CC_SA,0)),
IF(AA566="MEDIO AMBIENTE",OFFSET('PARÁMETROS'!$K$20,MATCH(U566,JC_MA,0),MATCH(T566,CC_MA,0)),
IF(AA566="Rel. Gubernamentales",OFFSET('PARÁMETROS'!$K$48,MATCH(U566,JC_G,0),MATCH(T566,CC_G,0)),
IF(AA566="OPERACIONAL",OFFSET('PARÁMETROS'!$K$56,MATCH(U566,JC_OP,0),MATCH(T566,CC_OP,0)),
IF(AA566="FINANCIERO",OFFSET('PARÁMETROS'!$K$56,MATCH(U566,JC_FI,0),MATCH(T566,CC_FI,0)),
OFFSET('PARÁMETROS'!$K$38,MATCH(U566,JC_L,0),MATCH(T566,CC_L,0))))))))),"")</f>
        <v/>
      </c>
      <c r="W566" s="130"/>
      <c r="X566" s="135"/>
      <c r="Y566" s="136"/>
      <c r="Z566" s="30"/>
      <c r="AA566" s="31" t="str">
        <f>E555</f>
        <v/>
      </c>
    </row>
    <row r="567" ht="87.0" customHeight="1">
      <c r="A567" s="129"/>
      <c r="B567" s="130"/>
      <c r="C567" s="130"/>
      <c r="D567" s="130"/>
      <c r="E567" s="130"/>
      <c r="F567" s="130"/>
      <c r="G567" s="130"/>
      <c r="H567" s="130"/>
      <c r="I567" s="130"/>
      <c r="J567" s="130"/>
      <c r="K567" s="130"/>
      <c r="L567" s="130"/>
      <c r="M567" s="130"/>
      <c r="N567" s="130"/>
      <c r="O567" s="130"/>
      <c r="P567" s="132"/>
      <c r="Q567" s="134"/>
      <c r="R567" s="134"/>
      <c r="S567" s="134"/>
      <c r="T567" s="135"/>
      <c r="U567" s="135"/>
      <c r="V567" s="135" t="str">
        <f>IFERROR(IF(AA567="SEGURIDAD",OFFSET('PARÁMETROS'!$K$2,MATCH(U567,JC_SE,0),MATCH(T567,CC_SE,0)),
IF(OR(AA567="DSRC/Estratégico",AA567="DSRC/Operativo"),OFFSET('PARÁMETROS'!$K$11,MATCH(U567,JC_DS,0),MATCH(T567,CC_DS,0)),
IF(AA567="SALUD",OFFSET('PARÁMETROS'!$K$29,MATCH(U567,JC_SA,0),MATCH(T567,CC_SA,0)),
IF(AA567="MEDIO AMBIENTE",OFFSET('PARÁMETROS'!$K$20,MATCH(U567,JC_MA,0),MATCH(T567,CC_MA,0)),
IF(AA567="Rel. Gubernamentales",OFFSET('PARÁMETROS'!$K$48,MATCH(U567,JC_G,0),MATCH(T567,CC_G,0)),
IF(AA567="OPERACIONAL",OFFSET('PARÁMETROS'!$K$56,MATCH(U567,JC_OP,0),MATCH(T567,CC_OP,0)),
IF(AA567="FINANCIERO",OFFSET('PARÁMETROS'!$K$56,MATCH(U567,JC_FI,0),MATCH(T567,CC_FI,0)),
OFFSET('PARÁMETROS'!$K$38,MATCH(U567,JC_L,0),MATCH(T567,CC_L,0))))))))),"")</f>
        <v/>
      </c>
      <c r="W567" s="130"/>
      <c r="X567" s="135"/>
      <c r="Y567" s="136"/>
      <c r="Z567" s="30"/>
      <c r="AA567" s="31" t="str">
        <f>E555</f>
        <v/>
      </c>
    </row>
    <row r="568" ht="87.0" customHeight="1">
      <c r="A568" s="129"/>
      <c r="B568" s="130"/>
      <c r="C568" s="130"/>
      <c r="D568" s="130"/>
      <c r="E568" s="130"/>
      <c r="F568" s="130"/>
      <c r="G568" s="130"/>
      <c r="H568" s="130"/>
      <c r="I568" s="130"/>
      <c r="J568" s="130"/>
      <c r="K568" s="130"/>
      <c r="L568" s="130"/>
      <c r="M568" s="130"/>
      <c r="N568" s="130"/>
      <c r="O568" s="130"/>
      <c r="P568" s="132"/>
      <c r="Q568" s="134"/>
      <c r="R568" s="134"/>
      <c r="S568" s="134"/>
      <c r="T568" s="135"/>
      <c r="U568" s="135"/>
      <c r="V568" s="135" t="str">
        <f>IFERROR(IF(AA568="SEGURIDAD",OFFSET('PARÁMETROS'!$K$2,MATCH(U568,JC_SE,0),MATCH(T568,CC_SE,0)),
IF(OR(AA568="DSRC/Estratégico",AA568="DSRC/Operativo"),OFFSET('PARÁMETROS'!$K$11,MATCH(U568,JC_DS,0),MATCH(T568,CC_DS,0)),
IF(AA568="SALUD",OFFSET('PARÁMETROS'!$K$29,MATCH(U568,JC_SA,0),MATCH(T568,CC_SA,0)),
IF(AA568="MEDIO AMBIENTE",OFFSET('PARÁMETROS'!$K$20,MATCH(U568,JC_MA,0),MATCH(T568,CC_MA,0)),
IF(AA568="Rel. Gubernamentales",OFFSET('PARÁMETROS'!$K$48,MATCH(U568,JC_G,0),MATCH(T568,CC_G,0)),
IF(AA568="OPERACIONAL",OFFSET('PARÁMETROS'!$K$56,MATCH(U568,JC_OP,0),MATCH(T568,CC_OP,0)),
IF(AA568="FINANCIERO",OFFSET('PARÁMETROS'!$K$56,MATCH(U568,JC_FI,0),MATCH(T568,CC_FI,0)),
OFFSET('PARÁMETROS'!$K$38,MATCH(U568,JC_L,0),MATCH(T568,CC_L,0))))))))),"")</f>
        <v/>
      </c>
      <c r="W568" s="130"/>
      <c r="X568" s="135"/>
      <c r="Y568" s="136"/>
      <c r="Z568" s="30"/>
      <c r="AA568" s="31" t="str">
        <f>E555</f>
        <v/>
      </c>
    </row>
    <row r="569" ht="87.0" customHeight="1">
      <c r="A569" s="129"/>
      <c r="B569" s="130"/>
      <c r="C569" s="130"/>
      <c r="D569" s="130"/>
      <c r="E569" s="130"/>
      <c r="F569" s="130"/>
      <c r="G569" s="130"/>
      <c r="H569" s="130"/>
      <c r="I569" s="130"/>
      <c r="J569" s="130"/>
      <c r="K569" s="130"/>
      <c r="L569" s="130"/>
      <c r="M569" s="130"/>
      <c r="N569" s="130"/>
      <c r="O569" s="130"/>
      <c r="P569" s="132"/>
      <c r="Q569" s="134"/>
      <c r="R569" s="134"/>
      <c r="S569" s="134"/>
      <c r="T569" s="135"/>
      <c r="U569" s="135"/>
      <c r="V569" s="135" t="str">
        <f>IFERROR(IF(AA569="SEGURIDAD",OFFSET('PARÁMETROS'!$K$2,MATCH(U569,JC_SE,0),MATCH(T569,CC_SE,0)),
IF(OR(AA569="DSRC/Estratégico",AA569="DSRC/Operativo"),OFFSET('PARÁMETROS'!$K$11,MATCH(U569,JC_DS,0),MATCH(T569,CC_DS,0)),
IF(AA569="SALUD",OFFSET('PARÁMETROS'!$K$29,MATCH(U569,JC_SA,0),MATCH(T569,CC_SA,0)),
IF(AA569="MEDIO AMBIENTE",OFFSET('PARÁMETROS'!$K$20,MATCH(U569,JC_MA,0),MATCH(T569,CC_MA,0)),
IF(AA569="Rel. Gubernamentales",OFFSET('PARÁMETROS'!$K$48,MATCH(U569,JC_G,0),MATCH(T569,CC_G,0)),
IF(AA569="OPERACIONAL",OFFSET('PARÁMETROS'!$K$56,MATCH(U569,JC_OP,0),MATCH(T569,CC_OP,0)),
IF(AA569="FINANCIERO",OFFSET('PARÁMETROS'!$K$56,MATCH(U569,JC_FI,0),MATCH(T569,CC_FI,0)),
OFFSET('PARÁMETROS'!$K$38,MATCH(U569,JC_L,0),MATCH(T569,CC_L,0))))))))),"")</f>
        <v/>
      </c>
      <c r="W569" s="130"/>
      <c r="X569" s="135"/>
      <c r="Y569" s="136"/>
      <c r="Z569" s="30"/>
      <c r="AA569" s="31" t="str">
        <f>E555</f>
        <v/>
      </c>
    </row>
    <row r="570" ht="87.0" customHeight="1">
      <c r="A570" s="89"/>
      <c r="B570" s="90"/>
      <c r="C570" s="90"/>
      <c r="D570" s="157"/>
      <c r="E570" s="157"/>
      <c r="F570" s="157"/>
      <c r="G570" s="157"/>
      <c r="H570" s="157"/>
      <c r="I570" s="90"/>
      <c r="J570" s="90"/>
      <c r="K570" s="90"/>
      <c r="L570" s="90"/>
      <c r="M570" s="90"/>
      <c r="N570" s="90"/>
      <c r="O570" s="90"/>
      <c r="P570" s="132"/>
      <c r="Q570" s="134"/>
      <c r="R570" s="145"/>
      <c r="S570" s="145"/>
      <c r="T570" s="135"/>
      <c r="U570" s="135"/>
      <c r="V570" s="135" t="str">
        <f>IFERROR(IF(AA570="SEGURIDAD",OFFSET('PARÁMETROS'!$K$2,MATCH(U570,JC_SE,0),MATCH(T570,CC_SE,0)),
IF(OR(AA570="DSRC/Estratégico",AA570="DSRC/Operativo"),OFFSET('PARÁMETROS'!$K$11,MATCH(U570,JC_DS,0),MATCH(T570,CC_DS,0)),
IF(AA570="SALUD",OFFSET('PARÁMETROS'!$K$29,MATCH(U570,JC_SA,0),MATCH(T570,CC_SA,0)),
IF(AA570="MEDIO AMBIENTE",OFFSET('PARÁMETROS'!$K$20,MATCH(U570,JC_MA,0),MATCH(T570,CC_MA,0)),
IF(AA570="Rel. Gubernamentales",OFFSET('PARÁMETROS'!$K$48,MATCH(U570,JC_G,0),MATCH(T570,CC_G,0)),
IF(AA570="OPERACIONAL",OFFSET('PARÁMETROS'!$K$56,MATCH(U570,JC_OP,0),MATCH(T570,CC_OP,0)),
IF(AA570="FINANCIERO",OFFSET('PARÁMETROS'!$K$56,MATCH(U570,JC_FI,0),MATCH(T570,CC_FI,0)),
OFFSET('PARÁMETROS'!$K$38,MATCH(U570,JC_L,0),MATCH(T570,CC_L,0))))))))),"")</f>
        <v/>
      </c>
      <c r="W570" s="90"/>
      <c r="X570" s="135"/>
      <c r="Y570" s="136"/>
      <c r="Z570" s="30"/>
      <c r="AA570" s="31" t="str">
        <f>E555</f>
        <v/>
      </c>
    </row>
    <row r="571" ht="87.0" customHeight="1">
      <c r="A571" s="102"/>
      <c r="B571" s="103"/>
      <c r="C571" s="103"/>
      <c r="D571" s="103"/>
      <c r="E571" s="103"/>
      <c r="F571" s="103"/>
      <c r="G571" s="105"/>
      <c r="H571" s="103"/>
      <c r="I571" s="105"/>
      <c r="J571" s="103"/>
      <c r="K571" s="103"/>
      <c r="L571" s="103" t="str">
        <f>IF(OR(J571&lt;&gt;"",K571&lt;&gt;""),OFFSET('PARÁMETROS'!$B$2,K571,J571),"")</f>
        <v/>
      </c>
      <c r="M571" s="103"/>
      <c r="N571" s="103">
        <f>IFERROR(L571*M571,"")</f>
        <v>0</v>
      </c>
      <c r="O571" s="108" t="str">
        <f>IF(N571="","",IFERROR(IF(N571&lt;=2,"ACEPTABLE",IF(N571&lt;=6,"BAJA",IF(N571&lt;=10,"ACEPTABLE CON REVISIÓN",IF(N571&lt;=15,"SUSTANCIAL","INACEPTABLE")))),""))</f>
        <v>ACEPTABLE</v>
      </c>
      <c r="P571" s="113"/>
      <c r="Q571" s="114"/>
      <c r="R571" s="114"/>
      <c r="S571" s="114"/>
      <c r="T571" s="115"/>
      <c r="U571" s="115"/>
      <c r="V571" s="115" t="str">
        <f>IFERROR(IF(AA571="SEGURIDAD",OFFSET('PARÁMETROS'!$K$2,MATCH(U571,JC_SE,0),MATCH(T571,CC_SE,0)),
IF(OR(AA571="DSRC/Estratégico",AA571="DSRC/Operativo"),OFFSET('PARÁMETROS'!$K$11,MATCH(U571,JC_DS,0),MATCH(T571,CC_DS,0)),
IF(AA571="SALUD",OFFSET('PARÁMETROS'!$K$29,MATCH(U571,JC_SA,0),MATCH(T571,CC_SA,0)),
IF(AA571="MEDIO AMBIENTE",OFFSET('PARÁMETROS'!$K$20,MATCH(U571,JC_MA,0),MATCH(T571,CC_MA,0)),
IF(AA571="Rel. Gubernamentales",OFFSET('PARÁMETROS'!$K$48,MATCH(U571,JC_G,0),MATCH(T571,CC_G,0)),
IF(AA571="OPERACIONAL",OFFSET('PARÁMETROS'!$K$56,MATCH(U571,JC_OP,0),MATCH(T571,CC_OP,0)),
IF(AA571="FINANCIERO",OFFSET('PARÁMETROS'!$K$56,MATCH(U571,JC_FI,0),MATCH(T571,CC_FI,0)),
OFFSET('PARÁMETROS'!$K$38,MATCH(U571,JC_L,0),MATCH(T571,CC_L,0))))))))),"")</f>
        <v/>
      </c>
      <c r="W571" s="108" t="str">
        <f>IF(E571="","",
IF(COUNTA(V571:V586)-COUNTBLANK(V571:V586)=1,
IF(O571="INACEPTABLE",IF(COUNTIF(V571:V586,"Control/Acción Eficaz")&gt;=1,"SUSTANCIAL","INACEPTABLE"),
IF(O571="SUSTANCIAL",IF(COUNTIF(V571:V586,"Control/Acción Eficaz")&gt;=1,"ACEPTABLE CON REVISIÓN","SUSTANCIAL"),
IF(O571="ACEPTABLE CON REVISIÓN",IF(COUNTIF(V571:V586,"Control/Acción Eficaz")&gt;=1,"BAJA","ACEPTABLE CON REVISIÓN"),
IF(O571="BAJA",IF(COUNTIF(V571:V586,"Control/Acción Eficaz")&gt;=1,"ACEPTABLE","BAJA"),)))),
IF(COUNTA(V571:V586)-COUNTBLANK(V571:V586)=2,
IF(O571="INACEPTABLE",IF(COUNTIF(V571:V586,"Control/Acción Eficaz")=2,"ACEPTABLE CON REVISIÓN",
IF(OR(AND(COUNTIF(V571:V586,"Control/Acción Eficaz")=1,COUNTIF(V571:V586,"Control/Acción Satisfactorio")=1),
AND(COUNTIF(V571:V586,"Control/Acción Eficaz")=1,COUNTIF(V571:V586,"Control/Acción No Eficaz")=1)),"SUSTANCIAL","INACEPTABLE")),
IF(O571="SUSTANCIAL",IF(COUNTIF(V571:V586,"Control/Acción Eficaz")=2,"BAJA",
IF(OR(AND(COUNTIF(V571:V586,"Control/Acción Eficaz")=1,COUNTIF(V571:V586,"Control/Acción Satisfactorio")=1),
AND(COUNTIF(V571:V586,"Control/Acción Eficaz")=1,COUNTIF(V571:V586,"Control/Acción No Eficaz")=1)),"ACEPTABLE CON REVISIÓN ","SUSTANCIAL")),
IF(O571="ACEPTABLE CON REVISIÓN",IF(COUNTIF(V571:V586,"Control/Acción Eficaz")=2,"ACEPTABLE",
IF(OR(AND(COUNTIF(V571:V586,"Control/Acción Eficaz")=1,COUNTIF(V571:V586,"Control/Acción Satisfactorio")=1),
AND(COUNTIF(V571:V586,"Control/Acción Eficaz")=1,COUNTIF(V571:V586,"Control/Acción No Eficaz")=1)),"BAJA","ACEPTABLE CON REVISIÓN")),
IF(O571="BAJA",IF(COUNTIF(V571:V586,"Control/Acción Eficaz")&gt;=2,"ACEPTABLE","BAJA"),)))),
IF(COUNTA(V571:V586)-COUNTBLANK(V571:V586)&gt;=3,
IF(O571="INACEPTABLE",
IF(COUNTBLANK(V571:V586)=COUNTA(V571:V586),"",
IF(COUNTIF(V571:V586,"Control/Acción No Eficaz")&gt;=2,"INACEPTABLE",
IF(AND(COUNTIF(V571:V586,"Control/Acción No Eficaz")=0,COUNTIF(V571:V586,"Control/Acción Eficaz")&gt;=2),"ACEPTABLE CON REVISIÓN ","SUSTANCIAL"))),
IF(O571="SUSTANCIAL",
IF(COUNTBLANK(V571:V586)=COUNTA(V571:V586),"",
IF(COUNTIF(V571:V586,"Control/Acción No Eficaz")&gt;=2,"SUSTANCIAL",
IF(AND(COUNTIF(V571:V586,"Control/Acción No Eficaz")=0,COUNTIF(V571:V586,"Control/Acción Eficaz")&gt;=2),"BAJA","ACEPTABLE CON REVISIÓN"))),
IF(O571="ACEPTABLE CON REVISIÓN",
IF(COUNTBLANK(V571:V586)=COUNTA(V571:V586),"",
IF(COUNTIF(V571:V586,"Control/Acción No Eficaz")&gt;=2,"ACEPTABLE CON REVISIÓN",
IF(AND(COUNTIF(V571:V586,"Control/Acción No Eficaz")=0,COUNTIF(V571:V586,"Control/Acción Eficaz")&gt;=2),"ACEPTABLE","BAJA"))),
IF(O571="BAJA",
IF(COUNTBLANK(V571:V586)=COUNTA(V571:V586),"",
IF(AND(COUNTBLANK(V571:V586)&lt;1,COUNTA(V571:V586)=1),
IF(COUNTIF(V571:V586,"Control/Acción No Eficaz")&gt;=2,"BAJA",
IF(AND(COUNTIF(V571:V586,"Control/Acción No Eficaz")=0,COUNTIF(V571:V586,"Control/Acción Eficaz")&gt;=2),"ACEPTABLE","BAJA")),
IF(COUNTIF(V571:V586,"Control/Acción No Eficaz")&gt;=2,"BAJA",
IF(AND(COUNTIF(V571:V586,"Control/Acción No Eficaz")=0,COUNTIF(V571:V586,"Control/Acción Eficaz")&gt;=2),"ACEPTABLE","BAJA")))),
IF(COUNTIF(V571:V586,"")&gt;=5,"",O571))))),
""))))</f>
        <v/>
      </c>
      <c r="X571" s="115"/>
      <c r="Y571" s="128"/>
      <c r="Z571" s="30"/>
      <c r="AA571" s="31" t="str">
        <f>E571</f>
        <v/>
      </c>
    </row>
    <row r="572" ht="87.0" customHeight="1">
      <c r="A572" s="129"/>
      <c r="B572" s="130"/>
      <c r="C572" s="130"/>
      <c r="D572" s="130"/>
      <c r="E572" s="130"/>
      <c r="F572" s="130"/>
      <c r="G572" s="130"/>
      <c r="H572" s="130"/>
      <c r="I572" s="130"/>
      <c r="J572" s="130"/>
      <c r="K572" s="130"/>
      <c r="L572" s="130"/>
      <c r="M572" s="130"/>
      <c r="N572" s="130"/>
      <c r="O572" s="130"/>
      <c r="P572" s="132"/>
      <c r="Q572" s="134"/>
      <c r="R572" s="134"/>
      <c r="S572" s="134"/>
      <c r="T572" s="135"/>
      <c r="U572" s="135"/>
      <c r="V572" s="135" t="str">
        <f>IFERROR(IF(AA572="SEGURIDAD",OFFSET('PARÁMETROS'!$K$2,MATCH(U572,JC_SE,0),MATCH(T572,CC_SE,0)),
IF(OR(AA572="DSRC/Estratégico",AA572="DSRC/Operativo"),OFFSET('PARÁMETROS'!$K$11,MATCH(U572,JC_DS,0),MATCH(T572,CC_DS,0)),
IF(AA572="SALUD",OFFSET('PARÁMETROS'!$K$29,MATCH(U572,JC_SA,0),MATCH(T572,CC_SA,0)),
IF(AA572="MEDIO AMBIENTE",OFFSET('PARÁMETROS'!$K$20,MATCH(U572,JC_MA,0),MATCH(T572,CC_MA,0)),
IF(AA572="Rel. Gubernamentales",OFFSET('PARÁMETROS'!$K$48,MATCH(U572,JC_G,0),MATCH(T572,CC_G,0)),
IF(AA572="OPERACIONAL",OFFSET('PARÁMETROS'!$K$56,MATCH(U572,JC_OP,0),MATCH(T572,CC_OP,0)),
IF(AA572="FINANCIERO",OFFSET('PARÁMETROS'!$K$56,MATCH(U572,JC_FI,0),MATCH(T572,CC_FI,0)),
OFFSET('PARÁMETROS'!$K$38,MATCH(U572,JC_L,0),MATCH(T572,CC_L,0))))))))),"")</f>
        <v/>
      </c>
      <c r="W572" s="130"/>
      <c r="X572" s="135"/>
      <c r="Y572" s="136"/>
      <c r="Z572" s="30"/>
      <c r="AA572" s="31" t="str">
        <f>E571</f>
        <v/>
      </c>
    </row>
    <row r="573" ht="87.0" customHeight="1">
      <c r="A573" s="129"/>
      <c r="B573" s="130"/>
      <c r="C573" s="130"/>
      <c r="D573" s="130"/>
      <c r="E573" s="130"/>
      <c r="F573" s="130"/>
      <c r="G573" s="130"/>
      <c r="H573" s="130"/>
      <c r="I573" s="130"/>
      <c r="J573" s="130"/>
      <c r="K573" s="130"/>
      <c r="L573" s="130"/>
      <c r="M573" s="130"/>
      <c r="N573" s="130"/>
      <c r="O573" s="130"/>
      <c r="P573" s="132"/>
      <c r="Q573" s="134"/>
      <c r="R573" s="134"/>
      <c r="S573" s="134"/>
      <c r="T573" s="135"/>
      <c r="U573" s="135"/>
      <c r="V573" s="135" t="str">
        <f>IFERROR(IF(AA573="SEGURIDAD",OFFSET('PARÁMETROS'!$K$2,MATCH(U573,JC_SE,0),MATCH(T573,CC_SE,0)),
IF(OR(AA573="DSRC/Estratégico",AA573="DSRC/Operativo"),OFFSET('PARÁMETROS'!$K$11,MATCH(U573,JC_DS,0),MATCH(T573,CC_DS,0)),
IF(AA573="SALUD",OFFSET('PARÁMETROS'!$K$29,MATCH(U573,JC_SA,0),MATCH(T573,CC_SA,0)),
IF(AA573="MEDIO AMBIENTE",OFFSET('PARÁMETROS'!$K$20,MATCH(U573,JC_MA,0),MATCH(T573,CC_MA,0)),
IF(AA573="Rel. Gubernamentales",OFFSET('PARÁMETROS'!$K$48,MATCH(U573,JC_G,0),MATCH(T573,CC_G,0)),
IF(AA573="OPERACIONAL",OFFSET('PARÁMETROS'!$K$56,MATCH(U573,JC_OP,0),MATCH(T573,CC_OP,0)),
IF(AA573="FINANCIERO",OFFSET('PARÁMETROS'!$K$56,MATCH(U573,JC_FI,0),MATCH(T573,CC_FI,0)),
OFFSET('PARÁMETROS'!$K$38,MATCH(U573,JC_L,0),MATCH(T573,CC_L,0))))))))),"")</f>
        <v/>
      </c>
      <c r="W573" s="130"/>
      <c r="X573" s="135"/>
      <c r="Y573" s="136"/>
      <c r="Z573" s="30"/>
      <c r="AA573" s="31" t="str">
        <f>E571</f>
        <v/>
      </c>
    </row>
    <row r="574" ht="87.0" customHeight="1">
      <c r="A574" s="129"/>
      <c r="B574" s="130"/>
      <c r="C574" s="130"/>
      <c r="D574" s="130"/>
      <c r="E574" s="130"/>
      <c r="F574" s="130"/>
      <c r="G574" s="130"/>
      <c r="H574" s="130"/>
      <c r="I574" s="130"/>
      <c r="J574" s="130"/>
      <c r="K574" s="130"/>
      <c r="L574" s="130"/>
      <c r="M574" s="130"/>
      <c r="N574" s="130"/>
      <c r="O574" s="130"/>
      <c r="P574" s="132"/>
      <c r="Q574" s="134"/>
      <c r="R574" s="134"/>
      <c r="S574" s="134"/>
      <c r="T574" s="135"/>
      <c r="U574" s="135"/>
      <c r="V574" s="135" t="str">
        <f>IFERROR(IF(AA574="SEGURIDAD",OFFSET('PARÁMETROS'!$K$2,MATCH(U574,JC_SE,0),MATCH(T574,CC_SE,0)),
IF(OR(AA574="DSRC/Estratégico",AA574="DSRC/Operativo"),OFFSET('PARÁMETROS'!$K$11,MATCH(U574,JC_DS,0),MATCH(T574,CC_DS,0)),
IF(AA574="SALUD",OFFSET('PARÁMETROS'!$K$29,MATCH(U574,JC_SA,0),MATCH(T574,CC_SA,0)),
IF(AA574="MEDIO AMBIENTE",OFFSET('PARÁMETROS'!$K$20,MATCH(U574,JC_MA,0),MATCH(T574,CC_MA,0)),
IF(AA574="Rel. Gubernamentales",OFFSET('PARÁMETROS'!$K$48,MATCH(U574,JC_G,0),MATCH(T574,CC_G,0)),
IF(AA574="OPERACIONAL",OFFSET('PARÁMETROS'!$K$56,MATCH(U574,JC_OP,0),MATCH(T574,CC_OP,0)),
IF(AA574="FINANCIERO",OFFSET('PARÁMETROS'!$K$56,MATCH(U574,JC_FI,0),MATCH(T574,CC_FI,0)),
OFFSET('PARÁMETROS'!$K$38,MATCH(U574,JC_L,0),MATCH(T574,CC_L,0))))))))),"")</f>
        <v/>
      </c>
      <c r="W574" s="130"/>
      <c r="X574" s="135"/>
      <c r="Y574" s="136"/>
      <c r="Z574" s="30"/>
      <c r="AA574" s="31" t="str">
        <f>E571</f>
        <v/>
      </c>
    </row>
    <row r="575" ht="87.0" customHeight="1">
      <c r="A575" s="129"/>
      <c r="B575" s="130"/>
      <c r="C575" s="130"/>
      <c r="D575" s="130"/>
      <c r="E575" s="130"/>
      <c r="F575" s="130"/>
      <c r="G575" s="130"/>
      <c r="H575" s="130"/>
      <c r="I575" s="130"/>
      <c r="J575" s="130"/>
      <c r="K575" s="130"/>
      <c r="L575" s="130"/>
      <c r="M575" s="130"/>
      <c r="N575" s="130"/>
      <c r="O575" s="130"/>
      <c r="P575" s="132"/>
      <c r="Q575" s="134"/>
      <c r="R575" s="134"/>
      <c r="S575" s="134"/>
      <c r="T575" s="135"/>
      <c r="U575" s="135"/>
      <c r="V575" s="135" t="str">
        <f>IFERROR(IF(AA575="SEGURIDAD",OFFSET('PARÁMETROS'!$K$2,MATCH(U575,JC_SE,0),MATCH(T575,CC_SE,0)),
IF(OR(AA575="DSRC/Estratégico",AA575="DSRC/Operativo"),OFFSET('PARÁMETROS'!$K$11,MATCH(U575,JC_DS,0),MATCH(T575,CC_DS,0)),
IF(AA575="SALUD",OFFSET('PARÁMETROS'!$K$29,MATCH(U575,JC_SA,0),MATCH(T575,CC_SA,0)),
IF(AA575="MEDIO AMBIENTE",OFFSET('PARÁMETROS'!$K$20,MATCH(U575,JC_MA,0),MATCH(T575,CC_MA,0)),
IF(AA575="Rel. Gubernamentales",OFFSET('PARÁMETROS'!$K$48,MATCH(U575,JC_G,0),MATCH(T575,CC_G,0)),
IF(AA575="OPERACIONAL",OFFSET('PARÁMETROS'!$K$56,MATCH(U575,JC_OP,0),MATCH(T575,CC_OP,0)),
IF(AA575="FINANCIERO",OFFSET('PARÁMETROS'!$K$56,MATCH(U575,JC_FI,0),MATCH(T575,CC_FI,0)),
OFFSET('PARÁMETROS'!$K$38,MATCH(U575,JC_L,0),MATCH(T575,CC_L,0))))))))),"")</f>
        <v/>
      </c>
      <c r="W575" s="130"/>
      <c r="X575" s="135"/>
      <c r="Y575" s="136"/>
      <c r="Z575" s="30"/>
      <c r="AA575" s="31" t="str">
        <f>E571</f>
        <v/>
      </c>
    </row>
    <row r="576" ht="87.0" customHeight="1">
      <c r="A576" s="129"/>
      <c r="B576" s="130"/>
      <c r="C576" s="130"/>
      <c r="D576" s="130"/>
      <c r="E576" s="130"/>
      <c r="F576" s="130"/>
      <c r="G576" s="130"/>
      <c r="H576" s="130"/>
      <c r="I576" s="130"/>
      <c r="J576" s="130"/>
      <c r="K576" s="130"/>
      <c r="L576" s="130"/>
      <c r="M576" s="130"/>
      <c r="N576" s="130"/>
      <c r="O576" s="130"/>
      <c r="P576" s="132"/>
      <c r="Q576" s="134"/>
      <c r="R576" s="134"/>
      <c r="S576" s="134"/>
      <c r="T576" s="135"/>
      <c r="U576" s="135"/>
      <c r="V576" s="135" t="str">
        <f>IFERROR(IF(AA576="SEGURIDAD",OFFSET('PARÁMETROS'!$K$2,MATCH(U576,JC_SE,0),MATCH(T576,CC_SE,0)),
IF(OR(AA576="DSRC/Estratégico",AA576="DSRC/Operativo"),OFFSET('PARÁMETROS'!$K$11,MATCH(U576,JC_DS,0),MATCH(T576,CC_DS,0)),
IF(AA576="SALUD",OFFSET('PARÁMETROS'!$K$29,MATCH(U576,JC_SA,0),MATCH(T576,CC_SA,0)),
IF(AA576="MEDIO AMBIENTE",OFFSET('PARÁMETROS'!$K$20,MATCH(U576,JC_MA,0),MATCH(T576,CC_MA,0)),
IF(AA576="Rel. Gubernamentales",OFFSET('PARÁMETROS'!$K$48,MATCH(U576,JC_G,0),MATCH(T576,CC_G,0)),
IF(AA576="OPERACIONAL",OFFSET('PARÁMETROS'!$K$56,MATCH(U576,JC_OP,0),MATCH(T576,CC_OP,0)),
IF(AA576="FINANCIERO",OFFSET('PARÁMETROS'!$K$56,MATCH(U576,JC_FI,0),MATCH(T576,CC_FI,0)),
OFFSET('PARÁMETROS'!$K$38,MATCH(U576,JC_L,0),MATCH(T576,CC_L,0))))))))),"")</f>
        <v/>
      </c>
      <c r="W576" s="130"/>
      <c r="X576" s="135"/>
      <c r="Y576" s="136"/>
      <c r="Z576" s="30"/>
      <c r="AA576" s="31" t="str">
        <f>E571</f>
        <v/>
      </c>
    </row>
    <row r="577" ht="87.0" customHeight="1">
      <c r="A577" s="129"/>
      <c r="B577" s="130"/>
      <c r="C577" s="130"/>
      <c r="D577" s="130"/>
      <c r="E577" s="130"/>
      <c r="F577" s="130"/>
      <c r="G577" s="130"/>
      <c r="H577" s="130"/>
      <c r="I577" s="130"/>
      <c r="J577" s="130"/>
      <c r="K577" s="130"/>
      <c r="L577" s="130"/>
      <c r="M577" s="130"/>
      <c r="N577" s="130"/>
      <c r="O577" s="130"/>
      <c r="P577" s="132"/>
      <c r="Q577" s="134"/>
      <c r="R577" s="134"/>
      <c r="S577" s="134"/>
      <c r="T577" s="135"/>
      <c r="U577" s="135"/>
      <c r="V577" s="135" t="str">
        <f>IFERROR(IF(AA577="SEGURIDAD",OFFSET('PARÁMETROS'!$K$2,MATCH(U577,JC_SE,0),MATCH(T577,CC_SE,0)),
IF(OR(AA577="DSRC/Estratégico",AA577="DSRC/Operativo"),OFFSET('PARÁMETROS'!$K$11,MATCH(U577,JC_DS,0),MATCH(T577,CC_DS,0)),
IF(AA577="SALUD",OFFSET('PARÁMETROS'!$K$29,MATCH(U577,JC_SA,0),MATCH(T577,CC_SA,0)),
IF(AA577="MEDIO AMBIENTE",OFFSET('PARÁMETROS'!$K$20,MATCH(U577,JC_MA,0),MATCH(T577,CC_MA,0)),
IF(AA577="Rel. Gubernamentales",OFFSET('PARÁMETROS'!$K$48,MATCH(U577,JC_G,0),MATCH(T577,CC_G,0)),
IF(AA577="OPERACIONAL",OFFSET('PARÁMETROS'!$K$56,MATCH(U577,JC_OP,0),MATCH(T577,CC_OP,0)),
IF(AA577="FINANCIERO",OFFSET('PARÁMETROS'!$K$56,MATCH(U577,JC_FI,0),MATCH(T577,CC_FI,0)),
OFFSET('PARÁMETROS'!$K$38,MATCH(U577,JC_L,0),MATCH(T577,CC_L,0))))))))),"")</f>
        <v/>
      </c>
      <c r="W577" s="130"/>
      <c r="X577" s="135"/>
      <c r="Y577" s="136"/>
      <c r="Z577" s="30"/>
      <c r="AA577" s="31" t="str">
        <f>E571</f>
        <v/>
      </c>
    </row>
    <row r="578" ht="87.0" customHeight="1">
      <c r="A578" s="129"/>
      <c r="B578" s="130"/>
      <c r="C578" s="130"/>
      <c r="D578" s="130"/>
      <c r="E578" s="130"/>
      <c r="F578" s="130"/>
      <c r="G578" s="130"/>
      <c r="H578" s="130"/>
      <c r="I578" s="130"/>
      <c r="J578" s="130"/>
      <c r="K578" s="130"/>
      <c r="L578" s="130"/>
      <c r="M578" s="130"/>
      <c r="N578" s="130"/>
      <c r="O578" s="130"/>
      <c r="P578" s="132"/>
      <c r="Q578" s="134"/>
      <c r="R578" s="134"/>
      <c r="S578" s="134"/>
      <c r="T578" s="135"/>
      <c r="U578" s="135"/>
      <c r="V578" s="135" t="str">
        <f>IFERROR(IF(AA578="SEGURIDAD",OFFSET('PARÁMETROS'!$K$2,MATCH(U578,JC_SE,0),MATCH(T578,CC_SE,0)),
IF(OR(AA578="DSRC/Estratégico",AA578="DSRC/Operativo"),OFFSET('PARÁMETROS'!$K$11,MATCH(U578,JC_DS,0),MATCH(T578,CC_DS,0)),
IF(AA578="SALUD",OFFSET('PARÁMETROS'!$K$29,MATCH(U578,JC_SA,0),MATCH(T578,CC_SA,0)),
IF(AA578="MEDIO AMBIENTE",OFFSET('PARÁMETROS'!$K$20,MATCH(U578,JC_MA,0),MATCH(T578,CC_MA,0)),
IF(AA578="Rel. Gubernamentales",OFFSET('PARÁMETROS'!$K$48,MATCH(U578,JC_G,0),MATCH(T578,CC_G,0)),
IF(AA578="OPERACIONAL",OFFSET('PARÁMETROS'!$K$56,MATCH(U578,JC_OP,0),MATCH(T578,CC_OP,0)),
IF(AA578="FINANCIERO",OFFSET('PARÁMETROS'!$K$56,MATCH(U578,JC_FI,0),MATCH(T578,CC_FI,0)),
OFFSET('PARÁMETROS'!$K$38,MATCH(U578,JC_L,0),MATCH(T578,CC_L,0))))))))),"")</f>
        <v/>
      </c>
      <c r="W578" s="130"/>
      <c r="X578" s="135"/>
      <c r="Y578" s="136"/>
      <c r="Z578" s="30"/>
      <c r="AA578" s="31" t="str">
        <f>E571</f>
        <v/>
      </c>
    </row>
    <row r="579" ht="87.0" customHeight="1">
      <c r="A579" s="129"/>
      <c r="B579" s="130"/>
      <c r="C579" s="130"/>
      <c r="D579" s="130"/>
      <c r="E579" s="130"/>
      <c r="F579" s="130"/>
      <c r="G579" s="130"/>
      <c r="H579" s="130"/>
      <c r="I579" s="130"/>
      <c r="J579" s="130"/>
      <c r="K579" s="130"/>
      <c r="L579" s="130"/>
      <c r="M579" s="130"/>
      <c r="N579" s="130"/>
      <c r="O579" s="130"/>
      <c r="P579" s="132"/>
      <c r="Q579" s="134"/>
      <c r="R579" s="134"/>
      <c r="S579" s="134"/>
      <c r="T579" s="135"/>
      <c r="U579" s="135"/>
      <c r="V579" s="135" t="str">
        <f>IFERROR(IF(AA579="SEGURIDAD",OFFSET('PARÁMETROS'!$K$2,MATCH(U579,JC_SE,0),MATCH(T579,CC_SE,0)),
IF(OR(AA579="DSRC/Estratégico",AA579="DSRC/Operativo"),OFFSET('PARÁMETROS'!$K$11,MATCH(U579,JC_DS,0),MATCH(T579,CC_DS,0)),
IF(AA579="SALUD",OFFSET('PARÁMETROS'!$K$29,MATCH(U579,JC_SA,0),MATCH(T579,CC_SA,0)),
IF(AA579="MEDIO AMBIENTE",OFFSET('PARÁMETROS'!$K$20,MATCH(U579,JC_MA,0),MATCH(T579,CC_MA,0)),
IF(AA579="Rel. Gubernamentales",OFFSET('PARÁMETROS'!$K$48,MATCH(U579,JC_G,0),MATCH(T579,CC_G,0)),
IF(AA579="OPERACIONAL",OFFSET('PARÁMETROS'!$K$56,MATCH(U579,JC_OP,0),MATCH(T579,CC_OP,0)),
IF(AA579="FINANCIERO",OFFSET('PARÁMETROS'!$K$56,MATCH(U579,JC_FI,0),MATCH(T579,CC_FI,0)),
OFFSET('PARÁMETROS'!$K$38,MATCH(U579,JC_L,0),MATCH(T579,CC_L,0))))))))),"")</f>
        <v/>
      </c>
      <c r="W579" s="130"/>
      <c r="X579" s="135"/>
      <c r="Y579" s="136"/>
      <c r="Z579" s="30"/>
      <c r="AA579" s="31" t="str">
        <f>E571</f>
        <v/>
      </c>
    </row>
    <row r="580" ht="87.0" customHeight="1">
      <c r="A580" s="129"/>
      <c r="B580" s="130"/>
      <c r="C580" s="130"/>
      <c r="D580" s="130"/>
      <c r="E580" s="130"/>
      <c r="F580" s="130"/>
      <c r="G580" s="130"/>
      <c r="H580" s="130"/>
      <c r="I580" s="130"/>
      <c r="J580" s="130"/>
      <c r="K580" s="130"/>
      <c r="L580" s="130"/>
      <c r="M580" s="130"/>
      <c r="N580" s="130"/>
      <c r="O580" s="130"/>
      <c r="P580" s="132"/>
      <c r="Q580" s="134"/>
      <c r="R580" s="134"/>
      <c r="S580" s="134"/>
      <c r="T580" s="135"/>
      <c r="U580" s="135"/>
      <c r="V580" s="135" t="str">
        <f>IFERROR(IF(AA580="SEGURIDAD",OFFSET('PARÁMETROS'!$K$2,MATCH(U580,JC_SE,0),MATCH(T580,CC_SE,0)),
IF(OR(AA580="DSRC/Estratégico",AA580="DSRC/Operativo"),OFFSET('PARÁMETROS'!$K$11,MATCH(U580,JC_DS,0),MATCH(T580,CC_DS,0)),
IF(AA580="SALUD",OFFSET('PARÁMETROS'!$K$29,MATCH(U580,JC_SA,0),MATCH(T580,CC_SA,0)),
IF(AA580="MEDIO AMBIENTE",OFFSET('PARÁMETROS'!$K$20,MATCH(U580,JC_MA,0),MATCH(T580,CC_MA,0)),
IF(AA580="Rel. Gubernamentales",OFFSET('PARÁMETROS'!$K$48,MATCH(U580,JC_G,0),MATCH(T580,CC_G,0)),
IF(AA580="OPERACIONAL",OFFSET('PARÁMETROS'!$K$56,MATCH(U580,JC_OP,0),MATCH(T580,CC_OP,0)),
IF(AA580="FINANCIERO",OFFSET('PARÁMETROS'!$K$56,MATCH(U580,JC_FI,0),MATCH(T580,CC_FI,0)),
OFFSET('PARÁMETROS'!$K$38,MATCH(U580,JC_L,0),MATCH(T580,CC_L,0))))))))),"")</f>
        <v/>
      </c>
      <c r="W580" s="130"/>
      <c r="X580" s="135"/>
      <c r="Y580" s="136"/>
      <c r="Z580" s="30"/>
      <c r="AA580" s="31" t="str">
        <f>E571</f>
        <v/>
      </c>
    </row>
    <row r="581" ht="87.0" customHeight="1">
      <c r="A581" s="129"/>
      <c r="B581" s="130"/>
      <c r="C581" s="130"/>
      <c r="D581" s="130"/>
      <c r="E581" s="130"/>
      <c r="F581" s="130"/>
      <c r="G581" s="130"/>
      <c r="H581" s="130"/>
      <c r="I581" s="130"/>
      <c r="J581" s="130"/>
      <c r="K581" s="130"/>
      <c r="L581" s="130"/>
      <c r="M581" s="130"/>
      <c r="N581" s="130"/>
      <c r="O581" s="130"/>
      <c r="P581" s="132"/>
      <c r="Q581" s="134"/>
      <c r="R581" s="134"/>
      <c r="S581" s="134"/>
      <c r="T581" s="135"/>
      <c r="U581" s="135"/>
      <c r="V581" s="135" t="str">
        <f>IFERROR(IF(AA581="SEGURIDAD",OFFSET('PARÁMETROS'!$K$2,MATCH(U581,JC_SE,0),MATCH(T581,CC_SE,0)),
IF(OR(AA581="DSRC/Estratégico",AA581="DSRC/Operativo"),OFFSET('PARÁMETROS'!$K$11,MATCH(U581,JC_DS,0),MATCH(T581,CC_DS,0)),
IF(AA581="SALUD",OFFSET('PARÁMETROS'!$K$29,MATCH(U581,JC_SA,0),MATCH(T581,CC_SA,0)),
IF(AA581="MEDIO AMBIENTE",OFFSET('PARÁMETROS'!$K$20,MATCH(U581,JC_MA,0),MATCH(T581,CC_MA,0)),
IF(AA581="Rel. Gubernamentales",OFFSET('PARÁMETROS'!$K$48,MATCH(U581,JC_G,0),MATCH(T581,CC_G,0)),
IF(AA581="OPERACIONAL",OFFSET('PARÁMETROS'!$K$56,MATCH(U581,JC_OP,0),MATCH(T581,CC_OP,0)),
IF(AA581="FINANCIERO",OFFSET('PARÁMETROS'!$K$56,MATCH(U581,JC_FI,0),MATCH(T581,CC_FI,0)),
OFFSET('PARÁMETROS'!$K$38,MATCH(U581,JC_L,0),MATCH(T581,CC_L,0))))))))),"")</f>
        <v/>
      </c>
      <c r="W581" s="130"/>
      <c r="X581" s="135"/>
      <c r="Y581" s="136"/>
      <c r="Z581" s="30"/>
      <c r="AA581" s="31" t="str">
        <f>E571</f>
        <v/>
      </c>
    </row>
    <row r="582" ht="87.0" customHeight="1">
      <c r="A582" s="129"/>
      <c r="B582" s="130"/>
      <c r="C582" s="130"/>
      <c r="D582" s="130"/>
      <c r="E582" s="130"/>
      <c r="F582" s="130"/>
      <c r="G582" s="130"/>
      <c r="H582" s="130"/>
      <c r="I582" s="130"/>
      <c r="J582" s="130"/>
      <c r="K582" s="130"/>
      <c r="L582" s="130"/>
      <c r="M582" s="130"/>
      <c r="N582" s="130"/>
      <c r="O582" s="130"/>
      <c r="P582" s="132"/>
      <c r="Q582" s="134"/>
      <c r="R582" s="134"/>
      <c r="S582" s="134"/>
      <c r="T582" s="135"/>
      <c r="U582" s="135"/>
      <c r="V582" s="135" t="str">
        <f>IFERROR(IF(AA582="SEGURIDAD",OFFSET('PARÁMETROS'!$K$2,MATCH(U582,JC_SE,0),MATCH(T582,CC_SE,0)),
IF(OR(AA582="DSRC/Estratégico",AA582="DSRC/Operativo"),OFFSET('PARÁMETROS'!$K$11,MATCH(U582,JC_DS,0),MATCH(T582,CC_DS,0)),
IF(AA582="SALUD",OFFSET('PARÁMETROS'!$K$29,MATCH(U582,JC_SA,0),MATCH(T582,CC_SA,0)),
IF(AA582="MEDIO AMBIENTE",OFFSET('PARÁMETROS'!$K$20,MATCH(U582,JC_MA,0),MATCH(T582,CC_MA,0)),
IF(AA582="Rel. Gubernamentales",OFFSET('PARÁMETROS'!$K$48,MATCH(U582,JC_G,0),MATCH(T582,CC_G,0)),
IF(AA582="OPERACIONAL",OFFSET('PARÁMETROS'!$K$56,MATCH(U582,JC_OP,0),MATCH(T582,CC_OP,0)),
IF(AA582="FINANCIERO",OFFSET('PARÁMETROS'!$K$56,MATCH(U582,JC_FI,0),MATCH(T582,CC_FI,0)),
OFFSET('PARÁMETROS'!$K$38,MATCH(U582,JC_L,0),MATCH(T582,CC_L,0))))))))),"")</f>
        <v/>
      </c>
      <c r="W582" s="130"/>
      <c r="X582" s="135"/>
      <c r="Y582" s="136"/>
      <c r="Z582" s="30"/>
      <c r="AA582" s="31" t="str">
        <f>E571</f>
        <v/>
      </c>
    </row>
    <row r="583" ht="87.0" customHeight="1">
      <c r="A583" s="129"/>
      <c r="B583" s="130"/>
      <c r="C583" s="130"/>
      <c r="D583" s="130"/>
      <c r="E583" s="130"/>
      <c r="F583" s="130"/>
      <c r="G583" s="130"/>
      <c r="H583" s="130"/>
      <c r="I583" s="130"/>
      <c r="J583" s="130"/>
      <c r="K583" s="130"/>
      <c r="L583" s="130"/>
      <c r="M583" s="130"/>
      <c r="N583" s="130"/>
      <c r="O583" s="130"/>
      <c r="P583" s="132"/>
      <c r="Q583" s="134"/>
      <c r="R583" s="134"/>
      <c r="S583" s="134"/>
      <c r="T583" s="135"/>
      <c r="U583" s="135"/>
      <c r="V583" s="135" t="str">
        <f>IFERROR(IF(AA583="SEGURIDAD",OFFSET('PARÁMETROS'!$K$2,MATCH(U583,JC_SE,0),MATCH(T583,CC_SE,0)),
IF(OR(AA583="DSRC/Estratégico",AA583="DSRC/Operativo"),OFFSET('PARÁMETROS'!$K$11,MATCH(U583,JC_DS,0),MATCH(T583,CC_DS,0)),
IF(AA583="SALUD",OFFSET('PARÁMETROS'!$K$29,MATCH(U583,JC_SA,0),MATCH(T583,CC_SA,0)),
IF(AA583="MEDIO AMBIENTE",OFFSET('PARÁMETROS'!$K$20,MATCH(U583,JC_MA,0),MATCH(T583,CC_MA,0)),
IF(AA583="Rel. Gubernamentales",OFFSET('PARÁMETROS'!$K$48,MATCH(U583,JC_G,0),MATCH(T583,CC_G,0)),
IF(AA583="OPERACIONAL",OFFSET('PARÁMETROS'!$K$56,MATCH(U583,JC_OP,0),MATCH(T583,CC_OP,0)),
IF(AA583="FINANCIERO",OFFSET('PARÁMETROS'!$K$56,MATCH(U583,JC_FI,0),MATCH(T583,CC_FI,0)),
OFFSET('PARÁMETROS'!$K$38,MATCH(U583,JC_L,0),MATCH(T583,CC_L,0))))))))),"")</f>
        <v/>
      </c>
      <c r="W583" s="130"/>
      <c r="X583" s="135"/>
      <c r="Y583" s="136"/>
      <c r="Z583" s="30"/>
      <c r="AA583" s="31" t="str">
        <f>E571</f>
        <v/>
      </c>
    </row>
    <row r="584" ht="87.0" customHeight="1">
      <c r="A584" s="129"/>
      <c r="B584" s="130"/>
      <c r="C584" s="130"/>
      <c r="D584" s="130"/>
      <c r="E584" s="130"/>
      <c r="F584" s="130"/>
      <c r="G584" s="130"/>
      <c r="H584" s="130"/>
      <c r="I584" s="130"/>
      <c r="J584" s="130"/>
      <c r="K584" s="130"/>
      <c r="L584" s="130"/>
      <c r="M584" s="130"/>
      <c r="N584" s="130"/>
      <c r="O584" s="130"/>
      <c r="P584" s="132"/>
      <c r="Q584" s="134"/>
      <c r="R584" s="134"/>
      <c r="S584" s="134"/>
      <c r="T584" s="135"/>
      <c r="U584" s="135"/>
      <c r="V584" s="135" t="str">
        <f>IFERROR(IF(AA584="SEGURIDAD",OFFSET('PARÁMETROS'!$K$2,MATCH(U584,JC_SE,0),MATCH(T584,CC_SE,0)),
IF(OR(AA584="DSRC/Estratégico",AA584="DSRC/Operativo"),OFFSET('PARÁMETROS'!$K$11,MATCH(U584,JC_DS,0),MATCH(T584,CC_DS,0)),
IF(AA584="SALUD",OFFSET('PARÁMETROS'!$K$29,MATCH(U584,JC_SA,0),MATCH(T584,CC_SA,0)),
IF(AA584="MEDIO AMBIENTE",OFFSET('PARÁMETROS'!$K$20,MATCH(U584,JC_MA,0),MATCH(T584,CC_MA,0)),
IF(AA584="Rel. Gubernamentales",OFFSET('PARÁMETROS'!$K$48,MATCH(U584,JC_G,0),MATCH(T584,CC_G,0)),
IF(AA584="OPERACIONAL",OFFSET('PARÁMETROS'!$K$56,MATCH(U584,JC_OP,0),MATCH(T584,CC_OP,0)),
IF(AA584="FINANCIERO",OFFSET('PARÁMETROS'!$K$56,MATCH(U584,JC_FI,0),MATCH(T584,CC_FI,0)),
OFFSET('PARÁMETROS'!$K$38,MATCH(U584,JC_L,0),MATCH(T584,CC_L,0))))))))),"")</f>
        <v/>
      </c>
      <c r="W584" s="130"/>
      <c r="X584" s="135"/>
      <c r="Y584" s="136"/>
      <c r="Z584" s="30"/>
      <c r="AA584" s="31" t="str">
        <f>E571</f>
        <v/>
      </c>
    </row>
    <row r="585" ht="87.0" customHeight="1">
      <c r="A585" s="129"/>
      <c r="B585" s="130"/>
      <c r="C585" s="130"/>
      <c r="D585" s="130"/>
      <c r="E585" s="130"/>
      <c r="F585" s="130"/>
      <c r="G585" s="130"/>
      <c r="H585" s="130"/>
      <c r="I585" s="130"/>
      <c r="J585" s="130"/>
      <c r="K585" s="130"/>
      <c r="L585" s="130"/>
      <c r="M585" s="130"/>
      <c r="N585" s="130"/>
      <c r="O585" s="130"/>
      <c r="P585" s="132"/>
      <c r="Q585" s="134"/>
      <c r="R585" s="134"/>
      <c r="S585" s="134"/>
      <c r="T585" s="135"/>
      <c r="U585" s="135"/>
      <c r="V585" s="135" t="str">
        <f>IFERROR(IF(AA585="SEGURIDAD",OFFSET('PARÁMETROS'!$K$2,MATCH(U585,JC_SE,0),MATCH(T585,CC_SE,0)),
IF(OR(AA585="DSRC/Estratégico",AA585="DSRC/Operativo"),OFFSET('PARÁMETROS'!$K$11,MATCH(U585,JC_DS,0),MATCH(T585,CC_DS,0)),
IF(AA585="SALUD",OFFSET('PARÁMETROS'!$K$29,MATCH(U585,JC_SA,0),MATCH(T585,CC_SA,0)),
IF(AA585="MEDIO AMBIENTE",OFFSET('PARÁMETROS'!$K$20,MATCH(U585,JC_MA,0),MATCH(T585,CC_MA,0)),
IF(AA585="Rel. Gubernamentales",OFFSET('PARÁMETROS'!$K$48,MATCH(U585,JC_G,0),MATCH(T585,CC_G,0)),
IF(AA585="OPERACIONAL",OFFSET('PARÁMETROS'!$K$56,MATCH(U585,JC_OP,0),MATCH(T585,CC_OP,0)),
IF(AA585="FINANCIERO",OFFSET('PARÁMETROS'!$K$56,MATCH(U585,JC_FI,0),MATCH(T585,CC_FI,0)),
OFFSET('PARÁMETROS'!$K$38,MATCH(U585,JC_L,0),MATCH(T585,CC_L,0))))))))),"")</f>
        <v/>
      </c>
      <c r="W585" s="130"/>
      <c r="X585" s="135"/>
      <c r="Y585" s="136"/>
      <c r="Z585" s="30"/>
      <c r="AA585" s="31" t="str">
        <f>E571</f>
        <v/>
      </c>
    </row>
    <row r="586" ht="87.0" customHeight="1">
      <c r="A586" s="89"/>
      <c r="B586" s="90"/>
      <c r="C586" s="90"/>
      <c r="D586" s="157"/>
      <c r="E586" s="157"/>
      <c r="F586" s="157"/>
      <c r="G586" s="157"/>
      <c r="H586" s="157"/>
      <c r="I586" s="90"/>
      <c r="J586" s="90"/>
      <c r="K586" s="90"/>
      <c r="L586" s="90"/>
      <c r="M586" s="90"/>
      <c r="N586" s="90"/>
      <c r="O586" s="90"/>
      <c r="P586" s="132"/>
      <c r="Q586" s="134"/>
      <c r="R586" s="145"/>
      <c r="S586" s="145"/>
      <c r="T586" s="135"/>
      <c r="U586" s="135"/>
      <c r="V586" s="135" t="str">
        <f>IFERROR(IF(AA586="SEGURIDAD",OFFSET('PARÁMETROS'!$K$2,MATCH(U586,JC_SE,0),MATCH(T586,CC_SE,0)),
IF(OR(AA586="DSRC/Estratégico",AA586="DSRC/Operativo"),OFFSET('PARÁMETROS'!$K$11,MATCH(U586,JC_DS,0),MATCH(T586,CC_DS,0)),
IF(AA586="SALUD",OFFSET('PARÁMETROS'!$K$29,MATCH(U586,JC_SA,0),MATCH(T586,CC_SA,0)),
IF(AA586="MEDIO AMBIENTE",OFFSET('PARÁMETROS'!$K$20,MATCH(U586,JC_MA,0),MATCH(T586,CC_MA,0)),
IF(AA586="Rel. Gubernamentales",OFFSET('PARÁMETROS'!$K$48,MATCH(U586,JC_G,0),MATCH(T586,CC_G,0)),
IF(AA586="OPERACIONAL",OFFSET('PARÁMETROS'!$K$56,MATCH(U586,JC_OP,0),MATCH(T586,CC_OP,0)),
IF(AA586="FINANCIERO",OFFSET('PARÁMETROS'!$K$56,MATCH(U586,JC_FI,0),MATCH(T586,CC_FI,0)),
OFFSET('PARÁMETROS'!$K$38,MATCH(U586,JC_L,0),MATCH(T586,CC_L,0))))))))),"")</f>
        <v/>
      </c>
      <c r="W586" s="90"/>
      <c r="X586" s="135"/>
      <c r="Y586" s="136"/>
      <c r="Z586" s="30"/>
      <c r="AA586" s="31" t="str">
        <f>E571</f>
        <v/>
      </c>
    </row>
    <row r="587" ht="87.0" customHeight="1">
      <c r="A587" s="102"/>
      <c r="B587" s="103"/>
      <c r="C587" s="103"/>
      <c r="D587" s="103"/>
      <c r="E587" s="103"/>
      <c r="F587" s="103"/>
      <c r="G587" s="105"/>
      <c r="H587" s="103"/>
      <c r="I587" s="105"/>
      <c r="J587" s="103"/>
      <c r="K587" s="103"/>
      <c r="L587" s="103" t="str">
        <f>IF(OR(J587&lt;&gt;"",K587&lt;&gt;""),OFFSET('PARÁMETROS'!$B$2,K587,J587),"")</f>
        <v/>
      </c>
      <c r="M587" s="103"/>
      <c r="N587" s="103">
        <f>IFERROR(L587*M587,"")</f>
        <v>0</v>
      </c>
      <c r="O587" s="108" t="str">
        <f>IF(N587="","",IFERROR(IF(N587&lt;=2,"ACEPTABLE",IF(N587&lt;=6,"BAJA",IF(N587&lt;=10,"ACEPTABLE CON REVISIÓN",IF(N587&lt;=15,"SUSTANCIAL","INACEPTABLE")))),""))</f>
        <v>ACEPTABLE</v>
      </c>
      <c r="P587" s="113"/>
      <c r="Q587" s="114"/>
      <c r="R587" s="114"/>
      <c r="S587" s="114"/>
      <c r="T587" s="115"/>
      <c r="U587" s="115"/>
      <c r="V587" s="115" t="str">
        <f>IFERROR(IF(AA587="SEGURIDAD",OFFSET('PARÁMETROS'!$K$2,MATCH(U587,JC_SE,0),MATCH(T587,CC_SE,0)),
IF(OR(AA587="DSRC/Estratégico",AA587="DSRC/Operativo"),OFFSET('PARÁMETROS'!$K$11,MATCH(U587,JC_DS,0),MATCH(T587,CC_DS,0)),
IF(AA587="SALUD",OFFSET('PARÁMETROS'!$K$29,MATCH(U587,JC_SA,0),MATCH(T587,CC_SA,0)),
IF(AA587="MEDIO AMBIENTE",OFFSET('PARÁMETROS'!$K$20,MATCH(U587,JC_MA,0),MATCH(T587,CC_MA,0)),
IF(AA587="Rel. Gubernamentales",OFFSET('PARÁMETROS'!$K$48,MATCH(U587,JC_G,0),MATCH(T587,CC_G,0)),
IF(AA587="OPERACIONAL",OFFSET('PARÁMETROS'!$K$56,MATCH(U587,JC_OP,0),MATCH(T587,CC_OP,0)),
IF(AA587="FINANCIERO",OFFSET('PARÁMETROS'!$K$56,MATCH(U587,JC_FI,0),MATCH(T587,CC_FI,0)),
OFFSET('PARÁMETROS'!$K$38,MATCH(U587,JC_L,0),MATCH(T587,CC_L,0))))))))),"")</f>
        <v/>
      </c>
      <c r="W587" s="108" t="str">
        <f>IF(E587="","",
IF(COUNTA(V587:V602)-COUNTBLANK(V587:V602)=1,
IF(O587="INACEPTABLE",IF(COUNTIF(V587:V602,"Control/Acción Eficaz")&gt;=1,"SUSTANCIAL","INACEPTABLE"),
IF(O587="SUSTANCIAL",IF(COUNTIF(V587:V602,"Control/Acción Eficaz")&gt;=1,"ACEPTABLE CON REVISIÓN","SUSTANCIAL"),
IF(O587="ACEPTABLE CON REVISIÓN",IF(COUNTIF(V587:V602,"Control/Acción Eficaz")&gt;=1,"BAJA","ACEPTABLE CON REVISIÓN"),
IF(O587="BAJA",IF(COUNTIF(V587:V602,"Control/Acción Eficaz")&gt;=1,"ACEPTABLE","BAJA"),)))),
IF(COUNTA(V587:V602)-COUNTBLANK(V587:V602)=2,
IF(O587="INACEPTABLE",IF(COUNTIF(V587:V602,"Control/Acción Eficaz")=2,"ACEPTABLE CON REVISIÓN",
IF(OR(AND(COUNTIF(V587:V602,"Control/Acción Eficaz")=1,COUNTIF(V587:V602,"Control/Acción Satisfactorio")=1),
AND(COUNTIF(V587:V602,"Control/Acción Eficaz")=1,COUNTIF(V587:V602,"Control/Acción No Eficaz")=1)),"SUSTANCIAL","INACEPTABLE")),
IF(O587="SUSTANCIAL",IF(COUNTIF(V587:V602,"Control/Acción Eficaz")=2,"BAJA",
IF(OR(AND(COUNTIF(V587:V602,"Control/Acción Eficaz")=1,COUNTIF(V587:V602,"Control/Acción Satisfactorio")=1),
AND(COUNTIF(V587:V602,"Control/Acción Eficaz")=1,COUNTIF(V587:V602,"Control/Acción No Eficaz")=1)),"ACEPTABLE CON REVISIÓN ","SUSTANCIAL")),
IF(O587="ACEPTABLE CON REVISIÓN",IF(COUNTIF(V587:V602,"Control/Acción Eficaz")=2,"ACEPTABLE",
IF(OR(AND(COUNTIF(V587:V602,"Control/Acción Eficaz")=1,COUNTIF(V587:V602,"Control/Acción Satisfactorio")=1),
AND(COUNTIF(V587:V602,"Control/Acción Eficaz")=1,COUNTIF(V587:V602,"Control/Acción No Eficaz")=1)),"BAJA","ACEPTABLE CON REVISIÓN")),
IF(O587="BAJA",IF(COUNTIF(V587:V602,"Control/Acción Eficaz")&gt;=2,"ACEPTABLE","BAJA"),)))),
IF(COUNTA(V587:V602)-COUNTBLANK(V587:V602)&gt;=3,
IF(O587="INACEPTABLE",
IF(COUNTBLANK(V587:V602)=COUNTA(V587:V602),"",
IF(COUNTIF(V587:V602,"Control/Acción No Eficaz")&gt;=2,"INACEPTABLE",
IF(AND(COUNTIF(V587:V602,"Control/Acción No Eficaz")=0,COUNTIF(V587:V602,"Control/Acción Eficaz")&gt;=2),"ACEPTABLE CON REVISIÓN ","SUSTANCIAL"))),
IF(O587="SUSTANCIAL",
IF(COUNTBLANK(V587:V602)=COUNTA(V587:V602),"",
IF(COUNTIF(V587:V602,"Control/Acción No Eficaz")&gt;=2,"SUSTANCIAL",
IF(AND(COUNTIF(V587:V602,"Control/Acción No Eficaz")=0,COUNTIF(V587:V602,"Control/Acción Eficaz")&gt;=2),"BAJA","ACEPTABLE CON REVISIÓN"))),
IF(O587="ACEPTABLE CON REVISIÓN",
IF(COUNTBLANK(V587:V602)=COUNTA(V587:V602),"",
IF(COUNTIF(V587:V602,"Control/Acción No Eficaz")&gt;=2,"ACEPTABLE CON REVISIÓN",
IF(AND(COUNTIF(V587:V602,"Control/Acción No Eficaz")=0,COUNTIF(V587:V602,"Control/Acción Eficaz")&gt;=2),"ACEPTABLE","BAJA"))),
IF(O587="BAJA",
IF(COUNTBLANK(V587:V602)=COUNTA(V587:V602),"",
IF(AND(COUNTBLANK(V587:V602)&lt;1,COUNTA(V587:V602)=1),
IF(COUNTIF(V587:V602,"Control/Acción No Eficaz")&gt;=2,"BAJA",
IF(AND(COUNTIF(V587:V602,"Control/Acción No Eficaz")=0,COUNTIF(V587:V602,"Control/Acción Eficaz")&gt;=2),"ACEPTABLE","BAJA")),
IF(COUNTIF(V587:V602,"Control/Acción No Eficaz")&gt;=2,"BAJA",
IF(AND(COUNTIF(V587:V602,"Control/Acción No Eficaz")=0,COUNTIF(V587:V602,"Control/Acción Eficaz")&gt;=2),"ACEPTABLE","BAJA")))),
IF(COUNTIF(V587:V602,"")&gt;=5,"",O587))))),
""))))</f>
        <v/>
      </c>
      <c r="X587" s="115"/>
      <c r="Y587" s="128"/>
      <c r="Z587" s="30"/>
      <c r="AA587" s="31" t="str">
        <f>E587</f>
        <v/>
      </c>
    </row>
    <row r="588" ht="87.0" customHeight="1">
      <c r="A588" s="129"/>
      <c r="B588" s="130"/>
      <c r="C588" s="130"/>
      <c r="D588" s="130"/>
      <c r="E588" s="130"/>
      <c r="F588" s="130"/>
      <c r="G588" s="130"/>
      <c r="H588" s="130"/>
      <c r="I588" s="130"/>
      <c r="J588" s="130"/>
      <c r="K588" s="130"/>
      <c r="L588" s="130"/>
      <c r="M588" s="130"/>
      <c r="N588" s="130"/>
      <c r="O588" s="130"/>
      <c r="P588" s="132"/>
      <c r="Q588" s="134"/>
      <c r="R588" s="134"/>
      <c r="S588" s="134"/>
      <c r="T588" s="135"/>
      <c r="U588" s="135"/>
      <c r="V588" s="135" t="str">
        <f>IFERROR(IF(AA588="SEGURIDAD",OFFSET('PARÁMETROS'!$K$2,MATCH(U588,JC_SE,0),MATCH(T588,CC_SE,0)),
IF(OR(AA588="DSRC/Estratégico",AA588="DSRC/Operativo"),OFFSET('PARÁMETROS'!$K$11,MATCH(U588,JC_DS,0),MATCH(T588,CC_DS,0)),
IF(AA588="SALUD",OFFSET('PARÁMETROS'!$K$29,MATCH(U588,JC_SA,0),MATCH(T588,CC_SA,0)),
IF(AA588="MEDIO AMBIENTE",OFFSET('PARÁMETROS'!$K$20,MATCH(U588,JC_MA,0),MATCH(T588,CC_MA,0)),
IF(AA588="Rel. Gubernamentales",OFFSET('PARÁMETROS'!$K$48,MATCH(U588,JC_G,0),MATCH(T588,CC_G,0)),
IF(AA588="OPERACIONAL",OFFSET('PARÁMETROS'!$K$56,MATCH(U588,JC_OP,0),MATCH(T588,CC_OP,0)),
IF(AA588="FINANCIERO",OFFSET('PARÁMETROS'!$K$56,MATCH(U588,JC_FI,0),MATCH(T588,CC_FI,0)),
OFFSET('PARÁMETROS'!$K$38,MATCH(U588,JC_L,0),MATCH(T588,CC_L,0))))))))),"")</f>
        <v/>
      </c>
      <c r="W588" s="130"/>
      <c r="X588" s="135"/>
      <c r="Y588" s="136"/>
      <c r="Z588" s="30"/>
      <c r="AA588" s="31" t="str">
        <f>E587</f>
        <v/>
      </c>
    </row>
    <row r="589" ht="87.0" customHeight="1">
      <c r="A589" s="129"/>
      <c r="B589" s="130"/>
      <c r="C589" s="130"/>
      <c r="D589" s="130"/>
      <c r="E589" s="130"/>
      <c r="F589" s="130"/>
      <c r="G589" s="130"/>
      <c r="H589" s="130"/>
      <c r="I589" s="130"/>
      <c r="J589" s="130"/>
      <c r="K589" s="130"/>
      <c r="L589" s="130"/>
      <c r="M589" s="130"/>
      <c r="N589" s="130"/>
      <c r="O589" s="130"/>
      <c r="P589" s="132"/>
      <c r="Q589" s="134"/>
      <c r="R589" s="134"/>
      <c r="S589" s="134"/>
      <c r="T589" s="135"/>
      <c r="U589" s="135"/>
      <c r="V589" s="135" t="str">
        <f>IFERROR(IF(AA589="SEGURIDAD",OFFSET('PARÁMETROS'!$K$2,MATCH(U589,JC_SE,0),MATCH(T589,CC_SE,0)),
IF(OR(AA589="DSRC/Estratégico",AA589="DSRC/Operativo"),OFFSET('PARÁMETROS'!$K$11,MATCH(U589,JC_DS,0),MATCH(T589,CC_DS,0)),
IF(AA589="SALUD",OFFSET('PARÁMETROS'!$K$29,MATCH(U589,JC_SA,0),MATCH(T589,CC_SA,0)),
IF(AA589="MEDIO AMBIENTE",OFFSET('PARÁMETROS'!$K$20,MATCH(U589,JC_MA,0),MATCH(T589,CC_MA,0)),
IF(AA589="Rel. Gubernamentales",OFFSET('PARÁMETROS'!$K$48,MATCH(U589,JC_G,0),MATCH(T589,CC_G,0)),
IF(AA589="OPERACIONAL",OFFSET('PARÁMETROS'!$K$56,MATCH(U589,JC_OP,0),MATCH(T589,CC_OP,0)),
IF(AA589="FINANCIERO",OFFSET('PARÁMETROS'!$K$56,MATCH(U589,JC_FI,0),MATCH(T589,CC_FI,0)),
OFFSET('PARÁMETROS'!$K$38,MATCH(U589,JC_L,0),MATCH(T589,CC_L,0))))))))),"")</f>
        <v/>
      </c>
      <c r="W589" s="130"/>
      <c r="X589" s="135"/>
      <c r="Y589" s="136"/>
      <c r="Z589" s="30"/>
      <c r="AA589" s="31" t="str">
        <f>E587</f>
        <v/>
      </c>
    </row>
    <row r="590" ht="87.0" customHeight="1">
      <c r="A590" s="129"/>
      <c r="B590" s="130"/>
      <c r="C590" s="130"/>
      <c r="D590" s="130"/>
      <c r="E590" s="130"/>
      <c r="F590" s="130"/>
      <c r="G590" s="130"/>
      <c r="H590" s="130"/>
      <c r="I590" s="130"/>
      <c r="J590" s="130"/>
      <c r="K590" s="130"/>
      <c r="L590" s="130"/>
      <c r="M590" s="130"/>
      <c r="N590" s="130"/>
      <c r="O590" s="130"/>
      <c r="P590" s="132"/>
      <c r="Q590" s="134"/>
      <c r="R590" s="134"/>
      <c r="S590" s="134"/>
      <c r="T590" s="135"/>
      <c r="U590" s="135"/>
      <c r="V590" s="135" t="str">
        <f>IFERROR(IF(AA590="SEGURIDAD",OFFSET('PARÁMETROS'!$K$2,MATCH(U590,JC_SE,0),MATCH(T590,CC_SE,0)),
IF(OR(AA590="DSRC/Estratégico",AA590="DSRC/Operativo"),OFFSET('PARÁMETROS'!$K$11,MATCH(U590,JC_DS,0),MATCH(T590,CC_DS,0)),
IF(AA590="SALUD",OFFSET('PARÁMETROS'!$K$29,MATCH(U590,JC_SA,0),MATCH(T590,CC_SA,0)),
IF(AA590="MEDIO AMBIENTE",OFFSET('PARÁMETROS'!$K$20,MATCH(U590,JC_MA,0),MATCH(T590,CC_MA,0)),
IF(AA590="Rel. Gubernamentales",OFFSET('PARÁMETROS'!$K$48,MATCH(U590,JC_G,0),MATCH(T590,CC_G,0)),
IF(AA590="OPERACIONAL",OFFSET('PARÁMETROS'!$K$56,MATCH(U590,JC_OP,0),MATCH(T590,CC_OP,0)),
IF(AA590="FINANCIERO",OFFSET('PARÁMETROS'!$K$56,MATCH(U590,JC_FI,0),MATCH(T590,CC_FI,0)),
OFFSET('PARÁMETROS'!$K$38,MATCH(U590,JC_L,0),MATCH(T590,CC_L,0))))))))),"")</f>
        <v/>
      </c>
      <c r="W590" s="130"/>
      <c r="X590" s="135"/>
      <c r="Y590" s="136"/>
      <c r="Z590" s="30"/>
      <c r="AA590" s="31" t="str">
        <f>E587</f>
        <v/>
      </c>
    </row>
    <row r="591" ht="87.0" customHeight="1">
      <c r="A591" s="129"/>
      <c r="B591" s="130"/>
      <c r="C591" s="130"/>
      <c r="D591" s="130"/>
      <c r="E591" s="130"/>
      <c r="F591" s="130"/>
      <c r="G591" s="130"/>
      <c r="H591" s="130"/>
      <c r="I591" s="130"/>
      <c r="J591" s="130"/>
      <c r="K591" s="130"/>
      <c r="L591" s="130"/>
      <c r="M591" s="130"/>
      <c r="N591" s="130"/>
      <c r="O591" s="130"/>
      <c r="P591" s="132"/>
      <c r="Q591" s="134"/>
      <c r="R591" s="134"/>
      <c r="S591" s="134"/>
      <c r="T591" s="135"/>
      <c r="U591" s="135"/>
      <c r="V591" s="135" t="str">
        <f>IFERROR(IF(AA591="SEGURIDAD",OFFSET('PARÁMETROS'!$K$2,MATCH(U591,JC_SE,0),MATCH(T591,CC_SE,0)),
IF(OR(AA591="DSRC/Estratégico",AA591="DSRC/Operativo"),OFFSET('PARÁMETROS'!$K$11,MATCH(U591,JC_DS,0),MATCH(T591,CC_DS,0)),
IF(AA591="SALUD",OFFSET('PARÁMETROS'!$K$29,MATCH(U591,JC_SA,0),MATCH(T591,CC_SA,0)),
IF(AA591="MEDIO AMBIENTE",OFFSET('PARÁMETROS'!$K$20,MATCH(U591,JC_MA,0),MATCH(T591,CC_MA,0)),
IF(AA591="Rel. Gubernamentales",OFFSET('PARÁMETROS'!$K$48,MATCH(U591,JC_G,0),MATCH(T591,CC_G,0)),
IF(AA591="OPERACIONAL",OFFSET('PARÁMETROS'!$K$56,MATCH(U591,JC_OP,0),MATCH(T591,CC_OP,0)),
IF(AA591="FINANCIERO",OFFSET('PARÁMETROS'!$K$56,MATCH(U591,JC_FI,0),MATCH(T591,CC_FI,0)),
OFFSET('PARÁMETROS'!$K$38,MATCH(U591,JC_L,0),MATCH(T591,CC_L,0))))))))),"")</f>
        <v/>
      </c>
      <c r="W591" s="130"/>
      <c r="X591" s="135"/>
      <c r="Y591" s="136"/>
      <c r="Z591" s="30"/>
      <c r="AA591" s="31" t="str">
        <f>E587</f>
        <v/>
      </c>
    </row>
    <row r="592" ht="87.0" customHeight="1">
      <c r="A592" s="129"/>
      <c r="B592" s="130"/>
      <c r="C592" s="130"/>
      <c r="D592" s="130"/>
      <c r="E592" s="130"/>
      <c r="F592" s="130"/>
      <c r="G592" s="130"/>
      <c r="H592" s="130"/>
      <c r="I592" s="130"/>
      <c r="J592" s="130"/>
      <c r="K592" s="130"/>
      <c r="L592" s="130"/>
      <c r="M592" s="130"/>
      <c r="N592" s="130"/>
      <c r="O592" s="130"/>
      <c r="P592" s="132"/>
      <c r="Q592" s="134"/>
      <c r="R592" s="134"/>
      <c r="S592" s="134"/>
      <c r="T592" s="135"/>
      <c r="U592" s="135"/>
      <c r="V592" s="135" t="str">
        <f>IFERROR(IF(AA592="SEGURIDAD",OFFSET('PARÁMETROS'!$K$2,MATCH(U592,JC_SE,0),MATCH(T592,CC_SE,0)),
IF(OR(AA592="DSRC/Estratégico",AA592="DSRC/Operativo"),OFFSET('PARÁMETROS'!$K$11,MATCH(U592,JC_DS,0),MATCH(T592,CC_DS,0)),
IF(AA592="SALUD",OFFSET('PARÁMETROS'!$K$29,MATCH(U592,JC_SA,0),MATCH(T592,CC_SA,0)),
IF(AA592="MEDIO AMBIENTE",OFFSET('PARÁMETROS'!$K$20,MATCH(U592,JC_MA,0),MATCH(T592,CC_MA,0)),
IF(AA592="Rel. Gubernamentales",OFFSET('PARÁMETROS'!$K$48,MATCH(U592,JC_G,0),MATCH(T592,CC_G,0)),
IF(AA592="OPERACIONAL",OFFSET('PARÁMETROS'!$K$56,MATCH(U592,JC_OP,0),MATCH(T592,CC_OP,0)),
IF(AA592="FINANCIERO",OFFSET('PARÁMETROS'!$K$56,MATCH(U592,JC_FI,0),MATCH(T592,CC_FI,0)),
OFFSET('PARÁMETROS'!$K$38,MATCH(U592,JC_L,0),MATCH(T592,CC_L,0))))))))),"")</f>
        <v/>
      </c>
      <c r="W592" s="130"/>
      <c r="X592" s="135"/>
      <c r="Y592" s="136"/>
      <c r="Z592" s="30"/>
      <c r="AA592" s="31" t="str">
        <f>E587</f>
        <v/>
      </c>
    </row>
    <row r="593" ht="87.0" customHeight="1">
      <c r="A593" s="129"/>
      <c r="B593" s="130"/>
      <c r="C593" s="130"/>
      <c r="D593" s="130"/>
      <c r="E593" s="130"/>
      <c r="F593" s="130"/>
      <c r="G593" s="130"/>
      <c r="H593" s="130"/>
      <c r="I593" s="130"/>
      <c r="J593" s="130"/>
      <c r="K593" s="130"/>
      <c r="L593" s="130"/>
      <c r="M593" s="130"/>
      <c r="N593" s="130"/>
      <c r="O593" s="130"/>
      <c r="P593" s="132"/>
      <c r="Q593" s="134"/>
      <c r="R593" s="134"/>
      <c r="S593" s="134"/>
      <c r="T593" s="135"/>
      <c r="U593" s="135"/>
      <c r="V593" s="135" t="str">
        <f>IFERROR(IF(AA593="SEGURIDAD",OFFSET('PARÁMETROS'!$K$2,MATCH(U593,JC_SE,0),MATCH(T593,CC_SE,0)),
IF(OR(AA593="DSRC/Estratégico",AA593="DSRC/Operativo"),OFFSET('PARÁMETROS'!$K$11,MATCH(U593,JC_DS,0),MATCH(T593,CC_DS,0)),
IF(AA593="SALUD",OFFSET('PARÁMETROS'!$K$29,MATCH(U593,JC_SA,0),MATCH(T593,CC_SA,0)),
IF(AA593="MEDIO AMBIENTE",OFFSET('PARÁMETROS'!$K$20,MATCH(U593,JC_MA,0),MATCH(T593,CC_MA,0)),
IF(AA593="Rel. Gubernamentales",OFFSET('PARÁMETROS'!$K$48,MATCH(U593,JC_G,0),MATCH(T593,CC_G,0)),
IF(AA593="OPERACIONAL",OFFSET('PARÁMETROS'!$K$56,MATCH(U593,JC_OP,0),MATCH(T593,CC_OP,0)),
IF(AA593="FINANCIERO",OFFSET('PARÁMETROS'!$K$56,MATCH(U593,JC_FI,0),MATCH(T593,CC_FI,0)),
OFFSET('PARÁMETROS'!$K$38,MATCH(U593,JC_L,0),MATCH(T593,CC_L,0))))))))),"")</f>
        <v/>
      </c>
      <c r="W593" s="130"/>
      <c r="X593" s="135"/>
      <c r="Y593" s="136"/>
      <c r="Z593" s="30"/>
      <c r="AA593" s="31" t="str">
        <f>E587</f>
        <v/>
      </c>
    </row>
    <row r="594" ht="87.0" customHeight="1">
      <c r="A594" s="129"/>
      <c r="B594" s="130"/>
      <c r="C594" s="130"/>
      <c r="D594" s="130"/>
      <c r="E594" s="130"/>
      <c r="F594" s="130"/>
      <c r="G594" s="130"/>
      <c r="H594" s="130"/>
      <c r="I594" s="130"/>
      <c r="J594" s="130"/>
      <c r="K594" s="130"/>
      <c r="L594" s="130"/>
      <c r="M594" s="130"/>
      <c r="N594" s="130"/>
      <c r="O594" s="130"/>
      <c r="P594" s="132"/>
      <c r="Q594" s="134"/>
      <c r="R594" s="134"/>
      <c r="S594" s="134"/>
      <c r="T594" s="135"/>
      <c r="U594" s="135"/>
      <c r="V594" s="135" t="str">
        <f>IFERROR(IF(AA594="SEGURIDAD",OFFSET('PARÁMETROS'!$K$2,MATCH(U594,JC_SE,0),MATCH(T594,CC_SE,0)),
IF(OR(AA594="DSRC/Estratégico",AA594="DSRC/Operativo"),OFFSET('PARÁMETROS'!$K$11,MATCH(U594,JC_DS,0),MATCH(T594,CC_DS,0)),
IF(AA594="SALUD",OFFSET('PARÁMETROS'!$K$29,MATCH(U594,JC_SA,0),MATCH(T594,CC_SA,0)),
IF(AA594="MEDIO AMBIENTE",OFFSET('PARÁMETROS'!$K$20,MATCH(U594,JC_MA,0),MATCH(T594,CC_MA,0)),
IF(AA594="Rel. Gubernamentales",OFFSET('PARÁMETROS'!$K$48,MATCH(U594,JC_G,0),MATCH(T594,CC_G,0)),
IF(AA594="OPERACIONAL",OFFSET('PARÁMETROS'!$K$56,MATCH(U594,JC_OP,0),MATCH(T594,CC_OP,0)),
IF(AA594="FINANCIERO",OFFSET('PARÁMETROS'!$K$56,MATCH(U594,JC_FI,0),MATCH(T594,CC_FI,0)),
OFFSET('PARÁMETROS'!$K$38,MATCH(U594,JC_L,0),MATCH(T594,CC_L,0))))))))),"")</f>
        <v/>
      </c>
      <c r="W594" s="130"/>
      <c r="X594" s="135"/>
      <c r="Y594" s="136"/>
      <c r="Z594" s="30"/>
      <c r="AA594" s="31" t="str">
        <f>E587</f>
        <v/>
      </c>
    </row>
    <row r="595" ht="87.0" customHeight="1">
      <c r="A595" s="129"/>
      <c r="B595" s="130"/>
      <c r="C595" s="130"/>
      <c r="D595" s="130"/>
      <c r="E595" s="130"/>
      <c r="F595" s="130"/>
      <c r="G595" s="130"/>
      <c r="H595" s="130"/>
      <c r="I595" s="130"/>
      <c r="J595" s="130"/>
      <c r="K595" s="130"/>
      <c r="L595" s="130"/>
      <c r="M595" s="130"/>
      <c r="N595" s="130"/>
      <c r="O595" s="130"/>
      <c r="P595" s="132"/>
      <c r="Q595" s="134"/>
      <c r="R595" s="134"/>
      <c r="S595" s="134"/>
      <c r="T595" s="135"/>
      <c r="U595" s="135"/>
      <c r="V595" s="135" t="str">
        <f>IFERROR(IF(AA595="SEGURIDAD",OFFSET('PARÁMETROS'!$K$2,MATCH(U595,JC_SE,0),MATCH(T595,CC_SE,0)),
IF(OR(AA595="DSRC/Estratégico",AA595="DSRC/Operativo"),OFFSET('PARÁMETROS'!$K$11,MATCH(U595,JC_DS,0),MATCH(T595,CC_DS,0)),
IF(AA595="SALUD",OFFSET('PARÁMETROS'!$K$29,MATCH(U595,JC_SA,0),MATCH(T595,CC_SA,0)),
IF(AA595="MEDIO AMBIENTE",OFFSET('PARÁMETROS'!$K$20,MATCH(U595,JC_MA,0),MATCH(T595,CC_MA,0)),
IF(AA595="Rel. Gubernamentales",OFFSET('PARÁMETROS'!$K$48,MATCH(U595,JC_G,0),MATCH(T595,CC_G,0)),
IF(AA595="OPERACIONAL",OFFSET('PARÁMETROS'!$K$56,MATCH(U595,JC_OP,0),MATCH(T595,CC_OP,0)),
IF(AA595="FINANCIERO",OFFSET('PARÁMETROS'!$K$56,MATCH(U595,JC_FI,0),MATCH(T595,CC_FI,0)),
OFFSET('PARÁMETROS'!$K$38,MATCH(U595,JC_L,0),MATCH(T595,CC_L,0))))))))),"")</f>
        <v/>
      </c>
      <c r="W595" s="130"/>
      <c r="X595" s="135"/>
      <c r="Y595" s="136"/>
      <c r="Z595" s="30"/>
      <c r="AA595" s="31" t="str">
        <f>E587</f>
        <v/>
      </c>
    </row>
    <row r="596" ht="87.0" customHeight="1">
      <c r="A596" s="129"/>
      <c r="B596" s="130"/>
      <c r="C596" s="130"/>
      <c r="D596" s="130"/>
      <c r="E596" s="130"/>
      <c r="F596" s="130"/>
      <c r="G596" s="130"/>
      <c r="H596" s="130"/>
      <c r="I596" s="130"/>
      <c r="J596" s="130"/>
      <c r="K596" s="130"/>
      <c r="L596" s="130"/>
      <c r="M596" s="130"/>
      <c r="N596" s="130"/>
      <c r="O596" s="130"/>
      <c r="P596" s="132"/>
      <c r="Q596" s="134"/>
      <c r="R596" s="134"/>
      <c r="S596" s="134"/>
      <c r="T596" s="135"/>
      <c r="U596" s="135"/>
      <c r="V596" s="135" t="str">
        <f>IFERROR(IF(AA596="SEGURIDAD",OFFSET('PARÁMETROS'!$K$2,MATCH(U596,JC_SE,0),MATCH(T596,CC_SE,0)),
IF(OR(AA596="DSRC/Estratégico",AA596="DSRC/Operativo"),OFFSET('PARÁMETROS'!$K$11,MATCH(U596,JC_DS,0),MATCH(T596,CC_DS,0)),
IF(AA596="SALUD",OFFSET('PARÁMETROS'!$K$29,MATCH(U596,JC_SA,0),MATCH(T596,CC_SA,0)),
IF(AA596="MEDIO AMBIENTE",OFFSET('PARÁMETROS'!$K$20,MATCH(U596,JC_MA,0),MATCH(T596,CC_MA,0)),
IF(AA596="Rel. Gubernamentales",OFFSET('PARÁMETROS'!$K$48,MATCH(U596,JC_G,0),MATCH(T596,CC_G,0)),
IF(AA596="OPERACIONAL",OFFSET('PARÁMETROS'!$K$56,MATCH(U596,JC_OP,0),MATCH(T596,CC_OP,0)),
IF(AA596="FINANCIERO",OFFSET('PARÁMETROS'!$K$56,MATCH(U596,JC_FI,0),MATCH(T596,CC_FI,0)),
OFFSET('PARÁMETROS'!$K$38,MATCH(U596,JC_L,0),MATCH(T596,CC_L,0))))))))),"")</f>
        <v/>
      </c>
      <c r="W596" s="130"/>
      <c r="X596" s="135"/>
      <c r="Y596" s="136"/>
      <c r="Z596" s="30"/>
      <c r="AA596" s="31" t="str">
        <f>E587</f>
        <v/>
      </c>
    </row>
    <row r="597" ht="87.0" customHeight="1">
      <c r="A597" s="129"/>
      <c r="B597" s="130"/>
      <c r="C597" s="130"/>
      <c r="D597" s="130"/>
      <c r="E597" s="130"/>
      <c r="F597" s="130"/>
      <c r="G597" s="130"/>
      <c r="H597" s="130"/>
      <c r="I597" s="130"/>
      <c r="J597" s="130"/>
      <c r="K597" s="130"/>
      <c r="L597" s="130"/>
      <c r="M597" s="130"/>
      <c r="N597" s="130"/>
      <c r="O597" s="130"/>
      <c r="P597" s="132"/>
      <c r="Q597" s="134"/>
      <c r="R597" s="134"/>
      <c r="S597" s="134"/>
      <c r="T597" s="135"/>
      <c r="U597" s="135"/>
      <c r="V597" s="135" t="str">
        <f>IFERROR(IF(AA597="SEGURIDAD",OFFSET('PARÁMETROS'!$K$2,MATCH(U597,JC_SE,0),MATCH(T597,CC_SE,0)),
IF(OR(AA597="DSRC/Estratégico",AA597="DSRC/Operativo"),OFFSET('PARÁMETROS'!$K$11,MATCH(U597,JC_DS,0),MATCH(T597,CC_DS,0)),
IF(AA597="SALUD",OFFSET('PARÁMETROS'!$K$29,MATCH(U597,JC_SA,0),MATCH(T597,CC_SA,0)),
IF(AA597="MEDIO AMBIENTE",OFFSET('PARÁMETROS'!$K$20,MATCH(U597,JC_MA,0),MATCH(T597,CC_MA,0)),
IF(AA597="Rel. Gubernamentales",OFFSET('PARÁMETROS'!$K$48,MATCH(U597,JC_G,0),MATCH(T597,CC_G,0)),
IF(AA597="OPERACIONAL",OFFSET('PARÁMETROS'!$K$56,MATCH(U597,JC_OP,0),MATCH(T597,CC_OP,0)),
IF(AA597="FINANCIERO",OFFSET('PARÁMETROS'!$K$56,MATCH(U597,JC_FI,0),MATCH(T597,CC_FI,0)),
OFFSET('PARÁMETROS'!$K$38,MATCH(U597,JC_L,0),MATCH(T597,CC_L,0))))))))),"")</f>
        <v/>
      </c>
      <c r="W597" s="130"/>
      <c r="X597" s="135"/>
      <c r="Y597" s="136"/>
      <c r="Z597" s="30"/>
      <c r="AA597" s="31" t="str">
        <f>E587</f>
        <v/>
      </c>
    </row>
    <row r="598" ht="87.0" customHeight="1">
      <c r="A598" s="129"/>
      <c r="B598" s="130"/>
      <c r="C598" s="130"/>
      <c r="D598" s="130"/>
      <c r="E598" s="130"/>
      <c r="F598" s="130"/>
      <c r="G598" s="130"/>
      <c r="H598" s="130"/>
      <c r="I598" s="130"/>
      <c r="J598" s="130"/>
      <c r="K598" s="130"/>
      <c r="L598" s="130"/>
      <c r="M598" s="130"/>
      <c r="N598" s="130"/>
      <c r="O598" s="130"/>
      <c r="P598" s="132"/>
      <c r="Q598" s="134"/>
      <c r="R598" s="134"/>
      <c r="S598" s="134"/>
      <c r="T598" s="135"/>
      <c r="U598" s="135"/>
      <c r="V598" s="135" t="str">
        <f>IFERROR(IF(AA598="SEGURIDAD",OFFSET('PARÁMETROS'!$K$2,MATCH(U598,JC_SE,0),MATCH(T598,CC_SE,0)),
IF(OR(AA598="DSRC/Estratégico",AA598="DSRC/Operativo"),OFFSET('PARÁMETROS'!$K$11,MATCH(U598,JC_DS,0),MATCH(T598,CC_DS,0)),
IF(AA598="SALUD",OFFSET('PARÁMETROS'!$K$29,MATCH(U598,JC_SA,0),MATCH(T598,CC_SA,0)),
IF(AA598="MEDIO AMBIENTE",OFFSET('PARÁMETROS'!$K$20,MATCH(U598,JC_MA,0),MATCH(T598,CC_MA,0)),
IF(AA598="Rel. Gubernamentales",OFFSET('PARÁMETROS'!$K$48,MATCH(U598,JC_G,0),MATCH(T598,CC_G,0)),
IF(AA598="OPERACIONAL",OFFSET('PARÁMETROS'!$K$56,MATCH(U598,JC_OP,0),MATCH(T598,CC_OP,0)),
IF(AA598="FINANCIERO",OFFSET('PARÁMETROS'!$K$56,MATCH(U598,JC_FI,0),MATCH(T598,CC_FI,0)),
OFFSET('PARÁMETROS'!$K$38,MATCH(U598,JC_L,0),MATCH(T598,CC_L,0))))))))),"")</f>
        <v/>
      </c>
      <c r="W598" s="130"/>
      <c r="X598" s="135"/>
      <c r="Y598" s="136"/>
      <c r="Z598" s="30"/>
      <c r="AA598" s="31" t="str">
        <f>E587</f>
        <v/>
      </c>
    </row>
    <row r="599" ht="87.0" customHeight="1">
      <c r="A599" s="129"/>
      <c r="B599" s="130"/>
      <c r="C599" s="130"/>
      <c r="D599" s="130"/>
      <c r="E599" s="130"/>
      <c r="F599" s="130"/>
      <c r="G599" s="130"/>
      <c r="H599" s="130"/>
      <c r="I599" s="130"/>
      <c r="J599" s="130"/>
      <c r="K599" s="130"/>
      <c r="L599" s="130"/>
      <c r="M599" s="130"/>
      <c r="N599" s="130"/>
      <c r="O599" s="130"/>
      <c r="P599" s="132"/>
      <c r="Q599" s="134"/>
      <c r="R599" s="134"/>
      <c r="S599" s="134"/>
      <c r="T599" s="135"/>
      <c r="U599" s="135"/>
      <c r="V599" s="135" t="str">
        <f>IFERROR(IF(AA599="SEGURIDAD",OFFSET('PARÁMETROS'!$K$2,MATCH(U599,JC_SE,0),MATCH(T599,CC_SE,0)),
IF(OR(AA599="DSRC/Estratégico",AA599="DSRC/Operativo"),OFFSET('PARÁMETROS'!$K$11,MATCH(U599,JC_DS,0),MATCH(T599,CC_DS,0)),
IF(AA599="SALUD",OFFSET('PARÁMETROS'!$K$29,MATCH(U599,JC_SA,0),MATCH(T599,CC_SA,0)),
IF(AA599="MEDIO AMBIENTE",OFFSET('PARÁMETROS'!$K$20,MATCH(U599,JC_MA,0),MATCH(T599,CC_MA,0)),
IF(AA599="Rel. Gubernamentales",OFFSET('PARÁMETROS'!$K$48,MATCH(U599,JC_G,0),MATCH(T599,CC_G,0)),
IF(AA599="OPERACIONAL",OFFSET('PARÁMETROS'!$K$56,MATCH(U599,JC_OP,0),MATCH(T599,CC_OP,0)),
IF(AA599="FINANCIERO",OFFSET('PARÁMETROS'!$K$56,MATCH(U599,JC_FI,0),MATCH(T599,CC_FI,0)),
OFFSET('PARÁMETROS'!$K$38,MATCH(U599,JC_L,0),MATCH(T599,CC_L,0))))))))),"")</f>
        <v/>
      </c>
      <c r="W599" s="130"/>
      <c r="X599" s="135"/>
      <c r="Y599" s="136"/>
      <c r="Z599" s="30"/>
      <c r="AA599" s="31" t="str">
        <f>E587</f>
        <v/>
      </c>
    </row>
    <row r="600" ht="87.0" customHeight="1">
      <c r="A600" s="129"/>
      <c r="B600" s="130"/>
      <c r="C600" s="130"/>
      <c r="D600" s="130"/>
      <c r="E600" s="130"/>
      <c r="F600" s="130"/>
      <c r="G600" s="130"/>
      <c r="H600" s="130"/>
      <c r="I600" s="130"/>
      <c r="J600" s="130"/>
      <c r="K600" s="130"/>
      <c r="L600" s="130"/>
      <c r="M600" s="130"/>
      <c r="N600" s="130"/>
      <c r="O600" s="130"/>
      <c r="P600" s="132"/>
      <c r="Q600" s="134"/>
      <c r="R600" s="134"/>
      <c r="S600" s="134"/>
      <c r="T600" s="135"/>
      <c r="U600" s="135"/>
      <c r="V600" s="135" t="str">
        <f>IFERROR(IF(AA600="SEGURIDAD",OFFSET('PARÁMETROS'!$K$2,MATCH(U600,JC_SE,0),MATCH(T600,CC_SE,0)),
IF(OR(AA600="DSRC/Estratégico",AA600="DSRC/Operativo"),OFFSET('PARÁMETROS'!$K$11,MATCH(U600,JC_DS,0),MATCH(T600,CC_DS,0)),
IF(AA600="SALUD",OFFSET('PARÁMETROS'!$K$29,MATCH(U600,JC_SA,0),MATCH(T600,CC_SA,0)),
IF(AA600="MEDIO AMBIENTE",OFFSET('PARÁMETROS'!$K$20,MATCH(U600,JC_MA,0),MATCH(T600,CC_MA,0)),
IF(AA600="Rel. Gubernamentales",OFFSET('PARÁMETROS'!$K$48,MATCH(U600,JC_G,0),MATCH(T600,CC_G,0)),
IF(AA600="OPERACIONAL",OFFSET('PARÁMETROS'!$K$56,MATCH(U600,JC_OP,0),MATCH(T600,CC_OP,0)),
IF(AA600="FINANCIERO",OFFSET('PARÁMETROS'!$K$56,MATCH(U600,JC_FI,0),MATCH(T600,CC_FI,0)),
OFFSET('PARÁMETROS'!$K$38,MATCH(U600,JC_L,0),MATCH(T600,CC_L,0))))))))),"")</f>
        <v/>
      </c>
      <c r="W600" s="130"/>
      <c r="X600" s="135"/>
      <c r="Y600" s="136"/>
      <c r="Z600" s="30"/>
      <c r="AA600" s="31" t="str">
        <f>E587</f>
        <v/>
      </c>
    </row>
    <row r="601" ht="87.0" customHeight="1">
      <c r="A601" s="129"/>
      <c r="B601" s="130"/>
      <c r="C601" s="130"/>
      <c r="D601" s="130"/>
      <c r="E601" s="130"/>
      <c r="F601" s="130"/>
      <c r="G601" s="130"/>
      <c r="H601" s="130"/>
      <c r="I601" s="130"/>
      <c r="J601" s="130"/>
      <c r="K601" s="130"/>
      <c r="L601" s="130"/>
      <c r="M601" s="130"/>
      <c r="N601" s="130"/>
      <c r="O601" s="130"/>
      <c r="P601" s="132"/>
      <c r="Q601" s="134"/>
      <c r="R601" s="134"/>
      <c r="S601" s="134"/>
      <c r="T601" s="135"/>
      <c r="U601" s="135"/>
      <c r="V601" s="135" t="str">
        <f>IFERROR(IF(AA601="SEGURIDAD",OFFSET('PARÁMETROS'!$K$2,MATCH(U601,JC_SE,0),MATCH(T601,CC_SE,0)),
IF(OR(AA601="DSRC/Estratégico",AA601="DSRC/Operativo"),OFFSET('PARÁMETROS'!$K$11,MATCH(U601,JC_DS,0),MATCH(T601,CC_DS,0)),
IF(AA601="SALUD",OFFSET('PARÁMETROS'!$K$29,MATCH(U601,JC_SA,0),MATCH(T601,CC_SA,0)),
IF(AA601="MEDIO AMBIENTE",OFFSET('PARÁMETROS'!$K$20,MATCH(U601,JC_MA,0),MATCH(T601,CC_MA,0)),
IF(AA601="Rel. Gubernamentales",OFFSET('PARÁMETROS'!$K$48,MATCH(U601,JC_G,0),MATCH(T601,CC_G,0)),
IF(AA601="OPERACIONAL",OFFSET('PARÁMETROS'!$K$56,MATCH(U601,JC_OP,0),MATCH(T601,CC_OP,0)),
IF(AA601="FINANCIERO",OFFSET('PARÁMETROS'!$K$56,MATCH(U601,JC_FI,0),MATCH(T601,CC_FI,0)),
OFFSET('PARÁMETROS'!$K$38,MATCH(U601,JC_L,0),MATCH(T601,CC_L,0))))))))),"")</f>
        <v/>
      </c>
      <c r="W601" s="130"/>
      <c r="X601" s="135"/>
      <c r="Y601" s="136"/>
      <c r="Z601" s="30"/>
      <c r="AA601" s="31" t="str">
        <f>E587</f>
        <v/>
      </c>
    </row>
    <row r="602" ht="87.0" customHeight="1">
      <c r="A602" s="89"/>
      <c r="B602" s="90"/>
      <c r="C602" s="90"/>
      <c r="D602" s="157"/>
      <c r="E602" s="157"/>
      <c r="F602" s="157"/>
      <c r="G602" s="157"/>
      <c r="H602" s="157"/>
      <c r="I602" s="90"/>
      <c r="J602" s="90"/>
      <c r="K602" s="90"/>
      <c r="L602" s="90"/>
      <c r="M602" s="90"/>
      <c r="N602" s="90"/>
      <c r="O602" s="90"/>
      <c r="P602" s="132"/>
      <c r="Q602" s="134"/>
      <c r="R602" s="145"/>
      <c r="S602" s="145"/>
      <c r="T602" s="135"/>
      <c r="U602" s="135"/>
      <c r="V602" s="135" t="str">
        <f>IFERROR(IF(AA602="SEGURIDAD",OFFSET('PARÁMETROS'!$K$2,MATCH(U602,JC_SE,0),MATCH(T602,CC_SE,0)),
IF(OR(AA602="DSRC/Estratégico",AA602="DSRC/Operativo"),OFFSET('PARÁMETROS'!$K$11,MATCH(U602,JC_DS,0),MATCH(T602,CC_DS,0)),
IF(AA602="SALUD",OFFSET('PARÁMETROS'!$K$29,MATCH(U602,JC_SA,0),MATCH(T602,CC_SA,0)),
IF(AA602="MEDIO AMBIENTE",OFFSET('PARÁMETROS'!$K$20,MATCH(U602,JC_MA,0),MATCH(T602,CC_MA,0)),
IF(AA602="Rel. Gubernamentales",OFFSET('PARÁMETROS'!$K$48,MATCH(U602,JC_G,0),MATCH(T602,CC_G,0)),
IF(AA602="OPERACIONAL",OFFSET('PARÁMETROS'!$K$56,MATCH(U602,JC_OP,0),MATCH(T602,CC_OP,0)),
IF(AA602="FINANCIERO",OFFSET('PARÁMETROS'!$K$56,MATCH(U602,JC_FI,0),MATCH(T602,CC_FI,0)),
OFFSET('PARÁMETROS'!$K$38,MATCH(U602,JC_L,0),MATCH(T602,CC_L,0))))))))),"")</f>
        <v/>
      </c>
      <c r="W602" s="90"/>
      <c r="X602" s="135"/>
      <c r="Y602" s="136"/>
      <c r="Z602" s="30"/>
      <c r="AA602" s="31" t="str">
        <f>E587</f>
        <v/>
      </c>
    </row>
    <row r="603" ht="87.0" customHeight="1">
      <c r="A603" s="102"/>
      <c r="B603" s="103"/>
      <c r="C603" s="103"/>
      <c r="D603" s="103"/>
      <c r="E603" s="103"/>
      <c r="F603" s="103"/>
      <c r="G603" s="105"/>
      <c r="H603" s="103"/>
      <c r="I603" s="105"/>
      <c r="J603" s="103"/>
      <c r="K603" s="103"/>
      <c r="L603" s="103" t="str">
        <f>IF(OR(J603&lt;&gt;"",K603&lt;&gt;""),OFFSET('PARÁMETROS'!$B$2,K603,J603),"")</f>
        <v/>
      </c>
      <c r="M603" s="103"/>
      <c r="N603" s="103">
        <f>IFERROR(L603*M603,"")</f>
        <v>0</v>
      </c>
      <c r="O603" s="108" t="str">
        <f>IF(N603="","",IFERROR(IF(N603&lt;=2,"ACEPTABLE",IF(N603&lt;=6,"BAJA",IF(N603&lt;=10,"ACEPTABLE CON REVISIÓN",IF(N603&lt;=15,"SUSTANCIAL","INACEPTABLE")))),""))</f>
        <v>ACEPTABLE</v>
      </c>
      <c r="P603" s="113"/>
      <c r="Q603" s="114"/>
      <c r="R603" s="114"/>
      <c r="S603" s="114"/>
      <c r="T603" s="115"/>
      <c r="U603" s="115"/>
      <c r="V603" s="115" t="str">
        <f>IFERROR(IF(AA603="SEGURIDAD",OFFSET('PARÁMETROS'!$K$2,MATCH(U603,JC_SE,0),MATCH(T603,CC_SE,0)),
IF(OR(AA603="DSRC/Estratégico",AA603="DSRC/Operativo"),OFFSET('PARÁMETROS'!$K$11,MATCH(U603,JC_DS,0),MATCH(T603,CC_DS,0)),
IF(AA603="SALUD",OFFSET('PARÁMETROS'!$K$29,MATCH(U603,JC_SA,0),MATCH(T603,CC_SA,0)),
IF(AA603="MEDIO AMBIENTE",OFFSET('PARÁMETROS'!$K$20,MATCH(U603,JC_MA,0),MATCH(T603,CC_MA,0)),
IF(AA603="Rel. Gubernamentales",OFFSET('PARÁMETROS'!$K$48,MATCH(U603,JC_G,0),MATCH(T603,CC_G,0)),
IF(AA603="OPERACIONAL",OFFSET('PARÁMETROS'!$K$56,MATCH(U603,JC_OP,0),MATCH(T603,CC_OP,0)),
IF(AA603="FINANCIERO",OFFSET('PARÁMETROS'!$K$56,MATCH(U603,JC_FI,0),MATCH(T603,CC_FI,0)),
OFFSET('PARÁMETROS'!$K$38,MATCH(U603,JC_L,0),MATCH(T603,CC_L,0))))))))),"")</f>
        <v/>
      </c>
      <c r="W603" s="108" t="str">
        <f>IF(E603="","",
IF(COUNTA(V603:V618)-COUNTBLANK(V603:V618)=1,
IF(O603="INACEPTABLE",IF(COUNTIF(V603:V618,"Control/Acción Eficaz")&gt;=1,"SUSTANCIAL","INACEPTABLE"),
IF(O603="SUSTANCIAL",IF(COUNTIF(V603:V618,"Control/Acción Eficaz")&gt;=1,"ACEPTABLE CON REVISIÓN","SUSTANCIAL"),
IF(O603="ACEPTABLE CON REVISIÓN",IF(COUNTIF(V603:V618,"Control/Acción Eficaz")&gt;=1,"BAJA","ACEPTABLE CON REVISIÓN"),
IF(O603="BAJA",IF(COUNTIF(V603:V618,"Control/Acción Eficaz")&gt;=1,"ACEPTABLE","BAJA"),)))),
IF(COUNTA(V603:V618)-COUNTBLANK(V603:V618)=2,
IF(O603="INACEPTABLE",IF(COUNTIF(V603:V618,"Control/Acción Eficaz")=2,"ACEPTABLE CON REVISIÓN",
IF(OR(AND(COUNTIF(V603:V618,"Control/Acción Eficaz")=1,COUNTIF(V603:V618,"Control/Acción Satisfactorio")=1),
AND(COUNTIF(V603:V618,"Control/Acción Eficaz")=1,COUNTIF(V603:V618,"Control/Acción No Eficaz")=1)),"SUSTANCIAL","INACEPTABLE")),
IF(O603="SUSTANCIAL",IF(COUNTIF(V603:V618,"Control/Acción Eficaz")=2,"BAJA",
IF(OR(AND(COUNTIF(V603:V618,"Control/Acción Eficaz")=1,COUNTIF(V603:V618,"Control/Acción Satisfactorio")=1),
AND(COUNTIF(V603:V618,"Control/Acción Eficaz")=1,COUNTIF(V603:V618,"Control/Acción No Eficaz")=1)),"ACEPTABLE CON REVISIÓN ","SUSTANCIAL")),
IF(O603="ACEPTABLE CON REVISIÓN",IF(COUNTIF(V603:V618,"Control/Acción Eficaz")=2,"ACEPTABLE",
IF(OR(AND(COUNTIF(V603:V618,"Control/Acción Eficaz")=1,COUNTIF(V603:V618,"Control/Acción Satisfactorio")=1),
AND(COUNTIF(V603:V618,"Control/Acción Eficaz")=1,COUNTIF(V603:V618,"Control/Acción No Eficaz")=1)),"BAJA","ACEPTABLE CON REVISIÓN")),
IF(O603="BAJA",IF(COUNTIF(V603:V618,"Control/Acción Eficaz")&gt;=2,"ACEPTABLE","BAJA"),)))),
IF(COUNTA(V603:V618)-COUNTBLANK(V603:V618)&gt;=3,
IF(O603="INACEPTABLE",
IF(COUNTBLANK(V603:V618)=COUNTA(V603:V618),"",
IF(COUNTIF(V603:V618,"Control/Acción No Eficaz")&gt;=2,"INACEPTABLE",
IF(AND(COUNTIF(V603:V618,"Control/Acción No Eficaz")=0,COUNTIF(V603:V618,"Control/Acción Eficaz")&gt;=2),"ACEPTABLE CON REVISIÓN ","SUSTANCIAL"))),
IF(O603="SUSTANCIAL",
IF(COUNTBLANK(V603:V618)=COUNTA(V603:V618),"",
IF(COUNTIF(V603:V618,"Control/Acción No Eficaz")&gt;=2,"SUSTANCIAL",
IF(AND(COUNTIF(V603:V618,"Control/Acción No Eficaz")=0,COUNTIF(V603:V618,"Control/Acción Eficaz")&gt;=2),"BAJA","ACEPTABLE CON REVISIÓN"))),
IF(O603="ACEPTABLE CON REVISIÓN",
IF(COUNTBLANK(V603:V618)=COUNTA(V603:V618),"",
IF(COUNTIF(V603:V618,"Control/Acción No Eficaz")&gt;=2,"ACEPTABLE CON REVISIÓN",
IF(AND(COUNTIF(V603:V618,"Control/Acción No Eficaz")=0,COUNTIF(V603:V618,"Control/Acción Eficaz")&gt;=2),"ACEPTABLE","BAJA"))),
IF(O603="BAJA",
IF(COUNTBLANK(V603:V618)=COUNTA(V603:V618),"",
IF(AND(COUNTBLANK(V603:V618)&lt;1,COUNTA(V603:V618)=1),
IF(COUNTIF(V603:V618,"Control/Acción No Eficaz")&gt;=2,"BAJA",
IF(AND(COUNTIF(V603:V618,"Control/Acción No Eficaz")=0,COUNTIF(V603:V618,"Control/Acción Eficaz")&gt;=2),"ACEPTABLE","BAJA")),
IF(COUNTIF(V603:V618,"Control/Acción No Eficaz")&gt;=2,"BAJA",
IF(AND(COUNTIF(V603:V618,"Control/Acción No Eficaz")=0,COUNTIF(V603:V618,"Control/Acción Eficaz")&gt;=2),"ACEPTABLE","BAJA")))),
IF(COUNTIF(V603:V618,"")&gt;=5,"",O603))))),
""))))</f>
        <v/>
      </c>
      <c r="X603" s="115"/>
      <c r="Y603" s="128"/>
      <c r="Z603" s="30"/>
      <c r="AA603" s="31" t="str">
        <f>E603</f>
        <v/>
      </c>
    </row>
    <row r="604" ht="87.0" customHeight="1">
      <c r="A604" s="129"/>
      <c r="B604" s="130"/>
      <c r="C604" s="130"/>
      <c r="D604" s="130"/>
      <c r="E604" s="130"/>
      <c r="F604" s="130"/>
      <c r="G604" s="130"/>
      <c r="H604" s="130"/>
      <c r="I604" s="130"/>
      <c r="J604" s="130"/>
      <c r="K604" s="130"/>
      <c r="L604" s="130"/>
      <c r="M604" s="130"/>
      <c r="N604" s="130"/>
      <c r="O604" s="130"/>
      <c r="P604" s="132"/>
      <c r="Q604" s="134"/>
      <c r="R604" s="134"/>
      <c r="S604" s="134"/>
      <c r="T604" s="135"/>
      <c r="U604" s="135"/>
      <c r="V604" s="135" t="str">
        <f>IFERROR(IF(AA604="SEGURIDAD",OFFSET('PARÁMETROS'!$K$2,MATCH(U604,JC_SE,0),MATCH(T604,CC_SE,0)),
IF(OR(AA604="DSRC/Estratégico",AA604="DSRC/Operativo"),OFFSET('PARÁMETROS'!$K$11,MATCH(U604,JC_DS,0),MATCH(T604,CC_DS,0)),
IF(AA604="SALUD",OFFSET('PARÁMETROS'!$K$29,MATCH(U604,JC_SA,0),MATCH(T604,CC_SA,0)),
IF(AA604="MEDIO AMBIENTE",OFFSET('PARÁMETROS'!$K$20,MATCH(U604,JC_MA,0),MATCH(T604,CC_MA,0)),
IF(AA604="Rel. Gubernamentales",OFFSET('PARÁMETROS'!$K$48,MATCH(U604,JC_G,0),MATCH(T604,CC_G,0)),
IF(AA604="OPERACIONAL",OFFSET('PARÁMETROS'!$K$56,MATCH(U604,JC_OP,0),MATCH(T604,CC_OP,0)),
IF(AA604="FINANCIERO",OFFSET('PARÁMETROS'!$K$56,MATCH(U604,JC_FI,0),MATCH(T604,CC_FI,0)),
OFFSET('PARÁMETROS'!$K$38,MATCH(U604,JC_L,0),MATCH(T604,CC_L,0))))))))),"")</f>
        <v/>
      </c>
      <c r="W604" s="130"/>
      <c r="X604" s="135"/>
      <c r="Y604" s="136"/>
      <c r="Z604" s="30"/>
      <c r="AA604" s="31" t="str">
        <f>E603</f>
        <v/>
      </c>
    </row>
    <row r="605" ht="87.0" customHeight="1">
      <c r="A605" s="129"/>
      <c r="B605" s="130"/>
      <c r="C605" s="130"/>
      <c r="D605" s="130"/>
      <c r="E605" s="130"/>
      <c r="F605" s="130"/>
      <c r="G605" s="130"/>
      <c r="H605" s="130"/>
      <c r="I605" s="130"/>
      <c r="J605" s="130"/>
      <c r="K605" s="130"/>
      <c r="L605" s="130"/>
      <c r="M605" s="130"/>
      <c r="N605" s="130"/>
      <c r="O605" s="130"/>
      <c r="P605" s="132"/>
      <c r="Q605" s="134"/>
      <c r="R605" s="134"/>
      <c r="S605" s="134"/>
      <c r="T605" s="135"/>
      <c r="U605" s="135"/>
      <c r="V605" s="135" t="str">
        <f>IFERROR(IF(AA605="SEGURIDAD",OFFSET('PARÁMETROS'!$K$2,MATCH(U605,JC_SE,0),MATCH(T605,CC_SE,0)),
IF(OR(AA605="DSRC/Estratégico",AA605="DSRC/Operativo"),OFFSET('PARÁMETROS'!$K$11,MATCH(U605,JC_DS,0),MATCH(T605,CC_DS,0)),
IF(AA605="SALUD",OFFSET('PARÁMETROS'!$K$29,MATCH(U605,JC_SA,0),MATCH(T605,CC_SA,0)),
IF(AA605="MEDIO AMBIENTE",OFFSET('PARÁMETROS'!$K$20,MATCH(U605,JC_MA,0),MATCH(T605,CC_MA,0)),
IF(AA605="Rel. Gubernamentales",OFFSET('PARÁMETROS'!$K$48,MATCH(U605,JC_G,0),MATCH(T605,CC_G,0)),
IF(AA605="OPERACIONAL",OFFSET('PARÁMETROS'!$K$56,MATCH(U605,JC_OP,0),MATCH(T605,CC_OP,0)),
IF(AA605="FINANCIERO",OFFSET('PARÁMETROS'!$K$56,MATCH(U605,JC_FI,0),MATCH(T605,CC_FI,0)),
OFFSET('PARÁMETROS'!$K$38,MATCH(U605,JC_L,0),MATCH(T605,CC_L,0))))))))),"")</f>
        <v/>
      </c>
      <c r="W605" s="130"/>
      <c r="X605" s="135"/>
      <c r="Y605" s="136"/>
      <c r="Z605" s="30"/>
      <c r="AA605" s="31" t="str">
        <f>E603</f>
        <v/>
      </c>
    </row>
    <row r="606" ht="87.0" customHeight="1">
      <c r="A606" s="129"/>
      <c r="B606" s="130"/>
      <c r="C606" s="130"/>
      <c r="D606" s="130"/>
      <c r="E606" s="130"/>
      <c r="F606" s="130"/>
      <c r="G606" s="130"/>
      <c r="H606" s="130"/>
      <c r="I606" s="130"/>
      <c r="J606" s="130"/>
      <c r="K606" s="130"/>
      <c r="L606" s="130"/>
      <c r="M606" s="130"/>
      <c r="N606" s="130"/>
      <c r="O606" s="130"/>
      <c r="P606" s="132"/>
      <c r="Q606" s="134"/>
      <c r="R606" s="134"/>
      <c r="S606" s="134"/>
      <c r="T606" s="135"/>
      <c r="U606" s="135"/>
      <c r="V606" s="135" t="str">
        <f>IFERROR(IF(AA606="SEGURIDAD",OFFSET('PARÁMETROS'!$K$2,MATCH(U606,JC_SE,0),MATCH(T606,CC_SE,0)),
IF(OR(AA606="DSRC/Estratégico",AA606="DSRC/Operativo"),OFFSET('PARÁMETROS'!$K$11,MATCH(U606,JC_DS,0),MATCH(T606,CC_DS,0)),
IF(AA606="SALUD",OFFSET('PARÁMETROS'!$K$29,MATCH(U606,JC_SA,0),MATCH(T606,CC_SA,0)),
IF(AA606="MEDIO AMBIENTE",OFFSET('PARÁMETROS'!$K$20,MATCH(U606,JC_MA,0),MATCH(T606,CC_MA,0)),
IF(AA606="Rel. Gubernamentales",OFFSET('PARÁMETROS'!$K$48,MATCH(U606,JC_G,0),MATCH(T606,CC_G,0)),
IF(AA606="OPERACIONAL",OFFSET('PARÁMETROS'!$K$56,MATCH(U606,JC_OP,0),MATCH(T606,CC_OP,0)),
IF(AA606="FINANCIERO",OFFSET('PARÁMETROS'!$K$56,MATCH(U606,JC_FI,0),MATCH(T606,CC_FI,0)),
OFFSET('PARÁMETROS'!$K$38,MATCH(U606,JC_L,0),MATCH(T606,CC_L,0))))))))),"")</f>
        <v/>
      </c>
      <c r="W606" s="130"/>
      <c r="X606" s="135"/>
      <c r="Y606" s="136"/>
      <c r="Z606" s="30"/>
      <c r="AA606" s="31" t="str">
        <f>E603</f>
        <v/>
      </c>
    </row>
    <row r="607" ht="87.0" customHeight="1">
      <c r="A607" s="129"/>
      <c r="B607" s="130"/>
      <c r="C607" s="130"/>
      <c r="D607" s="130"/>
      <c r="E607" s="130"/>
      <c r="F607" s="130"/>
      <c r="G607" s="130"/>
      <c r="H607" s="130"/>
      <c r="I607" s="130"/>
      <c r="J607" s="130"/>
      <c r="K607" s="130"/>
      <c r="L607" s="130"/>
      <c r="M607" s="130"/>
      <c r="N607" s="130"/>
      <c r="O607" s="130"/>
      <c r="P607" s="132"/>
      <c r="Q607" s="134"/>
      <c r="R607" s="134"/>
      <c r="S607" s="134"/>
      <c r="T607" s="135"/>
      <c r="U607" s="135"/>
      <c r="V607" s="135" t="str">
        <f>IFERROR(IF(AA607="SEGURIDAD",OFFSET('PARÁMETROS'!$K$2,MATCH(U607,JC_SE,0),MATCH(T607,CC_SE,0)),
IF(OR(AA607="DSRC/Estratégico",AA607="DSRC/Operativo"),OFFSET('PARÁMETROS'!$K$11,MATCH(U607,JC_DS,0),MATCH(T607,CC_DS,0)),
IF(AA607="SALUD",OFFSET('PARÁMETROS'!$K$29,MATCH(U607,JC_SA,0),MATCH(T607,CC_SA,0)),
IF(AA607="MEDIO AMBIENTE",OFFSET('PARÁMETROS'!$K$20,MATCH(U607,JC_MA,0),MATCH(T607,CC_MA,0)),
IF(AA607="Rel. Gubernamentales",OFFSET('PARÁMETROS'!$K$48,MATCH(U607,JC_G,0),MATCH(T607,CC_G,0)),
IF(AA607="OPERACIONAL",OFFSET('PARÁMETROS'!$K$56,MATCH(U607,JC_OP,0),MATCH(T607,CC_OP,0)),
IF(AA607="FINANCIERO",OFFSET('PARÁMETROS'!$K$56,MATCH(U607,JC_FI,0),MATCH(T607,CC_FI,0)),
OFFSET('PARÁMETROS'!$K$38,MATCH(U607,JC_L,0),MATCH(T607,CC_L,0))))))))),"")</f>
        <v/>
      </c>
      <c r="W607" s="130"/>
      <c r="X607" s="135"/>
      <c r="Y607" s="136"/>
      <c r="Z607" s="30"/>
      <c r="AA607" s="31" t="str">
        <f>E603</f>
        <v/>
      </c>
    </row>
    <row r="608" ht="87.0" customHeight="1">
      <c r="A608" s="129"/>
      <c r="B608" s="130"/>
      <c r="C608" s="130"/>
      <c r="D608" s="130"/>
      <c r="E608" s="130"/>
      <c r="F608" s="130"/>
      <c r="G608" s="130"/>
      <c r="H608" s="130"/>
      <c r="I608" s="130"/>
      <c r="J608" s="130"/>
      <c r="K608" s="130"/>
      <c r="L608" s="130"/>
      <c r="M608" s="130"/>
      <c r="N608" s="130"/>
      <c r="O608" s="130"/>
      <c r="P608" s="132"/>
      <c r="Q608" s="134"/>
      <c r="R608" s="134"/>
      <c r="S608" s="134"/>
      <c r="T608" s="135"/>
      <c r="U608" s="135"/>
      <c r="V608" s="135" t="str">
        <f>IFERROR(IF(AA608="SEGURIDAD",OFFSET('PARÁMETROS'!$K$2,MATCH(U608,JC_SE,0),MATCH(T608,CC_SE,0)),
IF(OR(AA608="DSRC/Estratégico",AA608="DSRC/Operativo"),OFFSET('PARÁMETROS'!$K$11,MATCH(U608,JC_DS,0),MATCH(T608,CC_DS,0)),
IF(AA608="SALUD",OFFSET('PARÁMETROS'!$K$29,MATCH(U608,JC_SA,0),MATCH(T608,CC_SA,0)),
IF(AA608="MEDIO AMBIENTE",OFFSET('PARÁMETROS'!$K$20,MATCH(U608,JC_MA,0),MATCH(T608,CC_MA,0)),
IF(AA608="Rel. Gubernamentales",OFFSET('PARÁMETROS'!$K$48,MATCH(U608,JC_G,0),MATCH(T608,CC_G,0)),
IF(AA608="OPERACIONAL",OFFSET('PARÁMETROS'!$K$56,MATCH(U608,JC_OP,0),MATCH(T608,CC_OP,0)),
IF(AA608="FINANCIERO",OFFSET('PARÁMETROS'!$K$56,MATCH(U608,JC_FI,0),MATCH(T608,CC_FI,0)),
OFFSET('PARÁMETROS'!$K$38,MATCH(U608,JC_L,0),MATCH(T608,CC_L,0))))))))),"")</f>
        <v/>
      </c>
      <c r="W608" s="130"/>
      <c r="X608" s="135"/>
      <c r="Y608" s="136"/>
      <c r="Z608" s="30"/>
      <c r="AA608" s="31" t="str">
        <f>E603</f>
        <v/>
      </c>
    </row>
    <row r="609" ht="87.0" customHeight="1">
      <c r="A609" s="129"/>
      <c r="B609" s="130"/>
      <c r="C609" s="130"/>
      <c r="D609" s="130"/>
      <c r="E609" s="130"/>
      <c r="F609" s="130"/>
      <c r="G609" s="130"/>
      <c r="H609" s="130"/>
      <c r="I609" s="130"/>
      <c r="J609" s="130"/>
      <c r="K609" s="130"/>
      <c r="L609" s="130"/>
      <c r="M609" s="130"/>
      <c r="N609" s="130"/>
      <c r="O609" s="130"/>
      <c r="P609" s="132"/>
      <c r="Q609" s="134"/>
      <c r="R609" s="134"/>
      <c r="S609" s="134"/>
      <c r="T609" s="135"/>
      <c r="U609" s="135"/>
      <c r="V609" s="135" t="str">
        <f>IFERROR(IF(AA609="SEGURIDAD",OFFSET('PARÁMETROS'!$K$2,MATCH(U609,JC_SE,0),MATCH(T609,CC_SE,0)),
IF(OR(AA609="DSRC/Estratégico",AA609="DSRC/Operativo"),OFFSET('PARÁMETROS'!$K$11,MATCH(U609,JC_DS,0),MATCH(T609,CC_DS,0)),
IF(AA609="SALUD",OFFSET('PARÁMETROS'!$K$29,MATCH(U609,JC_SA,0),MATCH(T609,CC_SA,0)),
IF(AA609="MEDIO AMBIENTE",OFFSET('PARÁMETROS'!$K$20,MATCH(U609,JC_MA,0),MATCH(T609,CC_MA,0)),
IF(AA609="Rel. Gubernamentales",OFFSET('PARÁMETROS'!$K$48,MATCH(U609,JC_G,0),MATCH(T609,CC_G,0)),
IF(AA609="OPERACIONAL",OFFSET('PARÁMETROS'!$K$56,MATCH(U609,JC_OP,0),MATCH(T609,CC_OP,0)),
IF(AA609="FINANCIERO",OFFSET('PARÁMETROS'!$K$56,MATCH(U609,JC_FI,0),MATCH(T609,CC_FI,0)),
OFFSET('PARÁMETROS'!$K$38,MATCH(U609,JC_L,0),MATCH(T609,CC_L,0))))))))),"")</f>
        <v/>
      </c>
      <c r="W609" s="130"/>
      <c r="X609" s="135"/>
      <c r="Y609" s="136"/>
      <c r="Z609" s="30"/>
      <c r="AA609" s="31" t="str">
        <f>E603</f>
        <v/>
      </c>
    </row>
    <row r="610" ht="87.0" customHeight="1">
      <c r="A610" s="129"/>
      <c r="B610" s="130"/>
      <c r="C610" s="130"/>
      <c r="D610" s="130"/>
      <c r="E610" s="130"/>
      <c r="F610" s="130"/>
      <c r="G610" s="130"/>
      <c r="H610" s="130"/>
      <c r="I610" s="130"/>
      <c r="J610" s="130"/>
      <c r="K610" s="130"/>
      <c r="L610" s="130"/>
      <c r="M610" s="130"/>
      <c r="N610" s="130"/>
      <c r="O610" s="130"/>
      <c r="P610" s="132"/>
      <c r="Q610" s="134"/>
      <c r="R610" s="134"/>
      <c r="S610" s="134"/>
      <c r="T610" s="135"/>
      <c r="U610" s="135"/>
      <c r="V610" s="135" t="str">
        <f>IFERROR(IF(AA610="SEGURIDAD",OFFSET('PARÁMETROS'!$K$2,MATCH(U610,JC_SE,0),MATCH(T610,CC_SE,0)),
IF(OR(AA610="DSRC/Estratégico",AA610="DSRC/Operativo"),OFFSET('PARÁMETROS'!$K$11,MATCH(U610,JC_DS,0),MATCH(T610,CC_DS,0)),
IF(AA610="SALUD",OFFSET('PARÁMETROS'!$K$29,MATCH(U610,JC_SA,0),MATCH(T610,CC_SA,0)),
IF(AA610="MEDIO AMBIENTE",OFFSET('PARÁMETROS'!$K$20,MATCH(U610,JC_MA,0),MATCH(T610,CC_MA,0)),
IF(AA610="Rel. Gubernamentales",OFFSET('PARÁMETROS'!$K$48,MATCH(U610,JC_G,0),MATCH(T610,CC_G,0)),
IF(AA610="OPERACIONAL",OFFSET('PARÁMETROS'!$K$56,MATCH(U610,JC_OP,0),MATCH(T610,CC_OP,0)),
IF(AA610="FINANCIERO",OFFSET('PARÁMETROS'!$K$56,MATCH(U610,JC_FI,0),MATCH(T610,CC_FI,0)),
OFFSET('PARÁMETROS'!$K$38,MATCH(U610,JC_L,0),MATCH(T610,CC_L,0))))))))),"")</f>
        <v/>
      </c>
      <c r="W610" s="130"/>
      <c r="X610" s="135"/>
      <c r="Y610" s="136"/>
      <c r="Z610" s="30"/>
      <c r="AA610" s="31" t="str">
        <f>E603</f>
        <v/>
      </c>
    </row>
    <row r="611" ht="87.0" customHeight="1">
      <c r="A611" s="129"/>
      <c r="B611" s="130"/>
      <c r="C611" s="130"/>
      <c r="D611" s="130"/>
      <c r="E611" s="130"/>
      <c r="F611" s="130"/>
      <c r="G611" s="130"/>
      <c r="H611" s="130"/>
      <c r="I611" s="130"/>
      <c r="J611" s="130"/>
      <c r="K611" s="130"/>
      <c r="L611" s="130"/>
      <c r="M611" s="130"/>
      <c r="N611" s="130"/>
      <c r="O611" s="130"/>
      <c r="P611" s="132"/>
      <c r="Q611" s="134"/>
      <c r="R611" s="134"/>
      <c r="S611" s="134"/>
      <c r="T611" s="135"/>
      <c r="U611" s="135"/>
      <c r="V611" s="135" t="str">
        <f>IFERROR(IF(AA611="SEGURIDAD",OFFSET('PARÁMETROS'!$K$2,MATCH(U611,JC_SE,0),MATCH(T611,CC_SE,0)),
IF(OR(AA611="DSRC/Estratégico",AA611="DSRC/Operativo"),OFFSET('PARÁMETROS'!$K$11,MATCH(U611,JC_DS,0),MATCH(T611,CC_DS,0)),
IF(AA611="SALUD",OFFSET('PARÁMETROS'!$K$29,MATCH(U611,JC_SA,0),MATCH(T611,CC_SA,0)),
IF(AA611="MEDIO AMBIENTE",OFFSET('PARÁMETROS'!$K$20,MATCH(U611,JC_MA,0),MATCH(T611,CC_MA,0)),
IF(AA611="Rel. Gubernamentales",OFFSET('PARÁMETROS'!$K$48,MATCH(U611,JC_G,0),MATCH(T611,CC_G,0)),
IF(AA611="OPERACIONAL",OFFSET('PARÁMETROS'!$K$56,MATCH(U611,JC_OP,0),MATCH(T611,CC_OP,0)),
IF(AA611="FINANCIERO",OFFSET('PARÁMETROS'!$K$56,MATCH(U611,JC_FI,0),MATCH(T611,CC_FI,0)),
OFFSET('PARÁMETROS'!$K$38,MATCH(U611,JC_L,0),MATCH(T611,CC_L,0))))))))),"")</f>
        <v/>
      </c>
      <c r="W611" s="130"/>
      <c r="X611" s="135"/>
      <c r="Y611" s="136"/>
      <c r="Z611" s="30"/>
      <c r="AA611" s="31" t="str">
        <f>E603</f>
        <v/>
      </c>
    </row>
    <row r="612" ht="87.0" customHeight="1">
      <c r="A612" s="129"/>
      <c r="B612" s="130"/>
      <c r="C612" s="130"/>
      <c r="D612" s="130"/>
      <c r="E612" s="130"/>
      <c r="F612" s="130"/>
      <c r="G612" s="130"/>
      <c r="H612" s="130"/>
      <c r="I612" s="130"/>
      <c r="J612" s="130"/>
      <c r="K612" s="130"/>
      <c r="L612" s="130"/>
      <c r="M612" s="130"/>
      <c r="N612" s="130"/>
      <c r="O612" s="130"/>
      <c r="P612" s="132"/>
      <c r="Q612" s="134"/>
      <c r="R612" s="134"/>
      <c r="S612" s="134"/>
      <c r="T612" s="135"/>
      <c r="U612" s="135"/>
      <c r="V612" s="135" t="str">
        <f>IFERROR(IF(AA612="SEGURIDAD",OFFSET('PARÁMETROS'!$K$2,MATCH(U612,JC_SE,0),MATCH(T612,CC_SE,0)),
IF(OR(AA612="DSRC/Estratégico",AA612="DSRC/Operativo"),OFFSET('PARÁMETROS'!$K$11,MATCH(U612,JC_DS,0),MATCH(T612,CC_DS,0)),
IF(AA612="SALUD",OFFSET('PARÁMETROS'!$K$29,MATCH(U612,JC_SA,0),MATCH(T612,CC_SA,0)),
IF(AA612="MEDIO AMBIENTE",OFFSET('PARÁMETROS'!$K$20,MATCH(U612,JC_MA,0),MATCH(T612,CC_MA,0)),
IF(AA612="Rel. Gubernamentales",OFFSET('PARÁMETROS'!$K$48,MATCH(U612,JC_G,0),MATCH(T612,CC_G,0)),
IF(AA612="OPERACIONAL",OFFSET('PARÁMETROS'!$K$56,MATCH(U612,JC_OP,0),MATCH(T612,CC_OP,0)),
IF(AA612="FINANCIERO",OFFSET('PARÁMETROS'!$K$56,MATCH(U612,JC_FI,0),MATCH(T612,CC_FI,0)),
OFFSET('PARÁMETROS'!$K$38,MATCH(U612,JC_L,0),MATCH(T612,CC_L,0))))))))),"")</f>
        <v/>
      </c>
      <c r="W612" s="130"/>
      <c r="X612" s="135"/>
      <c r="Y612" s="136"/>
      <c r="Z612" s="30"/>
      <c r="AA612" s="31" t="str">
        <f>E603</f>
        <v/>
      </c>
    </row>
    <row r="613" ht="87.0" customHeight="1">
      <c r="A613" s="129"/>
      <c r="B613" s="130"/>
      <c r="C613" s="130"/>
      <c r="D613" s="130"/>
      <c r="E613" s="130"/>
      <c r="F613" s="130"/>
      <c r="G613" s="130"/>
      <c r="H613" s="130"/>
      <c r="I613" s="130"/>
      <c r="J613" s="130"/>
      <c r="K613" s="130"/>
      <c r="L613" s="130"/>
      <c r="M613" s="130"/>
      <c r="N613" s="130"/>
      <c r="O613" s="130"/>
      <c r="P613" s="132"/>
      <c r="Q613" s="134"/>
      <c r="R613" s="134"/>
      <c r="S613" s="134"/>
      <c r="T613" s="135"/>
      <c r="U613" s="135"/>
      <c r="V613" s="135" t="str">
        <f>IFERROR(IF(AA613="SEGURIDAD",OFFSET('PARÁMETROS'!$K$2,MATCH(U613,JC_SE,0),MATCH(T613,CC_SE,0)),
IF(OR(AA613="DSRC/Estratégico",AA613="DSRC/Operativo"),OFFSET('PARÁMETROS'!$K$11,MATCH(U613,JC_DS,0),MATCH(T613,CC_DS,0)),
IF(AA613="SALUD",OFFSET('PARÁMETROS'!$K$29,MATCH(U613,JC_SA,0),MATCH(T613,CC_SA,0)),
IF(AA613="MEDIO AMBIENTE",OFFSET('PARÁMETROS'!$K$20,MATCH(U613,JC_MA,0),MATCH(T613,CC_MA,0)),
IF(AA613="Rel. Gubernamentales",OFFSET('PARÁMETROS'!$K$48,MATCH(U613,JC_G,0),MATCH(T613,CC_G,0)),
IF(AA613="OPERACIONAL",OFFSET('PARÁMETROS'!$K$56,MATCH(U613,JC_OP,0),MATCH(T613,CC_OP,0)),
IF(AA613="FINANCIERO",OFFSET('PARÁMETROS'!$K$56,MATCH(U613,JC_FI,0),MATCH(T613,CC_FI,0)),
OFFSET('PARÁMETROS'!$K$38,MATCH(U613,JC_L,0),MATCH(T613,CC_L,0))))))))),"")</f>
        <v/>
      </c>
      <c r="W613" s="130"/>
      <c r="X613" s="135"/>
      <c r="Y613" s="136"/>
      <c r="Z613" s="30"/>
      <c r="AA613" s="31" t="str">
        <f>E603</f>
        <v/>
      </c>
    </row>
    <row r="614" ht="87.0" customHeight="1">
      <c r="A614" s="129"/>
      <c r="B614" s="130"/>
      <c r="C614" s="130"/>
      <c r="D614" s="130"/>
      <c r="E614" s="130"/>
      <c r="F614" s="130"/>
      <c r="G614" s="130"/>
      <c r="H614" s="130"/>
      <c r="I614" s="130"/>
      <c r="J614" s="130"/>
      <c r="K614" s="130"/>
      <c r="L614" s="130"/>
      <c r="M614" s="130"/>
      <c r="N614" s="130"/>
      <c r="O614" s="130"/>
      <c r="P614" s="132"/>
      <c r="Q614" s="134"/>
      <c r="R614" s="134"/>
      <c r="S614" s="134"/>
      <c r="T614" s="135"/>
      <c r="U614" s="135"/>
      <c r="V614" s="135" t="str">
        <f>IFERROR(IF(AA614="SEGURIDAD",OFFSET('PARÁMETROS'!$K$2,MATCH(U614,JC_SE,0),MATCH(T614,CC_SE,0)),
IF(OR(AA614="DSRC/Estratégico",AA614="DSRC/Operativo"),OFFSET('PARÁMETROS'!$K$11,MATCH(U614,JC_DS,0),MATCH(T614,CC_DS,0)),
IF(AA614="SALUD",OFFSET('PARÁMETROS'!$K$29,MATCH(U614,JC_SA,0),MATCH(T614,CC_SA,0)),
IF(AA614="MEDIO AMBIENTE",OFFSET('PARÁMETROS'!$K$20,MATCH(U614,JC_MA,0),MATCH(T614,CC_MA,0)),
IF(AA614="Rel. Gubernamentales",OFFSET('PARÁMETROS'!$K$48,MATCH(U614,JC_G,0),MATCH(T614,CC_G,0)),
IF(AA614="OPERACIONAL",OFFSET('PARÁMETROS'!$K$56,MATCH(U614,JC_OP,0),MATCH(T614,CC_OP,0)),
IF(AA614="FINANCIERO",OFFSET('PARÁMETROS'!$K$56,MATCH(U614,JC_FI,0),MATCH(T614,CC_FI,0)),
OFFSET('PARÁMETROS'!$K$38,MATCH(U614,JC_L,0),MATCH(T614,CC_L,0))))))))),"")</f>
        <v/>
      </c>
      <c r="W614" s="130"/>
      <c r="X614" s="135"/>
      <c r="Y614" s="136"/>
      <c r="Z614" s="30"/>
      <c r="AA614" s="31" t="str">
        <f>E603</f>
        <v/>
      </c>
    </row>
    <row r="615" ht="87.0" customHeight="1">
      <c r="A615" s="129"/>
      <c r="B615" s="130"/>
      <c r="C615" s="130"/>
      <c r="D615" s="130"/>
      <c r="E615" s="130"/>
      <c r="F615" s="130"/>
      <c r="G615" s="130"/>
      <c r="H615" s="130"/>
      <c r="I615" s="130"/>
      <c r="J615" s="130"/>
      <c r="K615" s="130"/>
      <c r="L615" s="130"/>
      <c r="M615" s="130"/>
      <c r="N615" s="130"/>
      <c r="O615" s="130"/>
      <c r="P615" s="132"/>
      <c r="Q615" s="134"/>
      <c r="R615" s="134"/>
      <c r="S615" s="134"/>
      <c r="T615" s="135"/>
      <c r="U615" s="135"/>
      <c r="V615" s="135" t="str">
        <f>IFERROR(IF(AA615="SEGURIDAD",OFFSET('PARÁMETROS'!$K$2,MATCH(U615,JC_SE,0),MATCH(T615,CC_SE,0)),
IF(OR(AA615="DSRC/Estratégico",AA615="DSRC/Operativo"),OFFSET('PARÁMETROS'!$K$11,MATCH(U615,JC_DS,0),MATCH(T615,CC_DS,0)),
IF(AA615="SALUD",OFFSET('PARÁMETROS'!$K$29,MATCH(U615,JC_SA,0),MATCH(T615,CC_SA,0)),
IF(AA615="MEDIO AMBIENTE",OFFSET('PARÁMETROS'!$K$20,MATCH(U615,JC_MA,0),MATCH(T615,CC_MA,0)),
IF(AA615="Rel. Gubernamentales",OFFSET('PARÁMETROS'!$K$48,MATCH(U615,JC_G,0),MATCH(T615,CC_G,0)),
IF(AA615="OPERACIONAL",OFFSET('PARÁMETROS'!$K$56,MATCH(U615,JC_OP,0),MATCH(T615,CC_OP,0)),
IF(AA615="FINANCIERO",OFFSET('PARÁMETROS'!$K$56,MATCH(U615,JC_FI,0),MATCH(T615,CC_FI,0)),
OFFSET('PARÁMETROS'!$K$38,MATCH(U615,JC_L,0),MATCH(T615,CC_L,0))))))))),"")</f>
        <v/>
      </c>
      <c r="W615" s="130"/>
      <c r="X615" s="135"/>
      <c r="Y615" s="136"/>
      <c r="Z615" s="30"/>
      <c r="AA615" s="31" t="str">
        <f>E603</f>
        <v/>
      </c>
    </row>
    <row r="616" ht="87.0" customHeight="1">
      <c r="A616" s="129"/>
      <c r="B616" s="130"/>
      <c r="C616" s="130"/>
      <c r="D616" s="130"/>
      <c r="E616" s="130"/>
      <c r="F616" s="130"/>
      <c r="G616" s="130"/>
      <c r="H616" s="130"/>
      <c r="I616" s="130"/>
      <c r="J616" s="130"/>
      <c r="K616" s="130"/>
      <c r="L616" s="130"/>
      <c r="M616" s="130"/>
      <c r="N616" s="130"/>
      <c r="O616" s="130"/>
      <c r="P616" s="132"/>
      <c r="Q616" s="134"/>
      <c r="R616" s="134"/>
      <c r="S616" s="134"/>
      <c r="T616" s="135"/>
      <c r="U616" s="135"/>
      <c r="V616" s="135" t="str">
        <f>IFERROR(IF(AA616="SEGURIDAD",OFFSET('PARÁMETROS'!$K$2,MATCH(U616,JC_SE,0),MATCH(T616,CC_SE,0)),
IF(OR(AA616="DSRC/Estratégico",AA616="DSRC/Operativo"),OFFSET('PARÁMETROS'!$K$11,MATCH(U616,JC_DS,0),MATCH(T616,CC_DS,0)),
IF(AA616="SALUD",OFFSET('PARÁMETROS'!$K$29,MATCH(U616,JC_SA,0),MATCH(T616,CC_SA,0)),
IF(AA616="MEDIO AMBIENTE",OFFSET('PARÁMETROS'!$K$20,MATCH(U616,JC_MA,0),MATCH(T616,CC_MA,0)),
IF(AA616="Rel. Gubernamentales",OFFSET('PARÁMETROS'!$K$48,MATCH(U616,JC_G,0),MATCH(T616,CC_G,0)),
IF(AA616="OPERACIONAL",OFFSET('PARÁMETROS'!$K$56,MATCH(U616,JC_OP,0),MATCH(T616,CC_OP,0)),
IF(AA616="FINANCIERO",OFFSET('PARÁMETROS'!$K$56,MATCH(U616,JC_FI,0),MATCH(T616,CC_FI,0)),
OFFSET('PARÁMETROS'!$K$38,MATCH(U616,JC_L,0),MATCH(T616,CC_L,0))))))))),"")</f>
        <v/>
      </c>
      <c r="W616" s="130"/>
      <c r="X616" s="135"/>
      <c r="Y616" s="136"/>
      <c r="Z616" s="30"/>
      <c r="AA616" s="31" t="str">
        <f>E603</f>
        <v/>
      </c>
    </row>
    <row r="617" ht="87.0" customHeight="1">
      <c r="A617" s="129"/>
      <c r="B617" s="130"/>
      <c r="C617" s="130"/>
      <c r="D617" s="130"/>
      <c r="E617" s="130"/>
      <c r="F617" s="130"/>
      <c r="G617" s="130"/>
      <c r="H617" s="130"/>
      <c r="I617" s="130"/>
      <c r="J617" s="130"/>
      <c r="K617" s="130"/>
      <c r="L617" s="130"/>
      <c r="M617" s="130"/>
      <c r="N617" s="130"/>
      <c r="O617" s="130"/>
      <c r="P617" s="132"/>
      <c r="Q617" s="134"/>
      <c r="R617" s="134"/>
      <c r="S617" s="134"/>
      <c r="T617" s="135"/>
      <c r="U617" s="135"/>
      <c r="V617" s="135" t="str">
        <f>IFERROR(IF(AA617="SEGURIDAD",OFFSET('PARÁMETROS'!$K$2,MATCH(U617,JC_SE,0),MATCH(T617,CC_SE,0)),
IF(OR(AA617="DSRC/Estratégico",AA617="DSRC/Operativo"),OFFSET('PARÁMETROS'!$K$11,MATCH(U617,JC_DS,0),MATCH(T617,CC_DS,0)),
IF(AA617="SALUD",OFFSET('PARÁMETROS'!$K$29,MATCH(U617,JC_SA,0),MATCH(T617,CC_SA,0)),
IF(AA617="MEDIO AMBIENTE",OFFSET('PARÁMETROS'!$K$20,MATCH(U617,JC_MA,0),MATCH(T617,CC_MA,0)),
IF(AA617="Rel. Gubernamentales",OFFSET('PARÁMETROS'!$K$48,MATCH(U617,JC_G,0),MATCH(T617,CC_G,0)),
IF(AA617="OPERACIONAL",OFFSET('PARÁMETROS'!$K$56,MATCH(U617,JC_OP,0),MATCH(T617,CC_OP,0)),
IF(AA617="FINANCIERO",OFFSET('PARÁMETROS'!$K$56,MATCH(U617,JC_FI,0),MATCH(T617,CC_FI,0)),
OFFSET('PARÁMETROS'!$K$38,MATCH(U617,JC_L,0),MATCH(T617,CC_L,0))))))))),"")</f>
        <v/>
      </c>
      <c r="W617" s="130"/>
      <c r="X617" s="135"/>
      <c r="Y617" s="136"/>
      <c r="Z617" s="30"/>
      <c r="AA617" s="31" t="str">
        <f>E603</f>
        <v/>
      </c>
    </row>
    <row r="618" ht="87.0" customHeight="1">
      <c r="A618" s="89"/>
      <c r="B618" s="90"/>
      <c r="C618" s="90"/>
      <c r="D618" s="157"/>
      <c r="E618" s="157"/>
      <c r="F618" s="157"/>
      <c r="G618" s="157"/>
      <c r="H618" s="157"/>
      <c r="I618" s="90"/>
      <c r="J618" s="90"/>
      <c r="K618" s="90"/>
      <c r="L618" s="90"/>
      <c r="M618" s="90"/>
      <c r="N618" s="90"/>
      <c r="O618" s="90"/>
      <c r="P618" s="132"/>
      <c r="Q618" s="134"/>
      <c r="R618" s="145"/>
      <c r="S618" s="145"/>
      <c r="T618" s="135"/>
      <c r="U618" s="135"/>
      <c r="V618" s="135" t="str">
        <f>IFERROR(IF(AA618="SEGURIDAD",OFFSET('PARÁMETROS'!$K$2,MATCH(U618,JC_SE,0),MATCH(T618,CC_SE,0)),
IF(OR(AA618="DSRC/Estratégico",AA618="DSRC/Operativo"),OFFSET('PARÁMETROS'!$K$11,MATCH(U618,JC_DS,0),MATCH(T618,CC_DS,0)),
IF(AA618="SALUD",OFFSET('PARÁMETROS'!$K$29,MATCH(U618,JC_SA,0),MATCH(T618,CC_SA,0)),
IF(AA618="MEDIO AMBIENTE",OFFSET('PARÁMETROS'!$K$20,MATCH(U618,JC_MA,0),MATCH(T618,CC_MA,0)),
IF(AA618="Rel. Gubernamentales",OFFSET('PARÁMETROS'!$K$48,MATCH(U618,JC_G,0),MATCH(T618,CC_G,0)),
IF(AA618="OPERACIONAL",OFFSET('PARÁMETROS'!$K$56,MATCH(U618,JC_OP,0),MATCH(T618,CC_OP,0)),
IF(AA618="FINANCIERO",OFFSET('PARÁMETROS'!$K$56,MATCH(U618,JC_FI,0),MATCH(T618,CC_FI,0)),
OFFSET('PARÁMETROS'!$K$38,MATCH(U618,JC_L,0),MATCH(T618,CC_L,0))))))))),"")</f>
        <v/>
      </c>
      <c r="W618" s="90"/>
      <c r="X618" s="135"/>
      <c r="Y618" s="136"/>
      <c r="Z618" s="30"/>
      <c r="AA618" s="31" t="str">
        <f>E603</f>
        <v/>
      </c>
    </row>
    <row r="619" ht="87.0" customHeight="1">
      <c r="A619" s="102"/>
      <c r="B619" s="103"/>
      <c r="C619" s="103"/>
      <c r="D619" s="103"/>
      <c r="E619" s="103"/>
      <c r="F619" s="103"/>
      <c r="G619" s="105"/>
      <c r="H619" s="103"/>
      <c r="I619" s="105"/>
      <c r="J619" s="103"/>
      <c r="K619" s="103"/>
      <c r="L619" s="103" t="str">
        <f>IF(OR(J619&lt;&gt;"",K619&lt;&gt;""),OFFSET('PARÁMETROS'!$B$2,K619,J619),"")</f>
        <v/>
      </c>
      <c r="M619" s="103"/>
      <c r="N619" s="103">
        <f>IFERROR(L619*M619,"")</f>
        <v>0</v>
      </c>
      <c r="O619" s="108" t="str">
        <f>IF(N619="","",IFERROR(IF(N619&lt;=2,"ACEPTABLE",IF(N619&lt;=6,"BAJA",IF(N619&lt;=10,"ACEPTABLE CON REVISIÓN",IF(N619&lt;=15,"SUSTANCIAL","INACEPTABLE")))),""))</f>
        <v>ACEPTABLE</v>
      </c>
      <c r="P619" s="113"/>
      <c r="Q619" s="114"/>
      <c r="R619" s="114"/>
      <c r="S619" s="114"/>
      <c r="T619" s="115"/>
      <c r="U619" s="115"/>
      <c r="V619" s="115" t="str">
        <f>IFERROR(IF(AA619="SEGURIDAD",OFFSET('PARÁMETROS'!$K$2,MATCH(U619,JC_SE,0),MATCH(T619,CC_SE,0)),
IF(OR(AA619="DSRC/Estratégico",AA619="DSRC/Operativo"),OFFSET('PARÁMETROS'!$K$11,MATCH(U619,JC_DS,0),MATCH(T619,CC_DS,0)),
IF(AA619="SALUD",OFFSET('PARÁMETROS'!$K$29,MATCH(U619,JC_SA,0),MATCH(T619,CC_SA,0)),
IF(AA619="MEDIO AMBIENTE",OFFSET('PARÁMETROS'!$K$20,MATCH(U619,JC_MA,0),MATCH(T619,CC_MA,0)),
IF(AA619="Rel. Gubernamentales",OFFSET('PARÁMETROS'!$K$48,MATCH(U619,JC_G,0),MATCH(T619,CC_G,0)),
IF(AA619="OPERACIONAL",OFFSET('PARÁMETROS'!$K$56,MATCH(U619,JC_OP,0),MATCH(T619,CC_OP,0)),
IF(AA619="FINANCIERO",OFFSET('PARÁMETROS'!$K$56,MATCH(U619,JC_FI,0),MATCH(T619,CC_FI,0)),
OFFSET('PARÁMETROS'!$K$38,MATCH(U619,JC_L,0),MATCH(T619,CC_L,0))))))))),"")</f>
        <v/>
      </c>
      <c r="W619" s="108" t="str">
        <f>IF(E619="","",
IF(COUNTA(V619:V634)-COUNTBLANK(V619:V634)=1,
IF(O619="INACEPTABLE",IF(COUNTIF(V619:V634,"Control/Acción Eficaz")&gt;=1,"SUSTANCIAL","INACEPTABLE"),
IF(O619="SUSTANCIAL",IF(COUNTIF(V619:V634,"Control/Acción Eficaz")&gt;=1,"ACEPTABLE CON REVISIÓN","SUSTANCIAL"),
IF(O619="ACEPTABLE CON REVISIÓN",IF(COUNTIF(V619:V634,"Control/Acción Eficaz")&gt;=1,"BAJA","ACEPTABLE CON REVISIÓN"),
IF(O619="BAJA",IF(COUNTIF(V619:V634,"Control/Acción Eficaz")&gt;=1,"ACEPTABLE","BAJA"),)))),
IF(COUNTA(V619:V634)-COUNTBLANK(V619:V634)=2,
IF(O619="INACEPTABLE",IF(COUNTIF(V619:V634,"Control/Acción Eficaz")=2,"ACEPTABLE CON REVISIÓN",
IF(OR(AND(COUNTIF(V619:V634,"Control/Acción Eficaz")=1,COUNTIF(V619:V634,"Control/Acción Satisfactorio")=1),
AND(COUNTIF(V619:V634,"Control/Acción Eficaz")=1,COUNTIF(V619:V634,"Control/Acción No Eficaz")=1)),"SUSTANCIAL","INACEPTABLE")),
IF(O619="SUSTANCIAL",IF(COUNTIF(V619:V634,"Control/Acción Eficaz")=2,"BAJA",
IF(OR(AND(COUNTIF(V619:V634,"Control/Acción Eficaz")=1,COUNTIF(V619:V634,"Control/Acción Satisfactorio")=1),
AND(COUNTIF(V619:V634,"Control/Acción Eficaz")=1,COUNTIF(V619:V634,"Control/Acción No Eficaz")=1)),"ACEPTABLE CON REVISIÓN ","SUSTANCIAL")),
IF(O619="ACEPTABLE CON REVISIÓN",IF(COUNTIF(V619:V634,"Control/Acción Eficaz")=2,"ACEPTABLE",
IF(OR(AND(COUNTIF(V619:V634,"Control/Acción Eficaz")=1,COUNTIF(V619:V634,"Control/Acción Satisfactorio")=1),
AND(COUNTIF(V619:V634,"Control/Acción Eficaz")=1,COUNTIF(V619:V634,"Control/Acción No Eficaz")=1)),"BAJA","ACEPTABLE CON REVISIÓN")),
IF(O619="BAJA",IF(COUNTIF(V619:V634,"Control/Acción Eficaz")&gt;=2,"ACEPTABLE","BAJA"),)))),
IF(COUNTA(V619:V634)-COUNTBLANK(V619:V634)&gt;=3,
IF(O619="INACEPTABLE",
IF(COUNTBLANK(V619:V634)=COUNTA(V619:V634),"",
IF(COUNTIF(V619:V634,"Control/Acción No Eficaz")&gt;=2,"INACEPTABLE",
IF(AND(COUNTIF(V619:V634,"Control/Acción No Eficaz")=0,COUNTIF(V619:V634,"Control/Acción Eficaz")&gt;=2),"ACEPTABLE CON REVISIÓN ","SUSTANCIAL"))),
IF(O619="SUSTANCIAL",
IF(COUNTBLANK(V619:V634)=COUNTA(V619:V634),"",
IF(COUNTIF(V619:V634,"Control/Acción No Eficaz")&gt;=2,"SUSTANCIAL",
IF(AND(COUNTIF(V619:V634,"Control/Acción No Eficaz")=0,COUNTIF(V619:V634,"Control/Acción Eficaz")&gt;=2),"BAJA","ACEPTABLE CON REVISIÓN"))),
IF(O619="ACEPTABLE CON REVISIÓN",
IF(COUNTBLANK(V619:V634)=COUNTA(V619:V634),"",
IF(COUNTIF(V619:V634,"Control/Acción No Eficaz")&gt;=2,"ACEPTABLE CON REVISIÓN",
IF(AND(COUNTIF(V619:V634,"Control/Acción No Eficaz")=0,COUNTIF(V619:V634,"Control/Acción Eficaz")&gt;=2),"ACEPTABLE","BAJA"))),
IF(O619="BAJA",
IF(COUNTBLANK(V619:V634)=COUNTA(V619:V634),"",
IF(AND(COUNTBLANK(V619:V634)&lt;1,COUNTA(V619:V634)=1),
IF(COUNTIF(V619:V634,"Control/Acción No Eficaz")&gt;=2,"BAJA",
IF(AND(COUNTIF(V619:V634,"Control/Acción No Eficaz")=0,COUNTIF(V619:V634,"Control/Acción Eficaz")&gt;=2),"ACEPTABLE","BAJA")),
IF(COUNTIF(V619:V634,"Control/Acción No Eficaz")&gt;=2,"BAJA",
IF(AND(COUNTIF(V619:V634,"Control/Acción No Eficaz")=0,COUNTIF(V619:V634,"Control/Acción Eficaz")&gt;=2),"ACEPTABLE","BAJA")))),
IF(COUNTIF(V619:V634,"")&gt;=5,"",O619))))),
""))))</f>
        <v/>
      </c>
      <c r="X619" s="115"/>
      <c r="Y619" s="128"/>
      <c r="Z619" s="30"/>
      <c r="AA619" s="31" t="str">
        <f>E619</f>
        <v/>
      </c>
    </row>
    <row r="620" ht="87.0" customHeight="1">
      <c r="A620" s="129"/>
      <c r="B620" s="130"/>
      <c r="C620" s="130"/>
      <c r="D620" s="130"/>
      <c r="E620" s="130"/>
      <c r="F620" s="130"/>
      <c r="G620" s="130"/>
      <c r="H620" s="130"/>
      <c r="I620" s="130"/>
      <c r="J620" s="130"/>
      <c r="K620" s="130"/>
      <c r="L620" s="130"/>
      <c r="M620" s="130"/>
      <c r="N620" s="130"/>
      <c r="O620" s="130"/>
      <c r="P620" s="132"/>
      <c r="Q620" s="134"/>
      <c r="R620" s="134"/>
      <c r="S620" s="134"/>
      <c r="T620" s="135"/>
      <c r="U620" s="135"/>
      <c r="V620" s="135" t="str">
        <f>IFERROR(IF(AA620="SEGURIDAD",OFFSET('PARÁMETROS'!$K$2,MATCH(U620,JC_SE,0),MATCH(T620,CC_SE,0)),
IF(OR(AA620="DSRC/Estratégico",AA620="DSRC/Operativo"),OFFSET('PARÁMETROS'!$K$11,MATCH(U620,JC_DS,0),MATCH(T620,CC_DS,0)),
IF(AA620="SALUD",OFFSET('PARÁMETROS'!$K$29,MATCH(U620,JC_SA,0),MATCH(T620,CC_SA,0)),
IF(AA620="MEDIO AMBIENTE",OFFSET('PARÁMETROS'!$K$20,MATCH(U620,JC_MA,0),MATCH(T620,CC_MA,0)),
IF(AA620="Rel. Gubernamentales",OFFSET('PARÁMETROS'!$K$48,MATCH(U620,JC_G,0),MATCH(T620,CC_G,0)),
IF(AA620="OPERACIONAL",OFFSET('PARÁMETROS'!$K$56,MATCH(U620,JC_OP,0),MATCH(T620,CC_OP,0)),
IF(AA620="FINANCIERO",OFFSET('PARÁMETROS'!$K$56,MATCH(U620,JC_FI,0),MATCH(T620,CC_FI,0)),
OFFSET('PARÁMETROS'!$K$38,MATCH(U620,JC_L,0),MATCH(T620,CC_L,0))))))))),"")</f>
        <v/>
      </c>
      <c r="W620" s="130"/>
      <c r="X620" s="135"/>
      <c r="Y620" s="136"/>
      <c r="Z620" s="30"/>
      <c r="AA620" s="31" t="str">
        <f>E619</f>
        <v/>
      </c>
    </row>
    <row r="621" ht="87.0" customHeight="1">
      <c r="A621" s="129"/>
      <c r="B621" s="130"/>
      <c r="C621" s="130"/>
      <c r="D621" s="130"/>
      <c r="E621" s="130"/>
      <c r="F621" s="130"/>
      <c r="G621" s="130"/>
      <c r="H621" s="130"/>
      <c r="I621" s="130"/>
      <c r="J621" s="130"/>
      <c r="K621" s="130"/>
      <c r="L621" s="130"/>
      <c r="M621" s="130"/>
      <c r="N621" s="130"/>
      <c r="O621" s="130"/>
      <c r="P621" s="132"/>
      <c r="Q621" s="134"/>
      <c r="R621" s="134"/>
      <c r="S621" s="134"/>
      <c r="T621" s="135"/>
      <c r="U621" s="135"/>
      <c r="V621" s="135" t="str">
        <f>IFERROR(IF(AA621="SEGURIDAD",OFFSET('PARÁMETROS'!$K$2,MATCH(U621,JC_SE,0),MATCH(T621,CC_SE,0)),
IF(OR(AA621="DSRC/Estratégico",AA621="DSRC/Operativo"),OFFSET('PARÁMETROS'!$K$11,MATCH(U621,JC_DS,0),MATCH(T621,CC_DS,0)),
IF(AA621="SALUD",OFFSET('PARÁMETROS'!$K$29,MATCH(U621,JC_SA,0),MATCH(T621,CC_SA,0)),
IF(AA621="MEDIO AMBIENTE",OFFSET('PARÁMETROS'!$K$20,MATCH(U621,JC_MA,0),MATCH(T621,CC_MA,0)),
IF(AA621="Rel. Gubernamentales",OFFSET('PARÁMETROS'!$K$48,MATCH(U621,JC_G,0),MATCH(T621,CC_G,0)),
IF(AA621="OPERACIONAL",OFFSET('PARÁMETROS'!$K$56,MATCH(U621,JC_OP,0),MATCH(T621,CC_OP,0)),
IF(AA621="FINANCIERO",OFFSET('PARÁMETROS'!$K$56,MATCH(U621,JC_FI,0),MATCH(T621,CC_FI,0)),
OFFSET('PARÁMETROS'!$K$38,MATCH(U621,JC_L,0),MATCH(T621,CC_L,0))))))))),"")</f>
        <v/>
      </c>
      <c r="W621" s="130"/>
      <c r="X621" s="135"/>
      <c r="Y621" s="136"/>
      <c r="Z621" s="30"/>
      <c r="AA621" s="31" t="str">
        <f>E619</f>
        <v/>
      </c>
    </row>
    <row r="622" ht="87.0" customHeight="1">
      <c r="A622" s="129"/>
      <c r="B622" s="130"/>
      <c r="C622" s="130"/>
      <c r="D622" s="130"/>
      <c r="E622" s="130"/>
      <c r="F622" s="130"/>
      <c r="G622" s="130"/>
      <c r="H622" s="130"/>
      <c r="I622" s="130"/>
      <c r="J622" s="130"/>
      <c r="K622" s="130"/>
      <c r="L622" s="130"/>
      <c r="M622" s="130"/>
      <c r="N622" s="130"/>
      <c r="O622" s="130"/>
      <c r="P622" s="132"/>
      <c r="Q622" s="134"/>
      <c r="R622" s="134"/>
      <c r="S622" s="134"/>
      <c r="T622" s="135"/>
      <c r="U622" s="135"/>
      <c r="V622" s="135" t="str">
        <f>IFERROR(IF(AA622="SEGURIDAD",OFFSET('PARÁMETROS'!$K$2,MATCH(U622,JC_SE,0),MATCH(T622,CC_SE,0)),
IF(OR(AA622="DSRC/Estratégico",AA622="DSRC/Operativo"),OFFSET('PARÁMETROS'!$K$11,MATCH(U622,JC_DS,0),MATCH(T622,CC_DS,0)),
IF(AA622="SALUD",OFFSET('PARÁMETROS'!$K$29,MATCH(U622,JC_SA,0),MATCH(T622,CC_SA,0)),
IF(AA622="MEDIO AMBIENTE",OFFSET('PARÁMETROS'!$K$20,MATCH(U622,JC_MA,0),MATCH(T622,CC_MA,0)),
IF(AA622="Rel. Gubernamentales",OFFSET('PARÁMETROS'!$K$48,MATCH(U622,JC_G,0),MATCH(T622,CC_G,0)),
IF(AA622="OPERACIONAL",OFFSET('PARÁMETROS'!$K$56,MATCH(U622,JC_OP,0),MATCH(T622,CC_OP,0)),
IF(AA622="FINANCIERO",OFFSET('PARÁMETROS'!$K$56,MATCH(U622,JC_FI,0),MATCH(T622,CC_FI,0)),
OFFSET('PARÁMETROS'!$K$38,MATCH(U622,JC_L,0),MATCH(T622,CC_L,0))))))))),"")</f>
        <v/>
      </c>
      <c r="W622" s="130"/>
      <c r="X622" s="135"/>
      <c r="Y622" s="136"/>
      <c r="Z622" s="30"/>
      <c r="AA622" s="31" t="str">
        <f>E619</f>
        <v/>
      </c>
    </row>
    <row r="623" ht="87.0" customHeight="1">
      <c r="A623" s="129"/>
      <c r="B623" s="130"/>
      <c r="C623" s="130"/>
      <c r="D623" s="130"/>
      <c r="E623" s="130"/>
      <c r="F623" s="130"/>
      <c r="G623" s="130"/>
      <c r="H623" s="130"/>
      <c r="I623" s="130"/>
      <c r="J623" s="130"/>
      <c r="K623" s="130"/>
      <c r="L623" s="130"/>
      <c r="M623" s="130"/>
      <c r="N623" s="130"/>
      <c r="O623" s="130"/>
      <c r="P623" s="132"/>
      <c r="Q623" s="134"/>
      <c r="R623" s="134"/>
      <c r="S623" s="134"/>
      <c r="T623" s="135"/>
      <c r="U623" s="135"/>
      <c r="V623" s="135" t="str">
        <f>IFERROR(IF(AA623="SEGURIDAD",OFFSET('PARÁMETROS'!$K$2,MATCH(U623,JC_SE,0),MATCH(T623,CC_SE,0)),
IF(OR(AA623="DSRC/Estratégico",AA623="DSRC/Operativo"),OFFSET('PARÁMETROS'!$K$11,MATCH(U623,JC_DS,0),MATCH(T623,CC_DS,0)),
IF(AA623="SALUD",OFFSET('PARÁMETROS'!$K$29,MATCH(U623,JC_SA,0),MATCH(T623,CC_SA,0)),
IF(AA623="MEDIO AMBIENTE",OFFSET('PARÁMETROS'!$K$20,MATCH(U623,JC_MA,0),MATCH(T623,CC_MA,0)),
IF(AA623="Rel. Gubernamentales",OFFSET('PARÁMETROS'!$K$48,MATCH(U623,JC_G,0),MATCH(T623,CC_G,0)),
IF(AA623="OPERACIONAL",OFFSET('PARÁMETROS'!$K$56,MATCH(U623,JC_OP,0),MATCH(T623,CC_OP,0)),
IF(AA623="FINANCIERO",OFFSET('PARÁMETROS'!$K$56,MATCH(U623,JC_FI,0),MATCH(T623,CC_FI,0)),
OFFSET('PARÁMETROS'!$K$38,MATCH(U623,JC_L,0),MATCH(T623,CC_L,0))))))))),"")</f>
        <v/>
      </c>
      <c r="W623" s="130"/>
      <c r="X623" s="135"/>
      <c r="Y623" s="136"/>
      <c r="Z623" s="30"/>
      <c r="AA623" s="31" t="str">
        <f>E619</f>
        <v/>
      </c>
    </row>
    <row r="624" ht="87.0" customHeight="1">
      <c r="A624" s="129"/>
      <c r="B624" s="130"/>
      <c r="C624" s="130"/>
      <c r="D624" s="130"/>
      <c r="E624" s="130"/>
      <c r="F624" s="130"/>
      <c r="G624" s="130"/>
      <c r="H624" s="130"/>
      <c r="I624" s="130"/>
      <c r="J624" s="130"/>
      <c r="K624" s="130"/>
      <c r="L624" s="130"/>
      <c r="M624" s="130"/>
      <c r="N624" s="130"/>
      <c r="O624" s="130"/>
      <c r="P624" s="132"/>
      <c r="Q624" s="134"/>
      <c r="R624" s="134"/>
      <c r="S624" s="134"/>
      <c r="T624" s="135"/>
      <c r="U624" s="135"/>
      <c r="V624" s="135" t="str">
        <f>IFERROR(IF(AA624="SEGURIDAD",OFFSET('PARÁMETROS'!$K$2,MATCH(U624,JC_SE,0),MATCH(T624,CC_SE,0)),
IF(OR(AA624="DSRC/Estratégico",AA624="DSRC/Operativo"),OFFSET('PARÁMETROS'!$K$11,MATCH(U624,JC_DS,0),MATCH(T624,CC_DS,0)),
IF(AA624="SALUD",OFFSET('PARÁMETROS'!$K$29,MATCH(U624,JC_SA,0),MATCH(T624,CC_SA,0)),
IF(AA624="MEDIO AMBIENTE",OFFSET('PARÁMETROS'!$K$20,MATCH(U624,JC_MA,0),MATCH(T624,CC_MA,0)),
IF(AA624="Rel. Gubernamentales",OFFSET('PARÁMETROS'!$K$48,MATCH(U624,JC_G,0),MATCH(T624,CC_G,0)),
IF(AA624="OPERACIONAL",OFFSET('PARÁMETROS'!$K$56,MATCH(U624,JC_OP,0),MATCH(T624,CC_OP,0)),
IF(AA624="FINANCIERO",OFFSET('PARÁMETROS'!$K$56,MATCH(U624,JC_FI,0),MATCH(T624,CC_FI,0)),
OFFSET('PARÁMETROS'!$K$38,MATCH(U624,JC_L,0),MATCH(T624,CC_L,0))))))))),"")</f>
        <v/>
      </c>
      <c r="W624" s="130"/>
      <c r="X624" s="135"/>
      <c r="Y624" s="136"/>
      <c r="Z624" s="30"/>
      <c r="AA624" s="31" t="str">
        <f>E619</f>
        <v/>
      </c>
    </row>
    <row r="625" ht="87.0" customHeight="1">
      <c r="A625" s="129"/>
      <c r="B625" s="130"/>
      <c r="C625" s="130"/>
      <c r="D625" s="130"/>
      <c r="E625" s="130"/>
      <c r="F625" s="130"/>
      <c r="G625" s="130"/>
      <c r="H625" s="130"/>
      <c r="I625" s="130"/>
      <c r="J625" s="130"/>
      <c r="K625" s="130"/>
      <c r="L625" s="130"/>
      <c r="M625" s="130"/>
      <c r="N625" s="130"/>
      <c r="O625" s="130"/>
      <c r="P625" s="132"/>
      <c r="Q625" s="134"/>
      <c r="R625" s="134"/>
      <c r="S625" s="134"/>
      <c r="T625" s="135"/>
      <c r="U625" s="135"/>
      <c r="V625" s="135" t="str">
        <f>IFERROR(IF(AA625="SEGURIDAD",OFFSET('PARÁMETROS'!$K$2,MATCH(U625,JC_SE,0),MATCH(T625,CC_SE,0)),
IF(OR(AA625="DSRC/Estratégico",AA625="DSRC/Operativo"),OFFSET('PARÁMETROS'!$K$11,MATCH(U625,JC_DS,0),MATCH(T625,CC_DS,0)),
IF(AA625="SALUD",OFFSET('PARÁMETROS'!$K$29,MATCH(U625,JC_SA,0),MATCH(T625,CC_SA,0)),
IF(AA625="MEDIO AMBIENTE",OFFSET('PARÁMETROS'!$K$20,MATCH(U625,JC_MA,0),MATCH(T625,CC_MA,0)),
IF(AA625="Rel. Gubernamentales",OFFSET('PARÁMETROS'!$K$48,MATCH(U625,JC_G,0),MATCH(T625,CC_G,0)),
IF(AA625="OPERACIONAL",OFFSET('PARÁMETROS'!$K$56,MATCH(U625,JC_OP,0),MATCH(T625,CC_OP,0)),
IF(AA625="FINANCIERO",OFFSET('PARÁMETROS'!$K$56,MATCH(U625,JC_FI,0),MATCH(T625,CC_FI,0)),
OFFSET('PARÁMETROS'!$K$38,MATCH(U625,JC_L,0),MATCH(T625,CC_L,0))))))))),"")</f>
        <v/>
      </c>
      <c r="W625" s="130"/>
      <c r="X625" s="135"/>
      <c r="Y625" s="136"/>
      <c r="Z625" s="30"/>
      <c r="AA625" s="31" t="str">
        <f>E619</f>
        <v/>
      </c>
    </row>
    <row r="626" ht="87.0" customHeight="1">
      <c r="A626" s="129"/>
      <c r="B626" s="130"/>
      <c r="C626" s="130"/>
      <c r="D626" s="130"/>
      <c r="E626" s="130"/>
      <c r="F626" s="130"/>
      <c r="G626" s="130"/>
      <c r="H626" s="130"/>
      <c r="I626" s="130"/>
      <c r="J626" s="130"/>
      <c r="K626" s="130"/>
      <c r="L626" s="130"/>
      <c r="M626" s="130"/>
      <c r="N626" s="130"/>
      <c r="O626" s="130"/>
      <c r="P626" s="132"/>
      <c r="Q626" s="134"/>
      <c r="R626" s="134"/>
      <c r="S626" s="134"/>
      <c r="T626" s="135"/>
      <c r="U626" s="135"/>
      <c r="V626" s="135" t="str">
        <f>IFERROR(IF(AA626="SEGURIDAD",OFFSET('PARÁMETROS'!$K$2,MATCH(U626,JC_SE,0),MATCH(T626,CC_SE,0)),
IF(OR(AA626="DSRC/Estratégico",AA626="DSRC/Operativo"),OFFSET('PARÁMETROS'!$K$11,MATCH(U626,JC_DS,0),MATCH(T626,CC_DS,0)),
IF(AA626="SALUD",OFFSET('PARÁMETROS'!$K$29,MATCH(U626,JC_SA,0),MATCH(T626,CC_SA,0)),
IF(AA626="MEDIO AMBIENTE",OFFSET('PARÁMETROS'!$K$20,MATCH(U626,JC_MA,0),MATCH(T626,CC_MA,0)),
IF(AA626="Rel. Gubernamentales",OFFSET('PARÁMETROS'!$K$48,MATCH(U626,JC_G,0),MATCH(T626,CC_G,0)),
IF(AA626="OPERACIONAL",OFFSET('PARÁMETROS'!$K$56,MATCH(U626,JC_OP,0),MATCH(T626,CC_OP,0)),
IF(AA626="FINANCIERO",OFFSET('PARÁMETROS'!$K$56,MATCH(U626,JC_FI,0),MATCH(T626,CC_FI,0)),
OFFSET('PARÁMETROS'!$K$38,MATCH(U626,JC_L,0),MATCH(T626,CC_L,0))))))))),"")</f>
        <v/>
      </c>
      <c r="W626" s="130"/>
      <c r="X626" s="135"/>
      <c r="Y626" s="136"/>
      <c r="Z626" s="30"/>
      <c r="AA626" s="31" t="str">
        <f>E619</f>
        <v/>
      </c>
    </row>
    <row r="627" ht="87.0" customHeight="1">
      <c r="A627" s="129"/>
      <c r="B627" s="130"/>
      <c r="C627" s="130"/>
      <c r="D627" s="130"/>
      <c r="E627" s="130"/>
      <c r="F627" s="130"/>
      <c r="G627" s="130"/>
      <c r="H627" s="130"/>
      <c r="I627" s="130"/>
      <c r="J627" s="130"/>
      <c r="K627" s="130"/>
      <c r="L627" s="130"/>
      <c r="M627" s="130"/>
      <c r="N627" s="130"/>
      <c r="O627" s="130"/>
      <c r="P627" s="132"/>
      <c r="Q627" s="134"/>
      <c r="R627" s="134"/>
      <c r="S627" s="134"/>
      <c r="T627" s="135"/>
      <c r="U627" s="135"/>
      <c r="V627" s="135" t="str">
        <f>IFERROR(IF(AA627="SEGURIDAD",OFFSET('PARÁMETROS'!$K$2,MATCH(U627,JC_SE,0),MATCH(T627,CC_SE,0)),
IF(OR(AA627="DSRC/Estratégico",AA627="DSRC/Operativo"),OFFSET('PARÁMETROS'!$K$11,MATCH(U627,JC_DS,0),MATCH(T627,CC_DS,0)),
IF(AA627="SALUD",OFFSET('PARÁMETROS'!$K$29,MATCH(U627,JC_SA,0),MATCH(T627,CC_SA,0)),
IF(AA627="MEDIO AMBIENTE",OFFSET('PARÁMETROS'!$K$20,MATCH(U627,JC_MA,0),MATCH(T627,CC_MA,0)),
IF(AA627="Rel. Gubernamentales",OFFSET('PARÁMETROS'!$K$48,MATCH(U627,JC_G,0),MATCH(T627,CC_G,0)),
IF(AA627="OPERACIONAL",OFFSET('PARÁMETROS'!$K$56,MATCH(U627,JC_OP,0),MATCH(T627,CC_OP,0)),
IF(AA627="FINANCIERO",OFFSET('PARÁMETROS'!$K$56,MATCH(U627,JC_FI,0),MATCH(T627,CC_FI,0)),
OFFSET('PARÁMETROS'!$K$38,MATCH(U627,JC_L,0),MATCH(T627,CC_L,0))))))))),"")</f>
        <v/>
      </c>
      <c r="W627" s="130"/>
      <c r="X627" s="135"/>
      <c r="Y627" s="136"/>
      <c r="Z627" s="30"/>
      <c r="AA627" s="31" t="str">
        <f>E619</f>
        <v/>
      </c>
    </row>
    <row r="628" ht="87.0" customHeight="1">
      <c r="A628" s="129"/>
      <c r="B628" s="130"/>
      <c r="C628" s="130"/>
      <c r="D628" s="130"/>
      <c r="E628" s="130"/>
      <c r="F628" s="130"/>
      <c r="G628" s="130"/>
      <c r="H628" s="130"/>
      <c r="I628" s="130"/>
      <c r="J628" s="130"/>
      <c r="K628" s="130"/>
      <c r="L628" s="130"/>
      <c r="M628" s="130"/>
      <c r="N628" s="130"/>
      <c r="O628" s="130"/>
      <c r="P628" s="132"/>
      <c r="Q628" s="134"/>
      <c r="R628" s="134"/>
      <c r="S628" s="134"/>
      <c r="T628" s="135"/>
      <c r="U628" s="135"/>
      <c r="V628" s="135" t="str">
        <f>IFERROR(IF(AA628="SEGURIDAD",OFFSET('PARÁMETROS'!$K$2,MATCH(U628,JC_SE,0),MATCH(T628,CC_SE,0)),
IF(OR(AA628="DSRC/Estratégico",AA628="DSRC/Operativo"),OFFSET('PARÁMETROS'!$K$11,MATCH(U628,JC_DS,0),MATCH(T628,CC_DS,0)),
IF(AA628="SALUD",OFFSET('PARÁMETROS'!$K$29,MATCH(U628,JC_SA,0),MATCH(T628,CC_SA,0)),
IF(AA628="MEDIO AMBIENTE",OFFSET('PARÁMETROS'!$K$20,MATCH(U628,JC_MA,0),MATCH(T628,CC_MA,0)),
IF(AA628="Rel. Gubernamentales",OFFSET('PARÁMETROS'!$K$48,MATCH(U628,JC_G,0),MATCH(T628,CC_G,0)),
IF(AA628="OPERACIONAL",OFFSET('PARÁMETROS'!$K$56,MATCH(U628,JC_OP,0),MATCH(T628,CC_OP,0)),
IF(AA628="FINANCIERO",OFFSET('PARÁMETROS'!$K$56,MATCH(U628,JC_FI,0),MATCH(T628,CC_FI,0)),
OFFSET('PARÁMETROS'!$K$38,MATCH(U628,JC_L,0),MATCH(T628,CC_L,0))))))))),"")</f>
        <v/>
      </c>
      <c r="W628" s="130"/>
      <c r="X628" s="135"/>
      <c r="Y628" s="136"/>
      <c r="Z628" s="30"/>
      <c r="AA628" s="31" t="str">
        <f>E619</f>
        <v/>
      </c>
    </row>
    <row r="629" ht="87.0" customHeight="1">
      <c r="A629" s="129"/>
      <c r="B629" s="130"/>
      <c r="C629" s="130"/>
      <c r="D629" s="130"/>
      <c r="E629" s="130"/>
      <c r="F629" s="130"/>
      <c r="G629" s="130"/>
      <c r="H629" s="130"/>
      <c r="I629" s="130"/>
      <c r="J629" s="130"/>
      <c r="K629" s="130"/>
      <c r="L629" s="130"/>
      <c r="M629" s="130"/>
      <c r="N629" s="130"/>
      <c r="O629" s="130"/>
      <c r="P629" s="132"/>
      <c r="Q629" s="134"/>
      <c r="R629" s="134"/>
      <c r="S629" s="134"/>
      <c r="T629" s="135"/>
      <c r="U629" s="135"/>
      <c r="V629" s="135" t="str">
        <f>IFERROR(IF(AA629="SEGURIDAD",OFFSET('PARÁMETROS'!$K$2,MATCH(U629,JC_SE,0),MATCH(T629,CC_SE,0)),
IF(OR(AA629="DSRC/Estratégico",AA629="DSRC/Operativo"),OFFSET('PARÁMETROS'!$K$11,MATCH(U629,JC_DS,0),MATCH(T629,CC_DS,0)),
IF(AA629="SALUD",OFFSET('PARÁMETROS'!$K$29,MATCH(U629,JC_SA,0),MATCH(T629,CC_SA,0)),
IF(AA629="MEDIO AMBIENTE",OFFSET('PARÁMETROS'!$K$20,MATCH(U629,JC_MA,0),MATCH(T629,CC_MA,0)),
IF(AA629="Rel. Gubernamentales",OFFSET('PARÁMETROS'!$K$48,MATCH(U629,JC_G,0),MATCH(T629,CC_G,0)),
IF(AA629="OPERACIONAL",OFFSET('PARÁMETROS'!$K$56,MATCH(U629,JC_OP,0),MATCH(T629,CC_OP,0)),
IF(AA629="FINANCIERO",OFFSET('PARÁMETROS'!$K$56,MATCH(U629,JC_FI,0),MATCH(T629,CC_FI,0)),
OFFSET('PARÁMETROS'!$K$38,MATCH(U629,JC_L,0),MATCH(T629,CC_L,0))))))))),"")</f>
        <v/>
      </c>
      <c r="W629" s="130"/>
      <c r="X629" s="135"/>
      <c r="Y629" s="136"/>
      <c r="Z629" s="30"/>
      <c r="AA629" s="31" t="str">
        <f>E619</f>
        <v/>
      </c>
    </row>
    <row r="630" ht="87.0" customHeight="1">
      <c r="A630" s="129"/>
      <c r="B630" s="130"/>
      <c r="C630" s="130"/>
      <c r="D630" s="130"/>
      <c r="E630" s="130"/>
      <c r="F630" s="130"/>
      <c r="G630" s="130"/>
      <c r="H630" s="130"/>
      <c r="I630" s="130"/>
      <c r="J630" s="130"/>
      <c r="K630" s="130"/>
      <c r="L630" s="130"/>
      <c r="M630" s="130"/>
      <c r="N630" s="130"/>
      <c r="O630" s="130"/>
      <c r="P630" s="132"/>
      <c r="Q630" s="134"/>
      <c r="R630" s="134"/>
      <c r="S630" s="134"/>
      <c r="T630" s="135"/>
      <c r="U630" s="135"/>
      <c r="V630" s="135" t="str">
        <f>IFERROR(IF(AA630="SEGURIDAD",OFFSET('PARÁMETROS'!$K$2,MATCH(U630,JC_SE,0),MATCH(T630,CC_SE,0)),
IF(OR(AA630="DSRC/Estratégico",AA630="DSRC/Operativo"),OFFSET('PARÁMETROS'!$K$11,MATCH(U630,JC_DS,0),MATCH(T630,CC_DS,0)),
IF(AA630="SALUD",OFFSET('PARÁMETROS'!$K$29,MATCH(U630,JC_SA,0),MATCH(T630,CC_SA,0)),
IF(AA630="MEDIO AMBIENTE",OFFSET('PARÁMETROS'!$K$20,MATCH(U630,JC_MA,0),MATCH(T630,CC_MA,0)),
IF(AA630="Rel. Gubernamentales",OFFSET('PARÁMETROS'!$K$48,MATCH(U630,JC_G,0),MATCH(T630,CC_G,0)),
IF(AA630="OPERACIONAL",OFFSET('PARÁMETROS'!$K$56,MATCH(U630,JC_OP,0),MATCH(T630,CC_OP,0)),
IF(AA630="FINANCIERO",OFFSET('PARÁMETROS'!$K$56,MATCH(U630,JC_FI,0),MATCH(T630,CC_FI,0)),
OFFSET('PARÁMETROS'!$K$38,MATCH(U630,JC_L,0),MATCH(T630,CC_L,0))))))))),"")</f>
        <v/>
      </c>
      <c r="W630" s="130"/>
      <c r="X630" s="135"/>
      <c r="Y630" s="136"/>
      <c r="Z630" s="30"/>
      <c r="AA630" s="31" t="str">
        <f>E619</f>
        <v/>
      </c>
    </row>
    <row r="631" ht="87.0" customHeight="1">
      <c r="A631" s="129"/>
      <c r="B631" s="130"/>
      <c r="C631" s="130"/>
      <c r="D631" s="130"/>
      <c r="E631" s="130"/>
      <c r="F631" s="130"/>
      <c r="G631" s="130"/>
      <c r="H631" s="130"/>
      <c r="I631" s="130"/>
      <c r="J631" s="130"/>
      <c r="K631" s="130"/>
      <c r="L631" s="130"/>
      <c r="M631" s="130"/>
      <c r="N631" s="130"/>
      <c r="O631" s="130"/>
      <c r="P631" s="132"/>
      <c r="Q631" s="134"/>
      <c r="R631" s="134"/>
      <c r="S631" s="134"/>
      <c r="T631" s="135"/>
      <c r="U631" s="135"/>
      <c r="V631" s="135" t="str">
        <f>IFERROR(IF(AA631="SEGURIDAD",OFFSET('PARÁMETROS'!$K$2,MATCH(U631,JC_SE,0),MATCH(T631,CC_SE,0)),
IF(OR(AA631="DSRC/Estratégico",AA631="DSRC/Operativo"),OFFSET('PARÁMETROS'!$K$11,MATCH(U631,JC_DS,0),MATCH(T631,CC_DS,0)),
IF(AA631="SALUD",OFFSET('PARÁMETROS'!$K$29,MATCH(U631,JC_SA,0),MATCH(T631,CC_SA,0)),
IF(AA631="MEDIO AMBIENTE",OFFSET('PARÁMETROS'!$K$20,MATCH(U631,JC_MA,0),MATCH(T631,CC_MA,0)),
IF(AA631="Rel. Gubernamentales",OFFSET('PARÁMETROS'!$K$48,MATCH(U631,JC_G,0),MATCH(T631,CC_G,0)),
IF(AA631="OPERACIONAL",OFFSET('PARÁMETROS'!$K$56,MATCH(U631,JC_OP,0),MATCH(T631,CC_OP,0)),
IF(AA631="FINANCIERO",OFFSET('PARÁMETROS'!$K$56,MATCH(U631,JC_FI,0),MATCH(T631,CC_FI,0)),
OFFSET('PARÁMETROS'!$K$38,MATCH(U631,JC_L,0),MATCH(T631,CC_L,0))))))))),"")</f>
        <v/>
      </c>
      <c r="W631" s="130"/>
      <c r="X631" s="135"/>
      <c r="Y631" s="136"/>
      <c r="Z631" s="30"/>
      <c r="AA631" s="31" t="str">
        <f>E619</f>
        <v/>
      </c>
    </row>
    <row r="632" ht="87.0" customHeight="1">
      <c r="A632" s="129"/>
      <c r="B632" s="130"/>
      <c r="C632" s="130"/>
      <c r="D632" s="130"/>
      <c r="E632" s="130"/>
      <c r="F632" s="130"/>
      <c r="G632" s="130"/>
      <c r="H632" s="130"/>
      <c r="I632" s="130"/>
      <c r="J632" s="130"/>
      <c r="K632" s="130"/>
      <c r="L632" s="130"/>
      <c r="M632" s="130"/>
      <c r="N632" s="130"/>
      <c r="O632" s="130"/>
      <c r="P632" s="132"/>
      <c r="Q632" s="134"/>
      <c r="R632" s="134"/>
      <c r="S632" s="134"/>
      <c r="T632" s="135"/>
      <c r="U632" s="135"/>
      <c r="V632" s="135" t="str">
        <f>IFERROR(IF(AA632="SEGURIDAD",OFFSET('PARÁMETROS'!$K$2,MATCH(U632,JC_SE,0),MATCH(T632,CC_SE,0)),
IF(OR(AA632="DSRC/Estratégico",AA632="DSRC/Operativo"),OFFSET('PARÁMETROS'!$K$11,MATCH(U632,JC_DS,0),MATCH(T632,CC_DS,0)),
IF(AA632="SALUD",OFFSET('PARÁMETROS'!$K$29,MATCH(U632,JC_SA,0),MATCH(T632,CC_SA,0)),
IF(AA632="MEDIO AMBIENTE",OFFSET('PARÁMETROS'!$K$20,MATCH(U632,JC_MA,0),MATCH(T632,CC_MA,0)),
IF(AA632="Rel. Gubernamentales",OFFSET('PARÁMETROS'!$K$48,MATCH(U632,JC_G,0),MATCH(T632,CC_G,0)),
IF(AA632="OPERACIONAL",OFFSET('PARÁMETROS'!$K$56,MATCH(U632,JC_OP,0),MATCH(T632,CC_OP,0)),
IF(AA632="FINANCIERO",OFFSET('PARÁMETROS'!$K$56,MATCH(U632,JC_FI,0),MATCH(T632,CC_FI,0)),
OFFSET('PARÁMETROS'!$K$38,MATCH(U632,JC_L,0),MATCH(T632,CC_L,0))))))))),"")</f>
        <v/>
      </c>
      <c r="W632" s="130"/>
      <c r="X632" s="135"/>
      <c r="Y632" s="136"/>
      <c r="Z632" s="30"/>
      <c r="AA632" s="31" t="str">
        <f>E619</f>
        <v/>
      </c>
    </row>
    <row r="633" ht="87.0" customHeight="1">
      <c r="A633" s="129"/>
      <c r="B633" s="130"/>
      <c r="C633" s="130"/>
      <c r="D633" s="130"/>
      <c r="E633" s="130"/>
      <c r="F633" s="130"/>
      <c r="G633" s="130"/>
      <c r="H633" s="130"/>
      <c r="I633" s="130"/>
      <c r="J633" s="130"/>
      <c r="K633" s="130"/>
      <c r="L633" s="130"/>
      <c r="M633" s="130"/>
      <c r="N633" s="130"/>
      <c r="O633" s="130"/>
      <c r="P633" s="132"/>
      <c r="Q633" s="134"/>
      <c r="R633" s="134"/>
      <c r="S633" s="134"/>
      <c r="T633" s="135"/>
      <c r="U633" s="135"/>
      <c r="V633" s="135" t="str">
        <f>IFERROR(IF(AA633="SEGURIDAD",OFFSET('PARÁMETROS'!$K$2,MATCH(U633,JC_SE,0),MATCH(T633,CC_SE,0)),
IF(OR(AA633="DSRC/Estratégico",AA633="DSRC/Operativo"),OFFSET('PARÁMETROS'!$K$11,MATCH(U633,JC_DS,0),MATCH(T633,CC_DS,0)),
IF(AA633="SALUD",OFFSET('PARÁMETROS'!$K$29,MATCH(U633,JC_SA,0),MATCH(T633,CC_SA,0)),
IF(AA633="MEDIO AMBIENTE",OFFSET('PARÁMETROS'!$K$20,MATCH(U633,JC_MA,0),MATCH(T633,CC_MA,0)),
IF(AA633="Rel. Gubernamentales",OFFSET('PARÁMETROS'!$K$48,MATCH(U633,JC_G,0),MATCH(T633,CC_G,0)),
IF(AA633="OPERACIONAL",OFFSET('PARÁMETROS'!$K$56,MATCH(U633,JC_OP,0),MATCH(T633,CC_OP,0)),
IF(AA633="FINANCIERO",OFFSET('PARÁMETROS'!$K$56,MATCH(U633,JC_FI,0),MATCH(T633,CC_FI,0)),
OFFSET('PARÁMETROS'!$K$38,MATCH(U633,JC_L,0),MATCH(T633,CC_L,0))))))))),"")</f>
        <v/>
      </c>
      <c r="W633" s="130"/>
      <c r="X633" s="135"/>
      <c r="Y633" s="136"/>
      <c r="Z633" s="30"/>
      <c r="AA633" s="31" t="str">
        <f>E619</f>
        <v/>
      </c>
    </row>
    <row r="634" ht="87.0" customHeight="1">
      <c r="A634" s="89"/>
      <c r="B634" s="90"/>
      <c r="C634" s="90"/>
      <c r="D634" s="157"/>
      <c r="E634" s="157"/>
      <c r="F634" s="157"/>
      <c r="G634" s="157"/>
      <c r="H634" s="157"/>
      <c r="I634" s="90"/>
      <c r="J634" s="90"/>
      <c r="K634" s="90"/>
      <c r="L634" s="90"/>
      <c r="M634" s="90"/>
      <c r="N634" s="90"/>
      <c r="O634" s="90"/>
      <c r="P634" s="132"/>
      <c r="Q634" s="134"/>
      <c r="R634" s="145"/>
      <c r="S634" s="145"/>
      <c r="T634" s="135"/>
      <c r="U634" s="135"/>
      <c r="V634" s="135" t="str">
        <f>IFERROR(IF(AA634="SEGURIDAD",OFFSET('PARÁMETROS'!$K$2,MATCH(U634,JC_SE,0),MATCH(T634,CC_SE,0)),
IF(OR(AA634="DSRC/Estratégico",AA634="DSRC/Operativo"),OFFSET('PARÁMETROS'!$K$11,MATCH(U634,JC_DS,0),MATCH(T634,CC_DS,0)),
IF(AA634="SALUD",OFFSET('PARÁMETROS'!$K$29,MATCH(U634,JC_SA,0),MATCH(T634,CC_SA,0)),
IF(AA634="MEDIO AMBIENTE",OFFSET('PARÁMETROS'!$K$20,MATCH(U634,JC_MA,0),MATCH(T634,CC_MA,0)),
IF(AA634="Rel. Gubernamentales",OFFSET('PARÁMETROS'!$K$48,MATCH(U634,JC_G,0),MATCH(T634,CC_G,0)),
IF(AA634="OPERACIONAL",OFFSET('PARÁMETROS'!$K$56,MATCH(U634,JC_OP,0),MATCH(T634,CC_OP,0)),
IF(AA634="FINANCIERO",OFFSET('PARÁMETROS'!$K$56,MATCH(U634,JC_FI,0),MATCH(T634,CC_FI,0)),
OFFSET('PARÁMETROS'!$K$38,MATCH(U634,JC_L,0),MATCH(T634,CC_L,0))))))))),"")</f>
        <v/>
      </c>
      <c r="W634" s="90"/>
      <c r="X634" s="135"/>
      <c r="Y634" s="136"/>
      <c r="Z634" s="30"/>
      <c r="AA634" s="31" t="str">
        <f>E619</f>
        <v/>
      </c>
    </row>
    <row r="635" ht="87.0" customHeight="1">
      <c r="A635" s="102"/>
      <c r="B635" s="103"/>
      <c r="C635" s="103"/>
      <c r="D635" s="103"/>
      <c r="E635" s="103"/>
      <c r="F635" s="103"/>
      <c r="G635" s="105"/>
      <c r="H635" s="103"/>
      <c r="I635" s="105"/>
      <c r="J635" s="103"/>
      <c r="K635" s="103"/>
      <c r="L635" s="103" t="str">
        <f>IF(OR(J635&lt;&gt;"",K635&lt;&gt;""),OFFSET('PARÁMETROS'!$B$2,K635,J635),"")</f>
        <v/>
      </c>
      <c r="M635" s="103"/>
      <c r="N635" s="103">
        <f>IFERROR(L635*M635,"")</f>
        <v>0</v>
      </c>
      <c r="O635" s="108" t="str">
        <f>IF(N635="","",IFERROR(IF(N635&lt;=2,"ACEPTABLE",IF(N635&lt;=6,"BAJA",IF(N635&lt;=10,"ACEPTABLE CON REVISIÓN",IF(N635&lt;=15,"SUSTANCIAL","INACEPTABLE")))),""))</f>
        <v>ACEPTABLE</v>
      </c>
      <c r="P635" s="113"/>
      <c r="Q635" s="114"/>
      <c r="R635" s="114"/>
      <c r="S635" s="114"/>
      <c r="T635" s="115"/>
      <c r="U635" s="115"/>
      <c r="V635" s="115" t="str">
        <f>IFERROR(IF(AA635="SEGURIDAD",OFFSET('PARÁMETROS'!$K$2,MATCH(U635,JC_SE,0),MATCH(T635,CC_SE,0)),
IF(OR(AA635="DSRC/Estratégico",AA635="DSRC/Operativo"),OFFSET('PARÁMETROS'!$K$11,MATCH(U635,JC_DS,0),MATCH(T635,CC_DS,0)),
IF(AA635="SALUD",OFFSET('PARÁMETROS'!$K$29,MATCH(U635,JC_SA,0),MATCH(T635,CC_SA,0)),
IF(AA635="MEDIO AMBIENTE",OFFSET('PARÁMETROS'!$K$20,MATCH(U635,JC_MA,0),MATCH(T635,CC_MA,0)),
IF(AA635="Rel. Gubernamentales",OFFSET('PARÁMETROS'!$K$48,MATCH(U635,JC_G,0),MATCH(T635,CC_G,0)),
IF(AA635="OPERACIONAL",OFFSET('PARÁMETROS'!$K$56,MATCH(U635,JC_OP,0),MATCH(T635,CC_OP,0)),
IF(AA635="FINANCIERO",OFFSET('PARÁMETROS'!$K$56,MATCH(U635,JC_FI,0),MATCH(T635,CC_FI,0)),
OFFSET('PARÁMETROS'!$K$38,MATCH(U635,JC_L,0),MATCH(T635,CC_L,0))))))))),"")</f>
        <v/>
      </c>
      <c r="W635" s="108" t="str">
        <f>IF(E635="","",
IF(COUNTA(V635:V650)-COUNTBLANK(V635:V650)=1,
IF(O635="INACEPTABLE",IF(COUNTIF(V635:V650,"Control/Acción Eficaz")&gt;=1,"SUSTANCIAL","INACEPTABLE"),
IF(O635="SUSTANCIAL",IF(COUNTIF(V635:V650,"Control/Acción Eficaz")&gt;=1,"ACEPTABLE CON REVISIÓN","SUSTANCIAL"),
IF(O635="ACEPTABLE CON REVISIÓN",IF(COUNTIF(V635:V650,"Control/Acción Eficaz")&gt;=1,"BAJA","ACEPTABLE CON REVISIÓN"),
IF(O635="BAJA",IF(COUNTIF(V635:V650,"Control/Acción Eficaz")&gt;=1,"ACEPTABLE","BAJA"),)))),
IF(COUNTA(V635:V650)-COUNTBLANK(V635:V650)=2,
IF(O635="INACEPTABLE",IF(COUNTIF(V635:V650,"Control/Acción Eficaz")=2,"ACEPTABLE CON REVISIÓN",
IF(OR(AND(COUNTIF(V635:V650,"Control/Acción Eficaz")=1,COUNTIF(V635:V650,"Control/Acción Satisfactorio")=1),
AND(COUNTIF(V635:V650,"Control/Acción Eficaz")=1,COUNTIF(V635:V650,"Control/Acción No Eficaz")=1)),"SUSTANCIAL","INACEPTABLE")),
IF(O635="SUSTANCIAL",IF(COUNTIF(V635:V650,"Control/Acción Eficaz")=2,"BAJA",
IF(OR(AND(COUNTIF(V635:V650,"Control/Acción Eficaz")=1,COUNTIF(V635:V650,"Control/Acción Satisfactorio")=1),
AND(COUNTIF(V635:V650,"Control/Acción Eficaz")=1,COUNTIF(V635:V650,"Control/Acción No Eficaz")=1)),"ACEPTABLE CON REVISIÓN ","SUSTANCIAL")),
IF(O635="ACEPTABLE CON REVISIÓN",IF(COUNTIF(V635:V650,"Control/Acción Eficaz")=2,"ACEPTABLE",
IF(OR(AND(COUNTIF(V635:V650,"Control/Acción Eficaz")=1,COUNTIF(V635:V650,"Control/Acción Satisfactorio")=1),
AND(COUNTIF(V635:V650,"Control/Acción Eficaz")=1,COUNTIF(V635:V650,"Control/Acción No Eficaz")=1)),"BAJA","ACEPTABLE CON REVISIÓN")),
IF(O635="BAJA",IF(COUNTIF(V635:V650,"Control/Acción Eficaz")&gt;=2,"ACEPTABLE","BAJA"),)))),
IF(COUNTA(V635:V650)-COUNTBLANK(V635:V650)&gt;=3,
IF(O635="INACEPTABLE",
IF(COUNTBLANK(V635:V650)=COUNTA(V635:V650),"",
IF(COUNTIF(V635:V650,"Control/Acción No Eficaz")&gt;=2,"INACEPTABLE",
IF(AND(COUNTIF(V635:V650,"Control/Acción No Eficaz")=0,COUNTIF(V635:V650,"Control/Acción Eficaz")&gt;=2),"ACEPTABLE CON REVISIÓN ","SUSTANCIAL"))),
IF(O635="SUSTANCIAL",
IF(COUNTBLANK(V635:V650)=COUNTA(V635:V650),"",
IF(COUNTIF(V635:V650,"Control/Acción No Eficaz")&gt;=2,"SUSTANCIAL",
IF(AND(COUNTIF(V635:V650,"Control/Acción No Eficaz")=0,COUNTIF(V635:V650,"Control/Acción Eficaz")&gt;=2),"BAJA","ACEPTABLE CON REVISIÓN"))),
IF(O635="ACEPTABLE CON REVISIÓN",
IF(COUNTBLANK(V635:V650)=COUNTA(V635:V650),"",
IF(COUNTIF(V635:V650,"Control/Acción No Eficaz")&gt;=2,"ACEPTABLE CON REVISIÓN",
IF(AND(COUNTIF(V635:V650,"Control/Acción No Eficaz")=0,COUNTIF(V635:V650,"Control/Acción Eficaz")&gt;=2),"ACEPTABLE","BAJA"))),
IF(O635="BAJA",
IF(COUNTBLANK(V635:V650)=COUNTA(V635:V650),"",
IF(AND(COUNTBLANK(V635:V650)&lt;1,COUNTA(V635:V650)=1),
IF(COUNTIF(V635:V650,"Control/Acción No Eficaz")&gt;=2,"BAJA",
IF(AND(COUNTIF(V635:V650,"Control/Acción No Eficaz")=0,COUNTIF(V635:V650,"Control/Acción Eficaz")&gt;=2),"ACEPTABLE","BAJA")),
IF(COUNTIF(V635:V650,"Control/Acción No Eficaz")&gt;=2,"BAJA",
IF(AND(COUNTIF(V635:V650,"Control/Acción No Eficaz")=0,COUNTIF(V635:V650,"Control/Acción Eficaz")&gt;=2),"ACEPTABLE","BAJA")))),
IF(COUNTIF(V635:V650,"")&gt;=5,"",O635))))),
""))))</f>
        <v/>
      </c>
      <c r="X635" s="115"/>
      <c r="Y635" s="128"/>
      <c r="Z635" s="30"/>
      <c r="AA635" s="31" t="str">
        <f>E635</f>
        <v/>
      </c>
    </row>
    <row r="636" ht="87.0" customHeight="1">
      <c r="A636" s="129"/>
      <c r="B636" s="130"/>
      <c r="C636" s="130"/>
      <c r="D636" s="130"/>
      <c r="E636" s="130"/>
      <c r="F636" s="130"/>
      <c r="G636" s="130"/>
      <c r="H636" s="130"/>
      <c r="I636" s="130"/>
      <c r="J636" s="130"/>
      <c r="K636" s="130"/>
      <c r="L636" s="130"/>
      <c r="M636" s="130"/>
      <c r="N636" s="130"/>
      <c r="O636" s="130"/>
      <c r="P636" s="132"/>
      <c r="Q636" s="134"/>
      <c r="R636" s="134"/>
      <c r="S636" s="134"/>
      <c r="T636" s="135"/>
      <c r="U636" s="135"/>
      <c r="V636" s="135" t="str">
        <f>IFERROR(IF(AA636="SEGURIDAD",OFFSET('PARÁMETROS'!$K$2,MATCH(U636,JC_SE,0),MATCH(T636,CC_SE,0)),
IF(OR(AA636="DSRC/Estratégico",AA636="DSRC/Operativo"),OFFSET('PARÁMETROS'!$K$11,MATCH(U636,JC_DS,0),MATCH(T636,CC_DS,0)),
IF(AA636="SALUD",OFFSET('PARÁMETROS'!$K$29,MATCH(U636,JC_SA,0),MATCH(T636,CC_SA,0)),
IF(AA636="MEDIO AMBIENTE",OFFSET('PARÁMETROS'!$K$20,MATCH(U636,JC_MA,0),MATCH(T636,CC_MA,0)),
IF(AA636="Rel. Gubernamentales",OFFSET('PARÁMETROS'!$K$48,MATCH(U636,JC_G,0),MATCH(T636,CC_G,0)),
IF(AA636="OPERACIONAL",OFFSET('PARÁMETROS'!$K$56,MATCH(U636,JC_OP,0),MATCH(T636,CC_OP,0)),
IF(AA636="FINANCIERO",OFFSET('PARÁMETROS'!$K$56,MATCH(U636,JC_FI,0),MATCH(T636,CC_FI,0)),
OFFSET('PARÁMETROS'!$K$38,MATCH(U636,JC_L,0),MATCH(T636,CC_L,0))))))))),"")</f>
        <v/>
      </c>
      <c r="W636" s="130"/>
      <c r="X636" s="135"/>
      <c r="Y636" s="136"/>
      <c r="Z636" s="30"/>
      <c r="AA636" s="31" t="str">
        <f>E635</f>
        <v/>
      </c>
    </row>
    <row r="637" ht="87.0" customHeight="1">
      <c r="A637" s="129"/>
      <c r="B637" s="130"/>
      <c r="C637" s="130"/>
      <c r="D637" s="130"/>
      <c r="E637" s="130"/>
      <c r="F637" s="130"/>
      <c r="G637" s="130"/>
      <c r="H637" s="130"/>
      <c r="I637" s="130"/>
      <c r="J637" s="130"/>
      <c r="K637" s="130"/>
      <c r="L637" s="130"/>
      <c r="M637" s="130"/>
      <c r="N637" s="130"/>
      <c r="O637" s="130"/>
      <c r="P637" s="132"/>
      <c r="Q637" s="134"/>
      <c r="R637" s="134"/>
      <c r="S637" s="134"/>
      <c r="T637" s="135"/>
      <c r="U637" s="135"/>
      <c r="V637" s="135" t="str">
        <f>IFERROR(IF(AA637="SEGURIDAD",OFFSET('PARÁMETROS'!$K$2,MATCH(U637,JC_SE,0),MATCH(T637,CC_SE,0)),
IF(OR(AA637="DSRC/Estratégico",AA637="DSRC/Operativo"),OFFSET('PARÁMETROS'!$K$11,MATCH(U637,JC_DS,0),MATCH(T637,CC_DS,0)),
IF(AA637="SALUD",OFFSET('PARÁMETROS'!$K$29,MATCH(U637,JC_SA,0),MATCH(T637,CC_SA,0)),
IF(AA637="MEDIO AMBIENTE",OFFSET('PARÁMETROS'!$K$20,MATCH(U637,JC_MA,0),MATCH(T637,CC_MA,0)),
IF(AA637="Rel. Gubernamentales",OFFSET('PARÁMETROS'!$K$48,MATCH(U637,JC_G,0),MATCH(T637,CC_G,0)),
IF(AA637="OPERACIONAL",OFFSET('PARÁMETROS'!$K$56,MATCH(U637,JC_OP,0),MATCH(T637,CC_OP,0)),
IF(AA637="FINANCIERO",OFFSET('PARÁMETROS'!$K$56,MATCH(U637,JC_FI,0),MATCH(T637,CC_FI,0)),
OFFSET('PARÁMETROS'!$K$38,MATCH(U637,JC_L,0),MATCH(T637,CC_L,0))))))))),"")</f>
        <v/>
      </c>
      <c r="W637" s="130"/>
      <c r="X637" s="135"/>
      <c r="Y637" s="136"/>
      <c r="Z637" s="30"/>
      <c r="AA637" s="31" t="str">
        <f>E635</f>
        <v/>
      </c>
    </row>
    <row r="638" ht="87.0" customHeight="1">
      <c r="A638" s="129"/>
      <c r="B638" s="130"/>
      <c r="C638" s="130"/>
      <c r="D638" s="130"/>
      <c r="E638" s="130"/>
      <c r="F638" s="130"/>
      <c r="G638" s="130"/>
      <c r="H638" s="130"/>
      <c r="I638" s="130"/>
      <c r="J638" s="130"/>
      <c r="K638" s="130"/>
      <c r="L638" s="130"/>
      <c r="M638" s="130"/>
      <c r="N638" s="130"/>
      <c r="O638" s="130"/>
      <c r="P638" s="132"/>
      <c r="Q638" s="134"/>
      <c r="R638" s="134"/>
      <c r="S638" s="134"/>
      <c r="T638" s="135"/>
      <c r="U638" s="135"/>
      <c r="V638" s="135" t="str">
        <f>IFERROR(IF(AA638="SEGURIDAD",OFFSET('PARÁMETROS'!$K$2,MATCH(U638,JC_SE,0),MATCH(T638,CC_SE,0)),
IF(OR(AA638="DSRC/Estratégico",AA638="DSRC/Operativo"),OFFSET('PARÁMETROS'!$K$11,MATCH(U638,JC_DS,0),MATCH(T638,CC_DS,0)),
IF(AA638="SALUD",OFFSET('PARÁMETROS'!$K$29,MATCH(U638,JC_SA,0),MATCH(T638,CC_SA,0)),
IF(AA638="MEDIO AMBIENTE",OFFSET('PARÁMETROS'!$K$20,MATCH(U638,JC_MA,0),MATCH(T638,CC_MA,0)),
IF(AA638="Rel. Gubernamentales",OFFSET('PARÁMETROS'!$K$48,MATCH(U638,JC_G,0),MATCH(T638,CC_G,0)),
IF(AA638="OPERACIONAL",OFFSET('PARÁMETROS'!$K$56,MATCH(U638,JC_OP,0),MATCH(T638,CC_OP,0)),
IF(AA638="FINANCIERO",OFFSET('PARÁMETROS'!$K$56,MATCH(U638,JC_FI,0),MATCH(T638,CC_FI,0)),
OFFSET('PARÁMETROS'!$K$38,MATCH(U638,JC_L,0),MATCH(T638,CC_L,0))))))))),"")</f>
        <v/>
      </c>
      <c r="W638" s="130"/>
      <c r="X638" s="135"/>
      <c r="Y638" s="136"/>
      <c r="Z638" s="30"/>
      <c r="AA638" s="31" t="str">
        <f>E635</f>
        <v/>
      </c>
    </row>
    <row r="639" ht="87.0" customHeight="1">
      <c r="A639" s="129"/>
      <c r="B639" s="130"/>
      <c r="C639" s="130"/>
      <c r="D639" s="130"/>
      <c r="E639" s="130"/>
      <c r="F639" s="130"/>
      <c r="G639" s="130"/>
      <c r="H639" s="130"/>
      <c r="I639" s="130"/>
      <c r="J639" s="130"/>
      <c r="K639" s="130"/>
      <c r="L639" s="130"/>
      <c r="M639" s="130"/>
      <c r="N639" s="130"/>
      <c r="O639" s="130"/>
      <c r="P639" s="132"/>
      <c r="Q639" s="134"/>
      <c r="R639" s="134"/>
      <c r="S639" s="134"/>
      <c r="T639" s="135"/>
      <c r="U639" s="135"/>
      <c r="V639" s="135" t="str">
        <f>IFERROR(IF(AA639="SEGURIDAD",OFFSET('PARÁMETROS'!$K$2,MATCH(U639,JC_SE,0),MATCH(T639,CC_SE,0)),
IF(OR(AA639="DSRC/Estratégico",AA639="DSRC/Operativo"),OFFSET('PARÁMETROS'!$K$11,MATCH(U639,JC_DS,0),MATCH(T639,CC_DS,0)),
IF(AA639="SALUD",OFFSET('PARÁMETROS'!$K$29,MATCH(U639,JC_SA,0),MATCH(T639,CC_SA,0)),
IF(AA639="MEDIO AMBIENTE",OFFSET('PARÁMETROS'!$K$20,MATCH(U639,JC_MA,0),MATCH(T639,CC_MA,0)),
IF(AA639="Rel. Gubernamentales",OFFSET('PARÁMETROS'!$K$48,MATCH(U639,JC_G,0),MATCH(T639,CC_G,0)),
IF(AA639="OPERACIONAL",OFFSET('PARÁMETROS'!$K$56,MATCH(U639,JC_OP,0),MATCH(T639,CC_OP,0)),
IF(AA639="FINANCIERO",OFFSET('PARÁMETROS'!$K$56,MATCH(U639,JC_FI,0),MATCH(T639,CC_FI,0)),
OFFSET('PARÁMETROS'!$K$38,MATCH(U639,JC_L,0),MATCH(T639,CC_L,0))))))))),"")</f>
        <v/>
      </c>
      <c r="W639" s="130"/>
      <c r="X639" s="135"/>
      <c r="Y639" s="136"/>
      <c r="Z639" s="30"/>
      <c r="AA639" s="31" t="str">
        <f>E635</f>
        <v/>
      </c>
    </row>
    <row r="640" ht="87.0" customHeight="1">
      <c r="A640" s="129"/>
      <c r="B640" s="130"/>
      <c r="C640" s="130"/>
      <c r="D640" s="130"/>
      <c r="E640" s="130"/>
      <c r="F640" s="130"/>
      <c r="G640" s="130"/>
      <c r="H640" s="130"/>
      <c r="I640" s="130"/>
      <c r="J640" s="130"/>
      <c r="K640" s="130"/>
      <c r="L640" s="130"/>
      <c r="M640" s="130"/>
      <c r="N640" s="130"/>
      <c r="O640" s="130"/>
      <c r="P640" s="132"/>
      <c r="Q640" s="134"/>
      <c r="R640" s="134"/>
      <c r="S640" s="134"/>
      <c r="T640" s="135"/>
      <c r="U640" s="135"/>
      <c r="V640" s="135" t="str">
        <f>IFERROR(IF(AA640="SEGURIDAD",OFFSET('PARÁMETROS'!$K$2,MATCH(U640,JC_SE,0),MATCH(T640,CC_SE,0)),
IF(OR(AA640="DSRC/Estratégico",AA640="DSRC/Operativo"),OFFSET('PARÁMETROS'!$K$11,MATCH(U640,JC_DS,0),MATCH(T640,CC_DS,0)),
IF(AA640="SALUD",OFFSET('PARÁMETROS'!$K$29,MATCH(U640,JC_SA,0),MATCH(T640,CC_SA,0)),
IF(AA640="MEDIO AMBIENTE",OFFSET('PARÁMETROS'!$K$20,MATCH(U640,JC_MA,0),MATCH(T640,CC_MA,0)),
IF(AA640="Rel. Gubernamentales",OFFSET('PARÁMETROS'!$K$48,MATCH(U640,JC_G,0),MATCH(T640,CC_G,0)),
IF(AA640="OPERACIONAL",OFFSET('PARÁMETROS'!$K$56,MATCH(U640,JC_OP,0),MATCH(T640,CC_OP,0)),
IF(AA640="FINANCIERO",OFFSET('PARÁMETROS'!$K$56,MATCH(U640,JC_FI,0),MATCH(T640,CC_FI,0)),
OFFSET('PARÁMETROS'!$K$38,MATCH(U640,JC_L,0),MATCH(T640,CC_L,0))))))))),"")</f>
        <v/>
      </c>
      <c r="W640" s="130"/>
      <c r="X640" s="135"/>
      <c r="Y640" s="136"/>
      <c r="Z640" s="30"/>
      <c r="AA640" s="31" t="str">
        <f>E635</f>
        <v/>
      </c>
    </row>
    <row r="641" ht="87.0" customHeight="1">
      <c r="A641" s="129"/>
      <c r="B641" s="130"/>
      <c r="C641" s="130"/>
      <c r="D641" s="130"/>
      <c r="E641" s="130"/>
      <c r="F641" s="130"/>
      <c r="G641" s="130"/>
      <c r="H641" s="130"/>
      <c r="I641" s="130"/>
      <c r="J641" s="130"/>
      <c r="K641" s="130"/>
      <c r="L641" s="130"/>
      <c r="M641" s="130"/>
      <c r="N641" s="130"/>
      <c r="O641" s="130"/>
      <c r="P641" s="132"/>
      <c r="Q641" s="134"/>
      <c r="R641" s="134"/>
      <c r="S641" s="134"/>
      <c r="T641" s="135"/>
      <c r="U641" s="135"/>
      <c r="V641" s="135" t="str">
        <f>IFERROR(IF(AA641="SEGURIDAD",OFFSET('PARÁMETROS'!$K$2,MATCH(U641,JC_SE,0),MATCH(T641,CC_SE,0)),
IF(OR(AA641="DSRC/Estratégico",AA641="DSRC/Operativo"),OFFSET('PARÁMETROS'!$K$11,MATCH(U641,JC_DS,0),MATCH(T641,CC_DS,0)),
IF(AA641="SALUD",OFFSET('PARÁMETROS'!$K$29,MATCH(U641,JC_SA,0),MATCH(T641,CC_SA,0)),
IF(AA641="MEDIO AMBIENTE",OFFSET('PARÁMETROS'!$K$20,MATCH(U641,JC_MA,0),MATCH(T641,CC_MA,0)),
IF(AA641="Rel. Gubernamentales",OFFSET('PARÁMETROS'!$K$48,MATCH(U641,JC_G,0),MATCH(T641,CC_G,0)),
IF(AA641="OPERACIONAL",OFFSET('PARÁMETROS'!$K$56,MATCH(U641,JC_OP,0),MATCH(T641,CC_OP,0)),
IF(AA641="FINANCIERO",OFFSET('PARÁMETROS'!$K$56,MATCH(U641,JC_FI,0),MATCH(T641,CC_FI,0)),
OFFSET('PARÁMETROS'!$K$38,MATCH(U641,JC_L,0),MATCH(T641,CC_L,0))))))))),"")</f>
        <v/>
      </c>
      <c r="W641" s="130"/>
      <c r="X641" s="135"/>
      <c r="Y641" s="136"/>
      <c r="Z641" s="30"/>
      <c r="AA641" s="31" t="str">
        <f>E635</f>
        <v/>
      </c>
    </row>
    <row r="642" ht="87.0" customHeight="1">
      <c r="A642" s="129"/>
      <c r="B642" s="130"/>
      <c r="C642" s="130"/>
      <c r="D642" s="130"/>
      <c r="E642" s="130"/>
      <c r="F642" s="130"/>
      <c r="G642" s="130"/>
      <c r="H642" s="130"/>
      <c r="I642" s="130"/>
      <c r="J642" s="130"/>
      <c r="K642" s="130"/>
      <c r="L642" s="130"/>
      <c r="M642" s="130"/>
      <c r="N642" s="130"/>
      <c r="O642" s="130"/>
      <c r="P642" s="132"/>
      <c r="Q642" s="134"/>
      <c r="R642" s="134"/>
      <c r="S642" s="134"/>
      <c r="T642" s="135"/>
      <c r="U642" s="135"/>
      <c r="V642" s="135" t="str">
        <f>IFERROR(IF(AA642="SEGURIDAD",OFFSET('PARÁMETROS'!$K$2,MATCH(U642,JC_SE,0),MATCH(T642,CC_SE,0)),
IF(OR(AA642="DSRC/Estratégico",AA642="DSRC/Operativo"),OFFSET('PARÁMETROS'!$K$11,MATCH(U642,JC_DS,0),MATCH(T642,CC_DS,0)),
IF(AA642="SALUD",OFFSET('PARÁMETROS'!$K$29,MATCH(U642,JC_SA,0),MATCH(T642,CC_SA,0)),
IF(AA642="MEDIO AMBIENTE",OFFSET('PARÁMETROS'!$K$20,MATCH(U642,JC_MA,0),MATCH(T642,CC_MA,0)),
IF(AA642="Rel. Gubernamentales",OFFSET('PARÁMETROS'!$K$48,MATCH(U642,JC_G,0),MATCH(T642,CC_G,0)),
IF(AA642="OPERACIONAL",OFFSET('PARÁMETROS'!$K$56,MATCH(U642,JC_OP,0),MATCH(T642,CC_OP,0)),
IF(AA642="FINANCIERO",OFFSET('PARÁMETROS'!$K$56,MATCH(U642,JC_FI,0),MATCH(T642,CC_FI,0)),
OFFSET('PARÁMETROS'!$K$38,MATCH(U642,JC_L,0),MATCH(T642,CC_L,0))))))))),"")</f>
        <v/>
      </c>
      <c r="W642" s="130"/>
      <c r="X642" s="135"/>
      <c r="Y642" s="136"/>
      <c r="Z642" s="30"/>
      <c r="AA642" s="31" t="str">
        <f>E635</f>
        <v/>
      </c>
    </row>
    <row r="643" ht="87.0" customHeight="1">
      <c r="A643" s="129"/>
      <c r="B643" s="130"/>
      <c r="C643" s="130"/>
      <c r="D643" s="130"/>
      <c r="E643" s="130"/>
      <c r="F643" s="130"/>
      <c r="G643" s="130"/>
      <c r="H643" s="130"/>
      <c r="I643" s="130"/>
      <c r="J643" s="130"/>
      <c r="K643" s="130"/>
      <c r="L643" s="130"/>
      <c r="M643" s="130"/>
      <c r="N643" s="130"/>
      <c r="O643" s="130"/>
      <c r="P643" s="132"/>
      <c r="Q643" s="134"/>
      <c r="R643" s="134"/>
      <c r="S643" s="134"/>
      <c r="T643" s="135"/>
      <c r="U643" s="135"/>
      <c r="V643" s="135" t="str">
        <f>IFERROR(IF(AA643="SEGURIDAD",OFFSET('PARÁMETROS'!$K$2,MATCH(U643,JC_SE,0),MATCH(T643,CC_SE,0)),
IF(OR(AA643="DSRC/Estratégico",AA643="DSRC/Operativo"),OFFSET('PARÁMETROS'!$K$11,MATCH(U643,JC_DS,0),MATCH(T643,CC_DS,0)),
IF(AA643="SALUD",OFFSET('PARÁMETROS'!$K$29,MATCH(U643,JC_SA,0),MATCH(T643,CC_SA,0)),
IF(AA643="MEDIO AMBIENTE",OFFSET('PARÁMETROS'!$K$20,MATCH(U643,JC_MA,0),MATCH(T643,CC_MA,0)),
IF(AA643="Rel. Gubernamentales",OFFSET('PARÁMETROS'!$K$48,MATCH(U643,JC_G,0),MATCH(T643,CC_G,0)),
IF(AA643="OPERACIONAL",OFFSET('PARÁMETROS'!$K$56,MATCH(U643,JC_OP,0),MATCH(T643,CC_OP,0)),
IF(AA643="FINANCIERO",OFFSET('PARÁMETROS'!$K$56,MATCH(U643,JC_FI,0),MATCH(T643,CC_FI,0)),
OFFSET('PARÁMETROS'!$K$38,MATCH(U643,JC_L,0),MATCH(T643,CC_L,0))))))))),"")</f>
        <v/>
      </c>
      <c r="W643" s="130"/>
      <c r="X643" s="135"/>
      <c r="Y643" s="136"/>
      <c r="Z643" s="30"/>
      <c r="AA643" s="31" t="str">
        <f>E635</f>
        <v/>
      </c>
    </row>
    <row r="644" ht="87.0" customHeight="1">
      <c r="A644" s="129"/>
      <c r="B644" s="130"/>
      <c r="C644" s="130"/>
      <c r="D644" s="130"/>
      <c r="E644" s="130"/>
      <c r="F644" s="130"/>
      <c r="G644" s="130"/>
      <c r="H644" s="130"/>
      <c r="I644" s="130"/>
      <c r="J644" s="130"/>
      <c r="K644" s="130"/>
      <c r="L644" s="130"/>
      <c r="M644" s="130"/>
      <c r="N644" s="130"/>
      <c r="O644" s="130"/>
      <c r="P644" s="132"/>
      <c r="Q644" s="134"/>
      <c r="R644" s="134"/>
      <c r="S644" s="134"/>
      <c r="T644" s="135"/>
      <c r="U644" s="135"/>
      <c r="V644" s="135" t="str">
        <f>IFERROR(IF(AA644="SEGURIDAD",OFFSET('PARÁMETROS'!$K$2,MATCH(U644,JC_SE,0),MATCH(T644,CC_SE,0)),
IF(OR(AA644="DSRC/Estratégico",AA644="DSRC/Operativo"),OFFSET('PARÁMETROS'!$K$11,MATCH(U644,JC_DS,0),MATCH(T644,CC_DS,0)),
IF(AA644="SALUD",OFFSET('PARÁMETROS'!$K$29,MATCH(U644,JC_SA,0),MATCH(T644,CC_SA,0)),
IF(AA644="MEDIO AMBIENTE",OFFSET('PARÁMETROS'!$K$20,MATCH(U644,JC_MA,0),MATCH(T644,CC_MA,0)),
IF(AA644="Rel. Gubernamentales",OFFSET('PARÁMETROS'!$K$48,MATCH(U644,JC_G,0),MATCH(T644,CC_G,0)),
IF(AA644="OPERACIONAL",OFFSET('PARÁMETROS'!$K$56,MATCH(U644,JC_OP,0),MATCH(T644,CC_OP,0)),
IF(AA644="FINANCIERO",OFFSET('PARÁMETROS'!$K$56,MATCH(U644,JC_FI,0),MATCH(T644,CC_FI,0)),
OFFSET('PARÁMETROS'!$K$38,MATCH(U644,JC_L,0),MATCH(T644,CC_L,0))))))))),"")</f>
        <v/>
      </c>
      <c r="W644" s="130"/>
      <c r="X644" s="135"/>
      <c r="Y644" s="136"/>
      <c r="Z644" s="30"/>
      <c r="AA644" s="31" t="str">
        <f>E635</f>
        <v/>
      </c>
    </row>
    <row r="645" ht="87.0" customHeight="1">
      <c r="A645" s="129"/>
      <c r="B645" s="130"/>
      <c r="C645" s="130"/>
      <c r="D645" s="130"/>
      <c r="E645" s="130"/>
      <c r="F645" s="130"/>
      <c r="G645" s="130"/>
      <c r="H645" s="130"/>
      <c r="I645" s="130"/>
      <c r="J645" s="130"/>
      <c r="K645" s="130"/>
      <c r="L645" s="130"/>
      <c r="M645" s="130"/>
      <c r="N645" s="130"/>
      <c r="O645" s="130"/>
      <c r="P645" s="132"/>
      <c r="Q645" s="134"/>
      <c r="R645" s="134"/>
      <c r="S645" s="134"/>
      <c r="T645" s="135"/>
      <c r="U645" s="135"/>
      <c r="V645" s="135" t="str">
        <f>IFERROR(IF(AA645="SEGURIDAD",OFFSET('PARÁMETROS'!$K$2,MATCH(U645,JC_SE,0),MATCH(T645,CC_SE,0)),
IF(OR(AA645="DSRC/Estratégico",AA645="DSRC/Operativo"),OFFSET('PARÁMETROS'!$K$11,MATCH(U645,JC_DS,0),MATCH(T645,CC_DS,0)),
IF(AA645="SALUD",OFFSET('PARÁMETROS'!$K$29,MATCH(U645,JC_SA,0),MATCH(T645,CC_SA,0)),
IF(AA645="MEDIO AMBIENTE",OFFSET('PARÁMETROS'!$K$20,MATCH(U645,JC_MA,0),MATCH(T645,CC_MA,0)),
IF(AA645="Rel. Gubernamentales",OFFSET('PARÁMETROS'!$K$48,MATCH(U645,JC_G,0),MATCH(T645,CC_G,0)),
IF(AA645="OPERACIONAL",OFFSET('PARÁMETROS'!$K$56,MATCH(U645,JC_OP,0),MATCH(T645,CC_OP,0)),
IF(AA645="FINANCIERO",OFFSET('PARÁMETROS'!$K$56,MATCH(U645,JC_FI,0),MATCH(T645,CC_FI,0)),
OFFSET('PARÁMETROS'!$K$38,MATCH(U645,JC_L,0),MATCH(T645,CC_L,0))))))))),"")</f>
        <v/>
      </c>
      <c r="W645" s="130"/>
      <c r="X645" s="135"/>
      <c r="Y645" s="136"/>
      <c r="Z645" s="30"/>
      <c r="AA645" s="31" t="str">
        <f>E635</f>
        <v/>
      </c>
    </row>
    <row r="646" ht="87.0" customHeight="1">
      <c r="A646" s="129"/>
      <c r="B646" s="130"/>
      <c r="C646" s="130"/>
      <c r="D646" s="130"/>
      <c r="E646" s="130"/>
      <c r="F646" s="130"/>
      <c r="G646" s="130"/>
      <c r="H646" s="130"/>
      <c r="I646" s="130"/>
      <c r="J646" s="130"/>
      <c r="K646" s="130"/>
      <c r="L646" s="130"/>
      <c r="M646" s="130"/>
      <c r="N646" s="130"/>
      <c r="O646" s="130"/>
      <c r="P646" s="132"/>
      <c r="Q646" s="134"/>
      <c r="R646" s="134"/>
      <c r="S646" s="134"/>
      <c r="T646" s="135"/>
      <c r="U646" s="135"/>
      <c r="V646" s="135" t="str">
        <f>IFERROR(IF(AA646="SEGURIDAD",OFFSET('PARÁMETROS'!$K$2,MATCH(U646,JC_SE,0),MATCH(T646,CC_SE,0)),
IF(OR(AA646="DSRC/Estratégico",AA646="DSRC/Operativo"),OFFSET('PARÁMETROS'!$K$11,MATCH(U646,JC_DS,0),MATCH(T646,CC_DS,0)),
IF(AA646="SALUD",OFFSET('PARÁMETROS'!$K$29,MATCH(U646,JC_SA,0),MATCH(T646,CC_SA,0)),
IF(AA646="MEDIO AMBIENTE",OFFSET('PARÁMETROS'!$K$20,MATCH(U646,JC_MA,0),MATCH(T646,CC_MA,0)),
IF(AA646="Rel. Gubernamentales",OFFSET('PARÁMETROS'!$K$48,MATCH(U646,JC_G,0),MATCH(T646,CC_G,0)),
IF(AA646="OPERACIONAL",OFFSET('PARÁMETROS'!$K$56,MATCH(U646,JC_OP,0),MATCH(T646,CC_OP,0)),
IF(AA646="FINANCIERO",OFFSET('PARÁMETROS'!$K$56,MATCH(U646,JC_FI,0),MATCH(T646,CC_FI,0)),
OFFSET('PARÁMETROS'!$K$38,MATCH(U646,JC_L,0),MATCH(T646,CC_L,0))))))))),"")</f>
        <v/>
      </c>
      <c r="W646" s="130"/>
      <c r="X646" s="135"/>
      <c r="Y646" s="136"/>
      <c r="Z646" s="30"/>
      <c r="AA646" s="31" t="str">
        <f>E635</f>
        <v/>
      </c>
    </row>
    <row r="647" ht="87.0" customHeight="1">
      <c r="A647" s="129"/>
      <c r="B647" s="130"/>
      <c r="C647" s="130"/>
      <c r="D647" s="130"/>
      <c r="E647" s="130"/>
      <c r="F647" s="130"/>
      <c r="G647" s="130"/>
      <c r="H647" s="130"/>
      <c r="I647" s="130"/>
      <c r="J647" s="130"/>
      <c r="K647" s="130"/>
      <c r="L647" s="130"/>
      <c r="M647" s="130"/>
      <c r="N647" s="130"/>
      <c r="O647" s="130"/>
      <c r="P647" s="132"/>
      <c r="Q647" s="134"/>
      <c r="R647" s="134"/>
      <c r="S647" s="134"/>
      <c r="T647" s="135"/>
      <c r="U647" s="135"/>
      <c r="V647" s="135" t="str">
        <f>IFERROR(IF(AA647="SEGURIDAD",OFFSET('PARÁMETROS'!$K$2,MATCH(U647,JC_SE,0),MATCH(T647,CC_SE,0)),
IF(OR(AA647="DSRC/Estratégico",AA647="DSRC/Operativo"),OFFSET('PARÁMETROS'!$K$11,MATCH(U647,JC_DS,0),MATCH(T647,CC_DS,0)),
IF(AA647="SALUD",OFFSET('PARÁMETROS'!$K$29,MATCH(U647,JC_SA,0),MATCH(T647,CC_SA,0)),
IF(AA647="MEDIO AMBIENTE",OFFSET('PARÁMETROS'!$K$20,MATCH(U647,JC_MA,0),MATCH(T647,CC_MA,0)),
IF(AA647="Rel. Gubernamentales",OFFSET('PARÁMETROS'!$K$48,MATCH(U647,JC_G,0),MATCH(T647,CC_G,0)),
IF(AA647="OPERACIONAL",OFFSET('PARÁMETROS'!$K$56,MATCH(U647,JC_OP,0),MATCH(T647,CC_OP,0)),
IF(AA647="FINANCIERO",OFFSET('PARÁMETROS'!$K$56,MATCH(U647,JC_FI,0),MATCH(T647,CC_FI,0)),
OFFSET('PARÁMETROS'!$K$38,MATCH(U647,JC_L,0),MATCH(T647,CC_L,0))))))))),"")</f>
        <v/>
      </c>
      <c r="W647" s="130"/>
      <c r="X647" s="135"/>
      <c r="Y647" s="136"/>
      <c r="Z647" s="30"/>
      <c r="AA647" s="31" t="str">
        <f>E635</f>
        <v/>
      </c>
    </row>
    <row r="648" ht="87.0" customHeight="1">
      <c r="A648" s="129"/>
      <c r="B648" s="130"/>
      <c r="C648" s="130"/>
      <c r="D648" s="130"/>
      <c r="E648" s="130"/>
      <c r="F648" s="130"/>
      <c r="G648" s="130"/>
      <c r="H648" s="130"/>
      <c r="I648" s="130"/>
      <c r="J648" s="130"/>
      <c r="K648" s="130"/>
      <c r="L648" s="130"/>
      <c r="M648" s="130"/>
      <c r="N648" s="130"/>
      <c r="O648" s="130"/>
      <c r="P648" s="132"/>
      <c r="Q648" s="134"/>
      <c r="R648" s="134"/>
      <c r="S648" s="134"/>
      <c r="T648" s="135"/>
      <c r="U648" s="135"/>
      <c r="V648" s="135" t="str">
        <f>IFERROR(IF(AA648="SEGURIDAD",OFFSET('PARÁMETROS'!$K$2,MATCH(U648,JC_SE,0),MATCH(T648,CC_SE,0)),
IF(OR(AA648="DSRC/Estratégico",AA648="DSRC/Operativo"),OFFSET('PARÁMETROS'!$K$11,MATCH(U648,JC_DS,0),MATCH(T648,CC_DS,0)),
IF(AA648="SALUD",OFFSET('PARÁMETROS'!$K$29,MATCH(U648,JC_SA,0),MATCH(T648,CC_SA,0)),
IF(AA648="MEDIO AMBIENTE",OFFSET('PARÁMETROS'!$K$20,MATCH(U648,JC_MA,0),MATCH(T648,CC_MA,0)),
IF(AA648="Rel. Gubernamentales",OFFSET('PARÁMETROS'!$K$48,MATCH(U648,JC_G,0),MATCH(T648,CC_G,0)),
IF(AA648="OPERACIONAL",OFFSET('PARÁMETROS'!$K$56,MATCH(U648,JC_OP,0),MATCH(T648,CC_OP,0)),
IF(AA648="FINANCIERO",OFFSET('PARÁMETROS'!$K$56,MATCH(U648,JC_FI,0),MATCH(T648,CC_FI,0)),
OFFSET('PARÁMETROS'!$K$38,MATCH(U648,JC_L,0),MATCH(T648,CC_L,0))))))))),"")</f>
        <v/>
      </c>
      <c r="W648" s="130"/>
      <c r="X648" s="135"/>
      <c r="Y648" s="136"/>
      <c r="Z648" s="30"/>
      <c r="AA648" s="31" t="str">
        <f>E635</f>
        <v/>
      </c>
    </row>
    <row r="649" ht="87.0" customHeight="1">
      <c r="A649" s="129"/>
      <c r="B649" s="130"/>
      <c r="C649" s="130"/>
      <c r="D649" s="130"/>
      <c r="E649" s="130"/>
      <c r="F649" s="130"/>
      <c r="G649" s="130"/>
      <c r="H649" s="130"/>
      <c r="I649" s="130"/>
      <c r="J649" s="130"/>
      <c r="K649" s="130"/>
      <c r="L649" s="130"/>
      <c r="M649" s="130"/>
      <c r="N649" s="130"/>
      <c r="O649" s="130"/>
      <c r="P649" s="132"/>
      <c r="Q649" s="134"/>
      <c r="R649" s="134"/>
      <c r="S649" s="134"/>
      <c r="T649" s="135"/>
      <c r="U649" s="135"/>
      <c r="V649" s="135" t="str">
        <f>IFERROR(IF(AA649="SEGURIDAD",OFFSET('PARÁMETROS'!$K$2,MATCH(U649,JC_SE,0),MATCH(T649,CC_SE,0)),
IF(OR(AA649="DSRC/Estratégico",AA649="DSRC/Operativo"),OFFSET('PARÁMETROS'!$K$11,MATCH(U649,JC_DS,0),MATCH(T649,CC_DS,0)),
IF(AA649="SALUD",OFFSET('PARÁMETROS'!$K$29,MATCH(U649,JC_SA,0),MATCH(T649,CC_SA,0)),
IF(AA649="MEDIO AMBIENTE",OFFSET('PARÁMETROS'!$K$20,MATCH(U649,JC_MA,0),MATCH(T649,CC_MA,0)),
IF(AA649="Rel. Gubernamentales",OFFSET('PARÁMETROS'!$K$48,MATCH(U649,JC_G,0),MATCH(T649,CC_G,0)),
IF(AA649="OPERACIONAL",OFFSET('PARÁMETROS'!$K$56,MATCH(U649,JC_OP,0),MATCH(T649,CC_OP,0)),
IF(AA649="FINANCIERO",OFFSET('PARÁMETROS'!$K$56,MATCH(U649,JC_FI,0),MATCH(T649,CC_FI,0)),
OFFSET('PARÁMETROS'!$K$38,MATCH(U649,JC_L,0),MATCH(T649,CC_L,0))))))))),"")</f>
        <v/>
      </c>
      <c r="W649" s="130"/>
      <c r="X649" s="135"/>
      <c r="Y649" s="136"/>
      <c r="Z649" s="30"/>
      <c r="AA649" s="31" t="str">
        <f>E635</f>
        <v/>
      </c>
    </row>
    <row r="650" ht="87.0" customHeight="1">
      <c r="A650" s="89"/>
      <c r="B650" s="90"/>
      <c r="C650" s="90"/>
      <c r="D650" s="157"/>
      <c r="E650" s="157"/>
      <c r="F650" s="157"/>
      <c r="G650" s="157"/>
      <c r="H650" s="157"/>
      <c r="I650" s="90"/>
      <c r="J650" s="90"/>
      <c r="K650" s="90"/>
      <c r="L650" s="90"/>
      <c r="M650" s="90"/>
      <c r="N650" s="90"/>
      <c r="O650" s="90"/>
      <c r="P650" s="132"/>
      <c r="Q650" s="134"/>
      <c r="R650" s="145"/>
      <c r="S650" s="145"/>
      <c r="T650" s="135"/>
      <c r="U650" s="135"/>
      <c r="V650" s="135" t="str">
        <f>IFERROR(IF(AA650="SEGURIDAD",OFFSET('PARÁMETROS'!$K$2,MATCH(U650,JC_SE,0),MATCH(T650,CC_SE,0)),
IF(OR(AA650="DSRC/Estratégico",AA650="DSRC/Operativo"),OFFSET('PARÁMETROS'!$K$11,MATCH(U650,JC_DS,0),MATCH(T650,CC_DS,0)),
IF(AA650="SALUD",OFFSET('PARÁMETROS'!$K$29,MATCH(U650,JC_SA,0),MATCH(T650,CC_SA,0)),
IF(AA650="MEDIO AMBIENTE",OFFSET('PARÁMETROS'!$K$20,MATCH(U650,JC_MA,0),MATCH(T650,CC_MA,0)),
IF(AA650="Rel. Gubernamentales",OFFSET('PARÁMETROS'!$K$48,MATCH(U650,JC_G,0),MATCH(T650,CC_G,0)),
IF(AA650="OPERACIONAL",OFFSET('PARÁMETROS'!$K$56,MATCH(U650,JC_OP,0),MATCH(T650,CC_OP,0)),
IF(AA650="FINANCIERO",OFFSET('PARÁMETROS'!$K$56,MATCH(U650,JC_FI,0),MATCH(T650,CC_FI,0)),
OFFSET('PARÁMETROS'!$K$38,MATCH(U650,JC_L,0),MATCH(T650,CC_L,0))))))))),"")</f>
        <v/>
      </c>
      <c r="W650" s="90"/>
      <c r="X650" s="135"/>
      <c r="Y650" s="136"/>
      <c r="Z650" s="30"/>
      <c r="AA650" s="31" t="str">
        <f>E635</f>
        <v/>
      </c>
    </row>
    <row r="651" ht="87.0" customHeight="1">
      <c r="A651" s="102"/>
      <c r="B651" s="103"/>
      <c r="C651" s="103"/>
      <c r="D651" s="103"/>
      <c r="E651" s="103"/>
      <c r="F651" s="103"/>
      <c r="G651" s="105"/>
      <c r="H651" s="103"/>
      <c r="I651" s="105"/>
      <c r="J651" s="103"/>
      <c r="K651" s="103"/>
      <c r="L651" s="103" t="str">
        <f>IF(OR(J651&lt;&gt;"",K651&lt;&gt;""),OFFSET('PARÁMETROS'!$B$2,K651,J651),"")</f>
        <v/>
      </c>
      <c r="M651" s="103"/>
      <c r="N651" s="103">
        <f>IFERROR(L651*M651,"")</f>
        <v>0</v>
      </c>
      <c r="O651" s="108" t="str">
        <f>IF(N651="","",IFERROR(IF(N651&lt;=2,"ACEPTABLE",IF(N651&lt;=6,"BAJA",IF(N651&lt;=10,"ACEPTABLE CON REVISIÓN",IF(N651&lt;=15,"SUSTANCIAL","INACEPTABLE")))),""))</f>
        <v>ACEPTABLE</v>
      </c>
      <c r="P651" s="113"/>
      <c r="Q651" s="114"/>
      <c r="R651" s="114"/>
      <c r="S651" s="114"/>
      <c r="T651" s="115"/>
      <c r="U651" s="115"/>
      <c r="V651" s="115" t="str">
        <f>IFERROR(IF(AA651="SEGURIDAD",OFFSET('PARÁMETROS'!$K$2,MATCH(U651,JC_SE,0),MATCH(T651,CC_SE,0)),
IF(OR(AA651="DSRC/Estratégico",AA651="DSRC/Operativo"),OFFSET('PARÁMETROS'!$K$11,MATCH(U651,JC_DS,0),MATCH(T651,CC_DS,0)),
IF(AA651="SALUD",OFFSET('PARÁMETROS'!$K$29,MATCH(U651,JC_SA,0),MATCH(T651,CC_SA,0)),
IF(AA651="MEDIO AMBIENTE",OFFSET('PARÁMETROS'!$K$20,MATCH(U651,JC_MA,0),MATCH(T651,CC_MA,0)),
IF(AA651="Rel. Gubernamentales",OFFSET('PARÁMETROS'!$K$48,MATCH(U651,JC_G,0),MATCH(T651,CC_G,0)),
IF(AA651="OPERACIONAL",OFFSET('PARÁMETROS'!$K$56,MATCH(U651,JC_OP,0),MATCH(T651,CC_OP,0)),
IF(AA651="FINANCIERO",OFFSET('PARÁMETROS'!$K$56,MATCH(U651,JC_FI,0),MATCH(T651,CC_FI,0)),
OFFSET('PARÁMETROS'!$K$38,MATCH(U651,JC_L,0),MATCH(T651,CC_L,0))))))))),"")</f>
        <v/>
      </c>
      <c r="W651" s="108" t="str">
        <f>IF(E651="","",
IF(COUNTA(V651:V666)-COUNTBLANK(V651:V666)=1,
IF(O651="INACEPTABLE",IF(COUNTIF(V651:V666,"Control/Acción Eficaz")&gt;=1,"SUSTANCIAL","INACEPTABLE"),
IF(O651="SUSTANCIAL",IF(COUNTIF(V651:V666,"Control/Acción Eficaz")&gt;=1,"ACEPTABLE CON REVISIÓN","SUSTANCIAL"),
IF(O651="ACEPTABLE CON REVISIÓN",IF(COUNTIF(V651:V666,"Control/Acción Eficaz")&gt;=1,"BAJA","ACEPTABLE CON REVISIÓN"),
IF(O651="BAJA",IF(COUNTIF(V651:V666,"Control/Acción Eficaz")&gt;=1,"ACEPTABLE","BAJA"),)))),
IF(COUNTA(V651:V666)-COUNTBLANK(V651:V666)=2,
IF(O651="INACEPTABLE",IF(COUNTIF(V651:V666,"Control/Acción Eficaz")=2,"ACEPTABLE CON REVISIÓN",
IF(OR(AND(COUNTIF(V651:V666,"Control/Acción Eficaz")=1,COUNTIF(V651:V666,"Control/Acción Satisfactorio")=1),
AND(COUNTIF(V651:V666,"Control/Acción Eficaz")=1,COUNTIF(V651:V666,"Control/Acción No Eficaz")=1)),"SUSTANCIAL","INACEPTABLE")),
IF(O651="SUSTANCIAL",IF(COUNTIF(V651:V666,"Control/Acción Eficaz")=2,"BAJA",
IF(OR(AND(COUNTIF(V651:V666,"Control/Acción Eficaz")=1,COUNTIF(V651:V666,"Control/Acción Satisfactorio")=1),
AND(COUNTIF(V651:V666,"Control/Acción Eficaz")=1,COUNTIF(V651:V666,"Control/Acción No Eficaz")=1)),"ACEPTABLE CON REVISIÓN ","SUSTANCIAL")),
IF(O651="ACEPTABLE CON REVISIÓN",IF(COUNTIF(V651:V666,"Control/Acción Eficaz")=2,"ACEPTABLE",
IF(OR(AND(COUNTIF(V651:V666,"Control/Acción Eficaz")=1,COUNTIF(V651:V666,"Control/Acción Satisfactorio")=1),
AND(COUNTIF(V651:V666,"Control/Acción Eficaz")=1,COUNTIF(V651:V666,"Control/Acción No Eficaz")=1)),"BAJA","ACEPTABLE CON REVISIÓN")),
IF(O651="BAJA",IF(COUNTIF(V651:V666,"Control/Acción Eficaz")&gt;=2,"ACEPTABLE","BAJA"),)))),
IF(COUNTA(V651:V666)-COUNTBLANK(V651:V666)&gt;=3,
IF(O651="INACEPTABLE",
IF(COUNTBLANK(V651:V666)=COUNTA(V651:V666),"",
IF(COUNTIF(V651:V666,"Control/Acción No Eficaz")&gt;=2,"INACEPTABLE",
IF(AND(COUNTIF(V651:V666,"Control/Acción No Eficaz")=0,COUNTIF(V651:V666,"Control/Acción Eficaz")&gt;=2),"ACEPTABLE CON REVISIÓN ","SUSTANCIAL"))),
IF(O651="SUSTANCIAL",
IF(COUNTBLANK(V651:V666)=COUNTA(V651:V666),"",
IF(COUNTIF(V651:V666,"Control/Acción No Eficaz")&gt;=2,"SUSTANCIAL",
IF(AND(COUNTIF(V651:V666,"Control/Acción No Eficaz")=0,COUNTIF(V651:V666,"Control/Acción Eficaz")&gt;=2),"BAJA","ACEPTABLE CON REVISIÓN"))),
IF(O651="ACEPTABLE CON REVISIÓN",
IF(COUNTBLANK(V651:V666)=COUNTA(V651:V666),"",
IF(COUNTIF(V651:V666,"Control/Acción No Eficaz")&gt;=2,"ACEPTABLE CON REVISIÓN",
IF(AND(COUNTIF(V651:V666,"Control/Acción No Eficaz")=0,COUNTIF(V651:V666,"Control/Acción Eficaz")&gt;=2),"ACEPTABLE","BAJA"))),
IF(O651="BAJA",
IF(COUNTBLANK(V651:V666)=COUNTA(V651:V666),"",
IF(AND(COUNTBLANK(V651:V666)&lt;1,COUNTA(V651:V666)=1),
IF(COUNTIF(V651:V666,"Control/Acción No Eficaz")&gt;=2,"BAJA",
IF(AND(COUNTIF(V651:V666,"Control/Acción No Eficaz")=0,COUNTIF(V651:V666,"Control/Acción Eficaz")&gt;=2),"ACEPTABLE","BAJA")),
IF(COUNTIF(V651:V666,"Control/Acción No Eficaz")&gt;=2,"BAJA",
IF(AND(COUNTIF(V651:V666,"Control/Acción No Eficaz")=0,COUNTIF(V651:V666,"Control/Acción Eficaz")&gt;=2),"ACEPTABLE","BAJA")))),
IF(COUNTIF(V651:V666,"")&gt;=5,"",O651))))),
""))))</f>
        <v/>
      </c>
      <c r="X651" s="115"/>
      <c r="Y651" s="128"/>
      <c r="Z651" s="30"/>
      <c r="AA651" s="31" t="str">
        <f>E651</f>
        <v/>
      </c>
    </row>
    <row r="652" ht="87.0" customHeight="1">
      <c r="A652" s="129"/>
      <c r="B652" s="130"/>
      <c r="C652" s="130"/>
      <c r="D652" s="130"/>
      <c r="E652" s="130"/>
      <c r="F652" s="130"/>
      <c r="G652" s="130"/>
      <c r="H652" s="130"/>
      <c r="I652" s="130"/>
      <c r="J652" s="130"/>
      <c r="K652" s="130"/>
      <c r="L652" s="130"/>
      <c r="M652" s="130"/>
      <c r="N652" s="130"/>
      <c r="O652" s="130"/>
      <c r="P652" s="132"/>
      <c r="Q652" s="134"/>
      <c r="R652" s="134"/>
      <c r="S652" s="134"/>
      <c r="T652" s="135"/>
      <c r="U652" s="135"/>
      <c r="V652" s="135" t="str">
        <f>IFERROR(IF(AA652="SEGURIDAD",OFFSET('PARÁMETROS'!$K$2,MATCH(U652,JC_SE,0),MATCH(T652,CC_SE,0)),
IF(OR(AA652="DSRC/Estratégico",AA652="DSRC/Operativo"),OFFSET('PARÁMETROS'!$K$11,MATCH(U652,JC_DS,0),MATCH(T652,CC_DS,0)),
IF(AA652="SALUD",OFFSET('PARÁMETROS'!$K$29,MATCH(U652,JC_SA,0),MATCH(T652,CC_SA,0)),
IF(AA652="MEDIO AMBIENTE",OFFSET('PARÁMETROS'!$K$20,MATCH(U652,JC_MA,0),MATCH(T652,CC_MA,0)),
IF(AA652="Rel. Gubernamentales",OFFSET('PARÁMETROS'!$K$48,MATCH(U652,JC_G,0),MATCH(T652,CC_G,0)),
IF(AA652="OPERACIONAL",OFFSET('PARÁMETROS'!$K$56,MATCH(U652,JC_OP,0),MATCH(T652,CC_OP,0)),
IF(AA652="FINANCIERO",OFFSET('PARÁMETROS'!$K$56,MATCH(U652,JC_FI,0),MATCH(T652,CC_FI,0)),
OFFSET('PARÁMETROS'!$K$38,MATCH(U652,JC_L,0),MATCH(T652,CC_L,0))))))))),"")</f>
        <v/>
      </c>
      <c r="W652" s="130"/>
      <c r="X652" s="135"/>
      <c r="Y652" s="136"/>
      <c r="Z652" s="30"/>
      <c r="AA652" s="31" t="str">
        <f>E651</f>
        <v/>
      </c>
    </row>
    <row r="653" ht="87.0" customHeight="1">
      <c r="A653" s="129"/>
      <c r="B653" s="130"/>
      <c r="C653" s="130"/>
      <c r="D653" s="130"/>
      <c r="E653" s="130"/>
      <c r="F653" s="130"/>
      <c r="G653" s="130"/>
      <c r="H653" s="130"/>
      <c r="I653" s="130"/>
      <c r="J653" s="130"/>
      <c r="K653" s="130"/>
      <c r="L653" s="130"/>
      <c r="M653" s="130"/>
      <c r="N653" s="130"/>
      <c r="O653" s="130"/>
      <c r="P653" s="132"/>
      <c r="Q653" s="134"/>
      <c r="R653" s="134"/>
      <c r="S653" s="134"/>
      <c r="T653" s="135"/>
      <c r="U653" s="135"/>
      <c r="V653" s="135" t="str">
        <f>IFERROR(IF(AA653="SEGURIDAD",OFFSET('PARÁMETROS'!$K$2,MATCH(U653,JC_SE,0),MATCH(T653,CC_SE,0)),
IF(OR(AA653="DSRC/Estratégico",AA653="DSRC/Operativo"),OFFSET('PARÁMETROS'!$K$11,MATCH(U653,JC_DS,0),MATCH(T653,CC_DS,0)),
IF(AA653="SALUD",OFFSET('PARÁMETROS'!$K$29,MATCH(U653,JC_SA,0),MATCH(T653,CC_SA,0)),
IF(AA653="MEDIO AMBIENTE",OFFSET('PARÁMETROS'!$K$20,MATCH(U653,JC_MA,0),MATCH(T653,CC_MA,0)),
IF(AA653="Rel. Gubernamentales",OFFSET('PARÁMETROS'!$K$48,MATCH(U653,JC_G,0),MATCH(T653,CC_G,0)),
IF(AA653="OPERACIONAL",OFFSET('PARÁMETROS'!$K$56,MATCH(U653,JC_OP,0),MATCH(T653,CC_OP,0)),
IF(AA653="FINANCIERO",OFFSET('PARÁMETROS'!$K$56,MATCH(U653,JC_FI,0),MATCH(T653,CC_FI,0)),
OFFSET('PARÁMETROS'!$K$38,MATCH(U653,JC_L,0),MATCH(T653,CC_L,0))))))))),"")</f>
        <v/>
      </c>
      <c r="W653" s="130"/>
      <c r="X653" s="135"/>
      <c r="Y653" s="136"/>
      <c r="Z653" s="30"/>
      <c r="AA653" s="31" t="str">
        <f>E651</f>
        <v/>
      </c>
    </row>
    <row r="654" ht="87.0" customHeight="1">
      <c r="A654" s="129"/>
      <c r="B654" s="130"/>
      <c r="C654" s="130"/>
      <c r="D654" s="130"/>
      <c r="E654" s="130"/>
      <c r="F654" s="130"/>
      <c r="G654" s="130"/>
      <c r="H654" s="130"/>
      <c r="I654" s="130"/>
      <c r="J654" s="130"/>
      <c r="K654" s="130"/>
      <c r="L654" s="130"/>
      <c r="M654" s="130"/>
      <c r="N654" s="130"/>
      <c r="O654" s="130"/>
      <c r="P654" s="132"/>
      <c r="Q654" s="134"/>
      <c r="R654" s="134"/>
      <c r="S654" s="134"/>
      <c r="T654" s="135"/>
      <c r="U654" s="135"/>
      <c r="V654" s="135" t="str">
        <f>IFERROR(IF(AA654="SEGURIDAD",OFFSET('PARÁMETROS'!$K$2,MATCH(U654,JC_SE,0),MATCH(T654,CC_SE,0)),
IF(OR(AA654="DSRC/Estratégico",AA654="DSRC/Operativo"),OFFSET('PARÁMETROS'!$K$11,MATCH(U654,JC_DS,0),MATCH(T654,CC_DS,0)),
IF(AA654="SALUD",OFFSET('PARÁMETROS'!$K$29,MATCH(U654,JC_SA,0),MATCH(T654,CC_SA,0)),
IF(AA654="MEDIO AMBIENTE",OFFSET('PARÁMETROS'!$K$20,MATCH(U654,JC_MA,0),MATCH(T654,CC_MA,0)),
IF(AA654="Rel. Gubernamentales",OFFSET('PARÁMETROS'!$K$48,MATCH(U654,JC_G,0),MATCH(T654,CC_G,0)),
IF(AA654="OPERACIONAL",OFFSET('PARÁMETROS'!$K$56,MATCH(U654,JC_OP,0),MATCH(T654,CC_OP,0)),
IF(AA654="FINANCIERO",OFFSET('PARÁMETROS'!$K$56,MATCH(U654,JC_FI,0),MATCH(T654,CC_FI,0)),
OFFSET('PARÁMETROS'!$K$38,MATCH(U654,JC_L,0),MATCH(T654,CC_L,0))))))))),"")</f>
        <v/>
      </c>
      <c r="W654" s="130"/>
      <c r="X654" s="135"/>
      <c r="Y654" s="136"/>
      <c r="Z654" s="30"/>
      <c r="AA654" s="31" t="str">
        <f>E651</f>
        <v/>
      </c>
    </row>
    <row r="655" ht="87.0" customHeight="1">
      <c r="A655" s="129"/>
      <c r="B655" s="130"/>
      <c r="C655" s="130"/>
      <c r="D655" s="130"/>
      <c r="E655" s="130"/>
      <c r="F655" s="130"/>
      <c r="G655" s="130"/>
      <c r="H655" s="130"/>
      <c r="I655" s="130"/>
      <c r="J655" s="130"/>
      <c r="K655" s="130"/>
      <c r="L655" s="130"/>
      <c r="M655" s="130"/>
      <c r="N655" s="130"/>
      <c r="O655" s="130"/>
      <c r="P655" s="132"/>
      <c r="Q655" s="134"/>
      <c r="R655" s="134"/>
      <c r="S655" s="134"/>
      <c r="T655" s="135"/>
      <c r="U655" s="135"/>
      <c r="V655" s="135" t="str">
        <f>IFERROR(IF(AA655="SEGURIDAD",OFFSET('PARÁMETROS'!$K$2,MATCH(U655,JC_SE,0),MATCH(T655,CC_SE,0)),
IF(OR(AA655="DSRC/Estratégico",AA655="DSRC/Operativo"),OFFSET('PARÁMETROS'!$K$11,MATCH(U655,JC_DS,0),MATCH(T655,CC_DS,0)),
IF(AA655="SALUD",OFFSET('PARÁMETROS'!$K$29,MATCH(U655,JC_SA,0),MATCH(T655,CC_SA,0)),
IF(AA655="MEDIO AMBIENTE",OFFSET('PARÁMETROS'!$K$20,MATCH(U655,JC_MA,0),MATCH(T655,CC_MA,0)),
IF(AA655="Rel. Gubernamentales",OFFSET('PARÁMETROS'!$K$48,MATCH(U655,JC_G,0),MATCH(T655,CC_G,0)),
IF(AA655="OPERACIONAL",OFFSET('PARÁMETROS'!$K$56,MATCH(U655,JC_OP,0),MATCH(T655,CC_OP,0)),
IF(AA655="FINANCIERO",OFFSET('PARÁMETROS'!$K$56,MATCH(U655,JC_FI,0),MATCH(T655,CC_FI,0)),
OFFSET('PARÁMETROS'!$K$38,MATCH(U655,JC_L,0),MATCH(T655,CC_L,0))))))))),"")</f>
        <v/>
      </c>
      <c r="W655" s="130"/>
      <c r="X655" s="135"/>
      <c r="Y655" s="136"/>
      <c r="Z655" s="30"/>
      <c r="AA655" s="31" t="str">
        <f>E651</f>
        <v/>
      </c>
    </row>
    <row r="656" ht="87.0" customHeight="1">
      <c r="A656" s="129"/>
      <c r="B656" s="130"/>
      <c r="C656" s="130"/>
      <c r="D656" s="130"/>
      <c r="E656" s="130"/>
      <c r="F656" s="130"/>
      <c r="G656" s="130"/>
      <c r="H656" s="130"/>
      <c r="I656" s="130"/>
      <c r="J656" s="130"/>
      <c r="K656" s="130"/>
      <c r="L656" s="130"/>
      <c r="M656" s="130"/>
      <c r="N656" s="130"/>
      <c r="O656" s="130"/>
      <c r="P656" s="132"/>
      <c r="Q656" s="134"/>
      <c r="R656" s="134"/>
      <c r="S656" s="134"/>
      <c r="T656" s="135"/>
      <c r="U656" s="135"/>
      <c r="V656" s="135" t="str">
        <f>IFERROR(IF(AA656="SEGURIDAD",OFFSET('PARÁMETROS'!$K$2,MATCH(U656,JC_SE,0),MATCH(T656,CC_SE,0)),
IF(OR(AA656="DSRC/Estratégico",AA656="DSRC/Operativo"),OFFSET('PARÁMETROS'!$K$11,MATCH(U656,JC_DS,0),MATCH(T656,CC_DS,0)),
IF(AA656="SALUD",OFFSET('PARÁMETROS'!$K$29,MATCH(U656,JC_SA,0),MATCH(T656,CC_SA,0)),
IF(AA656="MEDIO AMBIENTE",OFFSET('PARÁMETROS'!$K$20,MATCH(U656,JC_MA,0),MATCH(T656,CC_MA,0)),
IF(AA656="Rel. Gubernamentales",OFFSET('PARÁMETROS'!$K$48,MATCH(U656,JC_G,0),MATCH(T656,CC_G,0)),
IF(AA656="OPERACIONAL",OFFSET('PARÁMETROS'!$K$56,MATCH(U656,JC_OP,0),MATCH(T656,CC_OP,0)),
IF(AA656="FINANCIERO",OFFSET('PARÁMETROS'!$K$56,MATCH(U656,JC_FI,0),MATCH(T656,CC_FI,0)),
OFFSET('PARÁMETROS'!$K$38,MATCH(U656,JC_L,0),MATCH(T656,CC_L,0))))))))),"")</f>
        <v/>
      </c>
      <c r="W656" s="130"/>
      <c r="X656" s="135"/>
      <c r="Y656" s="136"/>
      <c r="Z656" s="30"/>
      <c r="AA656" s="31" t="str">
        <f>E651</f>
        <v/>
      </c>
    </row>
    <row r="657" ht="87.0" customHeight="1">
      <c r="A657" s="129"/>
      <c r="B657" s="130"/>
      <c r="C657" s="130"/>
      <c r="D657" s="130"/>
      <c r="E657" s="130"/>
      <c r="F657" s="130"/>
      <c r="G657" s="130"/>
      <c r="H657" s="130"/>
      <c r="I657" s="130"/>
      <c r="J657" s="130"/>
      <c r="K657" s="130"/>
      <c r="L657" s="130"/>
      <c r="M657" s="130"/>
      <c r="N657" s="130"/>
      <c r="O657" s="130"/>
      <c r="P657" s="132"/>
      <c r="Q657" s="134"/>
      <c r="R657" s="134"/>
      <c r="S657" s="134"/>
      <c r="T657" s="135"/>
      <c r="U657" s="135"/>
      <c r="V657" s="135" t="str">
        <f>IFERROR(IF(AA657="SEGURIDAD",OFFSET('PARÁMETROS'!$K$2,MATCH(U657,JC_SE,0),MATCH(T657,CC_SE,0)),
IF(OR(AA657="DSRC/Estratégico",AA657="DSRC/Operativo"),OFFSET('PARÁMETROS'!$K$11,MATCH(U657,JC_DS,0),MATCH(T657,CC_DS,0)),
IF(AA657="SALUD",OFFSET('PARÁMETROS'!$K$29,MATCH(U657,JC_SA,0),MATCH(T657,CC_SA,0)),
IF(AA657="MEDIO AMBIENTE",OFFSET('PARÁMETROS'!$K$20,MATCH(U657,JC_MA,0),MATCH(T657,CC_MA,0)),
IF(AA657="Rel. Gubernamentales",OFFSET('PARÁMETROS'!$K$48,MATCH(U657,JC_G,0),MATCH(T657,CC_G,0)),
IF(AA657="OPERACIONAL",OFFSET('PARÁMETROS'!$K$56,MATCH(U657,JC_OP,0),MATCH(T657,CC_OP,0)),
IF(AA657="FINANCIERO",OFFSET('PARÁMETROS'!$K$56,MATCH(U657,JC_FI,0),MATCH(T657,CC_FI,0)),
OFFSET('PARÁMETROS'!$K$38,MATCH(U657,JC_L,0),MATCH(T657,CC_L,0))))))))),"")</f>
        <v/>
      </c>
      <c r="W657" s="130"/>
      <c r="X657" s="135"/>
      <c r="Y657" s="136"/>
      <c r="Z657" s="30"/>
      <c r="AA657" s="31" t="str">
        <f>E651</f>
        <v/>
      </c>
    </row>
    <row r="658" ht="87.0" customHeight="1">
      <c r="A658" s="129"/>
      <c r="B658" s="130"/>
      <c r="C658" s="130"/>
      <c r="D658" s="130"/>
      <c r="E658" s="130"/>
      <c r="F658" s="130"/>
      <c r="G658" s="130"/>
      <c r="H658" s="130"/>
      <c r="I658" s="130"/>
      <c r="J658" s="130"/>
      <c r="K658" s="130"/>
      <c r="L658" s="130"/>
      <c r="M658" s="130"/>
      <c r="N658" s="130"/>
      <c r="O658" s="130"/>
      <c r="P658" s="132"/>
      <c r="Q658" s="134"/>
      <c r="R658" s="134"/>
      <c r="S658" s="134"/>
      <c r="T658" s="135"/>
      <c r="U658" s="135"/>
      <c r="V658" s="135" t="str">
        <f>IFERROR(IF(AA658="SEGURIDAD",OFFSET('PARÁMETROS'!$K$2,MATCH(U658,JC_SE,0),MATCH(T658,CC_SE,0)),
IF(OR(AA658="DSRC/Estratégico",AA658="DSRC/Operativo"),OFFSET('PARÁMETROS'!$K$11,MATCH(U658,JC_DS,0),MATCH(T658,CC_DS,0)),
IF(AA658="SALUD",OFFSET('PARÁMETROS'!$K$29,MATCH(U658,JC_SA,0),MATCH(T658,CC_SA,0)),
IF(AA658="MEDIO AMBIENTE",OFFSET('PARÁMETROS'!$K$20,MATCH(U658,JC_MA,0),MATCH(T658,CC_MA,0)),
IF(AA658="Rel. Gubernamentales",OFFSET('PARÁMETROS'!$K$48,MATCH(U658,JC_G,0),MATCH(T658,CC_G,0)),
IF(AA658="OPERACIONAL",OFFSET('PARÁMETROS'!$K$56,MATCH(U658,JC_OP,0),MATCH(T658,CC_OP,0)),
IF(AA658="FINANCIERO",OFFSET('PARÁMETROS'!$K$56,MATCH(U658,JC_FI,0),MATCH(T658,CC_FI,0)),
OFFSET('PARÁMETROS'!$K$38,MATCH(U658,JC_L,0),MATCH(T658,CC_L,0))))))))),"")</f>
        <v/>
      </c>
      <c r="W658" s="130"/>
      <c r="X658" s="135"/>
      <c r="Y658" s="136"/>
      <c r="Z658" s="30"/>
      <c r="AA658" s="31" t="str">
        <f>E651</f>
        <v/>
      </c>
    </row>
    <row r="659" ht="87.0" customHeight="1">
      <c r="A659" s="129"/>
      <c r="B659" s="130"/>
      <c r="C659" s="130"/>
      <c r="D659" s="130"/>
      <c r="E659" s="130"/>
      <c r="F659" s="130"/>
      <c r="G659" s="130"/>
      <c r="H659" s="130"/>
      <c r="I659" s="130"/>
      <c r="J659" s="130"/>
      <c r="K659" s="130"/>
      <c r="L659" s="130"/>
      <c r="M659" s="130"/>
      <c r="N659" s="130"/>
      <c r="O659" s="130"/>
      <c r="P659" s="132"/>
      <c r="Q659" s="134"/>
      <c r="R659" s="134"/>
      <c r="S659" s="134"/>
      <c r="T659" s="135"/>
      <c r="U659" s="135"/>
      <c r="V659" s="135" t="str">
        <f>IFERROR(IF(AA659="SEGURIDAD",OFFSET('PARÁMETROS'!$K$2,MATCH(U659,JC_SE,0),MATCH(T659,CC_SE,0)),
IF(OR(AA659="DSRC/Estratégico",AA659="DSRC/Operativo"),OFFSET('PARÁMETROS'!$K$11,MATCH(U659,JC_DS,0),MATCH(T659,CC_DS,0)),
IF(AA659="SALUD",OFFSET('PARÁMETROS'!$K$29,MATCH(U659,JC_SA,0),MATCH(T659,CC_SA,0)),
IF(AA659="MEDIO AMBIENTE",OFFSET('PARÁMETROS'!$K$20,MATCH(U659,JC_MA,0),MATCH(T659,CC_MA,0)),
IF(AA659="Rel. Gubernamentales",OFFSET('PARÁMETROS'!$K$48,MATCH(U659,JC_G,0),MATCH(T659,CC_G,0)),
IF(AA659="OPERACIONAL",OFFSET('PARÁMETROS'!$K$56,MATCH(U659,JC_OP,0),MATCH(T659,CC_OP,0)),
IF(AA659="FINANCIERO",OFFSET('PARÁMETROS'!$K$56,MATCH(U659,JC_FI,0),MATCH(T659,CC_FI,0)),
OFFSET('PARÁMETROS'!$K$38,MATCH(U659,JC_L,0),MATCH(T659,CC_L,0))))))))),"")</f>
        <v/>
      </c>
      <c r="W659" s="130"/>
      <c r="X659" s="135"/>
      <c r="Y659" s="136"/>
      <c r="Z659" s="30"/>
      <c r="AA659" s="31" t="str">
        <f>E651</f>
        <v/>
      </c>
    </row>
    <row r="660" ht="87.0" customHeight="1">
      <c r="A660" s="129"/>
      <c r="B660" s="130"/>
      <c r="C660" s="130"/>
      <c r="D660" s="130"/>
      <c r="E660" s="130"/>
      <c r="F660" s="130"/>
      <c r="G660" s="130"/>
      <c r="H660" s="130"/>
      <c r="I660" s="130"/>
      <c r="J660" s="130"/>
      <c r="K660" s="130"/>
      <c r="L660" s="130"/>
      <c r="M660" s="130"/>
      <c r="N660" s="130"/>
      <c r="O660" s="130"/>
      <c r="P660" s="132"/>
      <c r="Q660" s="134"/>
      <c r="R660" s="134"/>
      <c r="S660" s="134"/>
      <c r="T660" s="135"/>
      <c r="U660" s="135"/>
      <c r="V660" s="135" t="str">
        <f>IFERROR(IF(AA660="SEGURIDAD",OFFSET('PARÁMETROS'!$K$2,MATCH(U660,JC_SE,0),MATCH(T660,CC_SE,0)),
IF(OR(AA660="DSRC/Estratégico",AA660="DSRC/Operativo"),OFFSET('PARÁMETROS'!$K$11,MATCH(U660,JC_DS,0),MATCH(T660,CC_DS,0)),
IF(AA660="SALUD",OFFSET('PARÁMETROS'!$K$29,MATCH(U660,JC_SA,0),MATCH(T660,CC_SA,0)),
IF(AA660="MEDIO AMBIENTE",OFFSET('PARÁMETROS'!$K$20,MATCH(U660,JC_MA,0),MATCH(T660,CC_MA,0)),
IF(AA660="Rel. Gubernamentales",OFFSET('PARÁMETROS'!$K$48,MATCH(U660,JC_G,0),MATCH(T660,CC_G,0)),
IF(AA660="OPERACIONAL",OFFSET('PARÁMETROS'!$K$56,MATCH(U660,JC_OP,0),MATCH(T660,CC_OP,0)),
IF(AA660="FINANCIERO",OFFSET('PARÁMETROS'!$K$56,MATCH(U660,JC_FI,0),MATCH(T660,CC_FI,0)),
OFFSET('PARÁMETROS'!$K$38,MATCH(U660,JC_L,0),MATCH(T660,CC_L,0))))))))),"")</f>
        <v/>
      </c>
      <c r="W660" s="130"/>
      <c r="X660" s="135"/>
      <c r="Y660" s="136"/>
      <c r="Z660" s="30"/>
      <c r="AA660" s="31" t="str">
        <f>E651</f>
        <v/>
      </c>
    </row>
    <row r="661" ht="87.0" customHeight="1">
      <c r="A661" s="129"/>
      <c r="B661" s="130"/>
      <c r="C661" s="130"/>
      <c r="D661" s="130"/>
      <c r="E661" s="130"/>
      <c r="F661" s="130"/>
      <c r="G661" s="130"/>
      <c r="H661" s="130"/>
      <c r="I661" s="130"/>
      <c r="J661" s="130"/>
      <c r="K661" s="130"/>
      <c r="L661" s="130"/>
      <c r="M661" s="130"/>
      <c r="N661" s="130"/>
      <c r="O661" s="130"/>
      <c r="P661" s="132"/>
      <c r="Q661" s="134"/>
      <c r="R661" s="134"/>
      <c r="S661" s="134"/>
      <c r="T661" s="135"/>
      <c r="U661" s="135"/>
      <c r="V661" s="135" t="str">
        <f>IFERROR(IF(AA661="SEGURIDAD",OFFSET('PARÁMETROS'!$K$2,MATCH(U661,JC_SE,0),MATCH(T661,CC_SE,0)),
IF(OR(AA661="DSRC/Estratégico",AA661="DSRC/Operativo"),OFFSET('PARÁMETROS'!$K$11,MATCH(U661,JC_DS,0),MATCH(T661,CC_DS,0)),
IF(AA661="SALUD",OFFSET('PARÁMETROS'!$K$29,MATCH(U661,JC_SA,0),MATCH(T661,CC_SA,0)),
IF(AA661="MEDIO AMBIENTE",OFFSET('PARÁMETROS'!$K$20,MATCH(U661,JC_MA,0),MATCH(T661,CC_MA,0)),
IF(AA661="Rel. Gubernamentales",OFFSET('PARÁMETROS'!$K$48,MATCH(U661,JC_G,0),MATCH(T661,CC_G,0)),
IF(AA661="OPERACIONAL",OFFSET('PARÁMETROS'!$K$56,MATCH(U661,JC_OP,0),MATCH(T661,CC_OP,0)),
IF(AA661="FINANCIERO",OFFSET('PARÁMETROS'!$K$56,MATCH(U661,JC_FI,0),MATCH(T661,CC_FI,0)),
OFFSET('PARÁMETROS'!$K$38,MATCH(U661,JC_L,0),MATCH(T661,CC_L,0))))))))),"")</f>
        <v/>
      </c>
      <c r="W661" s="130"/>
      <c r="X661" s="135"/>
      <c r="Y661" s="136"/>
      <c r="Z661" s="30"/>
      <c r="AA661" s="31" t="str">
        <f>E651</f>
        <v/>
      </c>
    </row>
    <row r="662" ht="87.0" customHeight="1">
      <c r="A662" s="129"/>
      <c r="B662" s="130"/>
      <c r="C662" s="130"/>
      <c r="D662" s="130"/>
      <c r="E662" s="130"/>
      <c r="F662" s="130"/>
      <c r="G662" s="130"/>
      <c r="H662" s="130"/>
      <c r="I662" s="130"/>
      <c r="J662" s="130"/>
      <c r="K662" s="130"/>
      <c r="L662" s="130"/>
      <c r="M662" s="130"/>
      <c r="N662" s="130"/>
      <c r="O662" s="130"/>
      <c r="P662" s="132"/>
      <c r="Q662" s="134"/>
      <c r="R662" s="134"/>
      <c r="S662" s="134"/>
      <c r="T662" s="135"/>
      <c r="U662" s="135"/>
      <c r="V662" s="135" t="str">
        <f>IFERROR(IF(AA662="SEGURIDAD",OFFSET('PARÁMETROS'!$K$2,MATCH(U662,JC_SE,0),MATCH(T662,CC_SE,0)),
IF(OR(AA662="DSRC/Estratégico",AA662="DSRC/Operativo"),OFFSET('PARÁMETROS'!$K$11,MATCH(U662,JC_DS,0),MATCH(T662,CC_DS,0)),
IF(AA662="SALUD",OFFSET('PARÁMETROS'!$K$29,MATCH(U662,JC_SA,0),MATCH(T662,CC_SA,0)),
IF(AA662="MEDIO AMBIENTE",OFFSET('PARÁMETROS'!$K$20,MATCH(U662,JC_MA,0),MATCH(T662,CC_MA,0)),
IF(AA662="Rel. Gubernamentales",OFFSET('PARÁMETROS'!$K$48,MATCH(U662,JC_G,0),MATCH(T662,CC_G,0)),
IF(AA662="OPERACIONAL",OFFSET('PARÁMETROS'!$K$56,MATCH(U662,JC_OP,0),MATCH(T662,CC_OP,0)),
IF(AA662="FINANCIERO",OFFSET('PARÁMETROS'!$K$56,MATCH(U662,JC_FI,0),MATCH(T662,CC_FI,0)),
OFFSET('PARÁMETROS'!$K$38,MATCH(U662,JC_L,0),MATCH(T662,CC_L,0))))))))),"")</f>
        <v/>
      </c>
      <c r="W662" s="130"/>
      <c r="X662" s="135"/>
      <c r="Y662" s="136"/>
      <c r="Z662" s="30"/>
      <c r="AA662" s="31" t="str">
        <f>E651</f>
        <v/>
      </c>
    </row>
    <row r="663" ht="87.0" customHeight="1">
      <c r="A663" s="129"/>
      <c r="B663" s="130"/>
      <c r="C663" s="130"/>
      <c r="D663" s="130"/>
      <c r="E663" s="130"/>
      <c r="F663" s="130"/>
      <c r="G663" s="130"/>
      <c r="H663" s="130"/>
      <c r="I663" s="130"/>
      <c r="J663" s="130"/>
      <c r="K663" s="130"/>
      <c r="L663" s="130"/>
      <c r="M663" s="130"/>
      <c r="N663" s="130"/>
      <c r="O663" s="130"/>
      <c r="P663" s="132"/>
      <c r="Q663" s="134"/>
      <c r="R663" s="134"/>
      <c r="S663" s="134"/>
      <c r="T663" s="135"/>
      <c r="U663" s="135"/>
      <c r="V663" s="135" t="str">
        <f>IFERROR(IF(AA663="SEGURIDAD",OFFSET('PARÁMETROS'!$K$2,MATCH(U663,JC_SE,0),MATCH(T663,CC_SE,0)),
IF(OR(AA663="DSRC/Estratégico",AA663="DSRC/Operativo"),OFFSET('PARÁMETROS'!$K$11,MATCH(U663,JC_DS,0),MATCH(T663,CC_DS,0)),
IF(AA663="SALUD",OFFSET('PARÁMETROS'!$K$29,MATCH(U663,JC_SA,0),MATCH(T663,CC_SA,0)),
IF(AA663="MEDIO AMBIENTE",OFFSET('PARÁMETROS'!$K$20,MATCH(U663,JC_MA,0),MATCH(T663,CC_MA,0)),
IF(AA663="Rel. Gubernamentales",OFFSET('PARÁMETROS'!$K$48,MATCH(U663,JC_G,0),MATCH(T663,CC_G,0)),
IF(AA663="OPERACIONAL",OFFSET('PARÁMETROS'!$K$56,MATCH(U663,JC_OP,0),MATCH(T663,CC_OP,0)),
IF(AA663="FINANCIERO",OFFSET('PARÁMETROS'!$K$56,MATCH(U663,JC_FI,0),MATCH(T663,CC_FI,0)),
OFFSET('PARÁMETROS'!$K$38,MATCH(U663,JC_L,0),MATCH(T663,CC_L,0))))))))),"")</f>
        <v/>
      </c>
      <c r="W663" s="130"/>
      <c r="X663" s="135"/>
      <c r="Y663" s="136"/>
      <c r="Z663" s="30"/>
      <c r="AA663" s="31" t="str">
        <f>E651</f>
        <v/>
      </c>
    </row>
    <row r="664" ht="87.0" customHeight="1">
      <c r="A664" s="129"/>
      <c r="B664" s="130"/>
      <c r="C664" s="130"/>
      <c r="D664" s="130"/>
      <c r="E664" s="130"/>
      <c r="F664" s="130"/>
      <c r="G664" s="130"/>
      <c r="H664" s="130"/>
      <c r="I664" s="130"/>
      <c r="J664" s="130"/>
      <c r="K664" s="130"/>
      <c r="L664" s="130"/>
      <c r="M664" s="130"/>
      <c r="N664" s="130"/>
      <c r="O664" s="130"/>
      <c r="P664" s="132"/>
      <c r="Q664" s="134"/>
      <c r="R664" s="134"/>
      <c r="S664" s="134"/>
      <c r="T664" s="135"/>
      <c r="U664" s="135"/>
      <c r="V664" s="135" t="str">
        <f>IFERROR(IF(AA664="SEGURIDAD",OFFSET('PARÁMETROS'!$K$2,MATCH(U664,JC_SE,0),MATCH(T664,CC_SE,0)),
IF(OR(AA664="DSRC/Estratégico",AA664="DSRC/Operativo"),OFFSET('PARÁMETROS'!$K$11,MATCH(U664,JC_DS,0),MATCH(T664,CC_DS,0)),
IF(AA664="SALUD",OFFSET('PARÁMETROS'!$K$29,MATCH(U664,JC_SA,0),MATCH(T664,CC_SA,0)),
IF(AA664="MEDIO AMBIENTE",OFFSET('PARÁMETROS'!$K$20,MATCH(U664,JC_MA,0),MATCH(T664,CC_MA,0)),
IF(AA664="Rel. Gubernamentales",OFFSET('PARÁMETROS'!$K$48,MATCH(U664,JC_G,0),MATCH(T664,CC_G,0)),
IF(AA664="OPERACIONAL",OFFSET('PARÁMETROS'!$K$56,MATCH(U664,JC_OP,0),MATCH(T664,CC_OP,0)),
IF(AA664="FINANCIERO",OFFSET('PARÁMETROS'!$K$56,MATCH(U664,JC_FI,0),MATCH(T664,CC_FI,0)),
OFFSET('PARÁMETROS'!$K$38,MATCH(U664,JC_L,0),MATCH(T664,CC_L,0))))))))),"")</f>
        <v/>
      </c>
      <c r="W664" s="130"/>
      <c r="X664" s="135"/>
      <c r="Y664" s="136"/>
      <c r="Z664" s="30"/>
      <c r="AA664" s="31" t="str">
        <f>E651</f>
        <v/>
      </c>
    </row>
    <row r="665" ht="87.0" customHeight="1">
      <c r="A665" s="129"/>
      <c r="B665" s="130"/>
      <c r="C665" s="130"/>
      <c r="D665" s="130"/>
      <c r="E665" s="130"/>
      <c r="F665" s="130"/>
      <c r="G665" s="130"/>
      <c r="H665" s="130"/>
      <c r="I665" s="130"/>
      <c r="J665" s="130"/>
      <c r="K665" s="130"/>
      <c r="L665" s="130"/>
      <c r="M665" s="130"/>
      <c r="N665" s="130"/>
      <c r="O665" s="130"/>
      <c r="P665" s="132"/>
      <c r="Q665" s="134"/>
      <c r="R665" s="134"/>
      <c r="S665" s="134"/>
      <c r="T665" s="135"/>
      <c r="U665" s="135"/>
      <c r="V665" s="135" t="str">
        <f>IFERROR(IF(AA665="SEGURIDAD",OFFSET('PARÁMETROS'!$K$2,MATCH(U665,JC_SE,0),MATCH(T665,CC_SE,0)),
IF(OR(AA665="DSRC/Estratégico",AA665="DSRC/Operativo"),OFFSET('PARÁMETROS'!$K$11,MATCH(U665,JC_DS,0),MATCH(T665,CC_DS,0)),
IF(AA665="SALUD",OFFSET('PARÁMETROS'!$K$29,MATCH(U665,JC_SA,0),MATCH(T665,CC_SA,0)),
IF(AA665="MEDIO AMBIENTE",OFFSET('PARÁMETROS'!$K$20,MATCH(U665,JC_MA,0),MATCH(T665,CC_MA,0)),
IF(AA665="Rel. Gubernamentales",OFFSET('PARÁMETROS'!$K$48,MATCH(U665,JC_G,0),MATCH(T665,CC_G,0)),
IF(AA665="OPERACIONAL",OFFSET('PARÁMETROS'!$K$56,MATCH(U665,JC_OP,0),MATCH(T665,CC_OP,0)),
IF(AA665="FINANCIERO",OFFSET('PARÁMETROS'!$K$56,MATCH(U665,JC_FI,0),MATCH(T665,CC_FI,0)),
OFFSET('PARÁMETROS'!$K$38,MATCH(U665,JC_L,0),MATCH(T665,CC_L,0))))))))),"")</f>
        <v/>
      </c>
      <c r="W665" s="130"/>
      <c r="X665" s="135"/>
      <c r="Y665" s="136"/>
      <c r="Z665" s="30"/>
      <c r="AA665" s="31" t="str">
        <f>E651</f>
        <v/>
      </c>
    </row>
    <row r="666" ht="87.0" customHeight="1">
      <c r="A666" s="89"/>
      <c r="B666" s="90"/>
      <c r="C666" s="90"/>
      <c r="D666" s="157"/>
      <c r="E666" s="157"/>
      <c r="F666" s="157"/>
      <c r="G666" s="157"/>
      <c r="H666" s="157"/>
      <c r="I666" s="90"/>
      <c r="J666" s="90"/>
      <c r="K666" s="90"/>
      <c r="L666" s="90"/>
      <c r="M666" s="90"/>
      <c r="N666" s="90"/>
      <c r="O666" s="90"/>
      <c r="P666" s="132"/>
      <c r="Q666" s="134"/>
      <c r="R666" s="145"/>
      <c r="S666" s="145"/>
      <c r="T666" s="135"/>
      <c r="U666" s="135"/>
      <c r="V666" s="135" t="str">
        <f>IFERROR(IF(AA666="SEGURIDAD",OFFSET('PARÁMETROS'!$K$2,MATCH(U666,JC_SE,0),MATCH(T666,CC_SE,0)),
IF(OR(AA666="DSRC/Estratégico",AA666="DSRC/Operativo"),OFFSET('PARÁMETROS'!$K$11,MATCH(U666,JC_DS,0),MATCH(T666,CC_DS,0)),
IF(AA666="SALUD",OFFSET('PARÁMETROS'!$K$29,MATCH(U666,JC_SA,0),MATCH(T666,CC_SA,0)),
IF(AA666="MEDIO AMBIENTE",OFFSET('PARÁMETROS'!$K$20,MATCH(U666,JC_MA,0),MATCH(T666,CC_MA,0)),
IF(AA666="Rel. Gubernamentales",OFFSET('PARÁMETROS'!$K$48,MATCH(U666,JC_G,0),MATCH(T666,CC_G,0)),
IF(AA666="OPERACIONAL",OFFSET('PARÁMETROS'!$K$56,MATCH(U666,JC_OP,0),MATCH(T666,CC_OP,0)),
IF(AA666="FINANCIERO",OFFSET('PARÁMETROS'!$K$56,MATCH(U666,JC_FI,0),MATCH(T666,CC_FI,0)),
OFFSET('PARÁMETROS'!$K$38,MATCH(U666,JC_L,0),MATCH(T666,CC_L,0))))))))),"")</f>
        <v/>
      </c>
      <c r="W666" s="90"/>
      <c r="X666" s="135"/>
      <c r="Y666" s="136"/>
      <c r="Z666" s="30"/>
      <c r="AA666" s="31" t="str">
        <f>E651</f>
        <v/>
      </c>
    </row>
    <row r="667" ht="87.0" customHeight="1">
      <c r="A667" s="102"/>
      <c r="B667" s="103"/>
      <c r="C667" s="103"/>
      <c r="D667" s="103"/>
      <c r="E667" s="103"/>
      <c r="F667" s="103"/>
      <c r="G667" s="105"/>
      <c r="H667" s="103"/>
      <c r="I667" s="105"/>
      <c r="J667" s="103"/>
      <c r="K667" s="103"/>
      <c r="L667" s="103" t="str">
        <f>IF(OR(J667&lt;&gt;"",K667&lt;&gt;""),OFFSET('PARÁMETROS'!$B$2,K667,J667),"")</f>
        <v/>
      </c>
      <c r="M667" s="103"/>
      <c r="N667" s="103">
        <f>IFERROR(L667*M667,"")</f>
        <v>0</v>
      </c>
      <c r="O667" s="108" t="str">
        <f>IF(N667="","",IFERROR(IF(N667&lt;=2,"ACEPTABLE",IF(N667&lt;=6,"BAJA",IF(N667&lt;=10,"ACEPTABLE CON REVISIÓN",IF(N667&lt;=15,"SUSTANCIAL","INACEPTABLE")))),""))</f>
        <v>ACEPTABLE</v>
      </c>
      <c r="P667" s="113"/>
      <c r="Q667" s="114"/>
      <c r="R667" s="114"/>
      <c r="S667" s="114"/>
      <c r="T667" s="115"/>
      <c r="U667" s="115"/>
      <c r="V667" s="115" t="str">
        <f>IFERROR(IF(AA667="SEGURIDAD",OFFSET('PARÁMETROS'!$K$2,MATCH(U667,JC_SE,0),MATCH(T667,CC_SE,0)),
IF(OR(AA667="DSRC/Estratégico",AA667="DSRC/Operativo"),OFFSET('PARÁMETROS'!$K$11,MATCH(U667,JC_DS,0),MATCH(T667,CC_DS,0)),
IF(AA667="SALUD",OFFSET('PARÁMETROS'!$K$29,MATCH(U667,JC_SA,0),MATCH(T667,CC_SA,0)),
IF(AA667="MEDIO AMBIENTE",OFFSET('PARÁMETROS'!$K$20,MATCH(U667,JC_MA,0),MATCH(T667,CC_MA,0)),
IF(AA667="Rel. Gubernamentales",OFFSET('PARÁMETROS'!$K$48,MATCH(U667,JC_G,0),MATCH(T667,CC_G,0)),
IF(AA667="OPERACIONAL",OFFSET('PARÁMETROS'!$K$56,MATCH(U667,JC_OP,0),MATCH(T667,CC_OP,0)),
IF(AA667="FINANCIERO",OFFSET('PARÁMETROS'!$K$56,MATCH(U667,JC_FI,0),MATCH(T667,CC_FI,0)),
OFFSET('PARÁMETROS'!$K$38,MATCH(U667,JC_L,0),MATCH(T667,CC_L,0))))))))),"")</f>
        <v/>
      </c>
      <c r="W667" s="108" t="str">
        <f>IF(E667="","",
IF(COUNTA(V667:V682)-COUNTBLANK(V667:V682)=1,
IF(O667="INACEPTABLE",IF(COUNTIF(V667:V682,"Control/Acción Eficaz")&gt;=1,"SUSTANCIAL","INACEPTABLE"),
IF(O667="SUSTANCIAL",IF(COUNTIF(V667:V682,"Control/Acción Eficaz")&gt;=1,"ACEPTABLE CON REVISIÓN","SUSTANCIAL"),
IF(O667="ACEPTABLE CON REVISIÓN",IF(COUNTIF(V667:V682,"Control/Acción Eficaz")&gt;=1,"BAJA","ACEPTABLE CON REVISIÓN"),
IF(O667="BAJA",IF(COUNTIF(V667:V682,"Control/Acción Eficaz")&gt;=1,"ACEPTABLE","BAJA"),)))),
IF(COUNTA(V667:V682)-COUNTBLANK(V667:V682)=2,
IF(O667="INACEPTABLE",IF(COUNTIF(V667:V682,"Control/Acción Eficaz")=2,"ACEPTABLE CON REVISIÓN",
IF(OR(AND(COUNTIF(V667:V682,"Control/Acción Eficaz")=1,COUNTIF(V667:V682,"Control/Acción Satisfactorio")=1),
AND(COUNTIF(V667:V682,"Control/Acción Eficaz")=1,COUNTIF(V667:V682,"Control/Acción No Eficaz")=1)),"SUSTANCIAL","INACEPTABLE")),
IF(O667="SUSTANCIAL",IF(COUNTIF(V667:V682,"Control/Acción Eficaz")=2,"BAJA",
IF(OR(AND(COUNTIF(V667:V682,"Control/Acción Eficaz")=1,COUNTIF(V667:V682,"Control/Acción Satisfactorio")=1),
AND(COUNTIF(V667:V682,"Control/Acción Eficaz")=1,COUNTIF(V667:V682,"Control/Acción No Eficaz")=1)),"ACEPTABLE CON REVISIÓN ","SUSTANCIAL")),
IF(O667="ACEPTABLE CON REVISIÓN",IF(COUNTIF(V667:V682,"Control/Acción Eficaz")=2,"ACEPTABLE",
IF(OR(AND(COUNTIF(V667:V682,"Control/Acción Eficaz")=1,COUNTIF(V667:V682,"Control/Acción Satisfactorio")=1),
AND(COUNTIF(V667:V682,"Control/Acción Eficaz")=1,COUNTIF(V667:V682,"Control/Acción No Eficaz")=1)),"BAJA","ACEPTABLE CON REVISIÓN")),
IF(O667="BAJA",IF(COUNTIF(V667:V682,"Control/Acción Eficaz")&gt;=2,"ACEPTABLE","BAJA"),)))),
IF(COUNTA(V667:V682)-COUNTBLANK(V667:V682)&gt;=3,
IF(O667="INACEPTABLE",
IF(COUNTBLANK(V667:V682)=COUNTA(V667:V682),"",
IF(COUNTIF(V667:V682,"Control/Acción No Eficaz")&gt;=2,"INACEPTABLE",
IF(AND(COUNTIF(V667:V682,"Control/Acción No Eficaz")=0,COUNTIF(V667:V682,"Control/Acción Eficaz")&gt;=2),"ACEPTABLE CON REVISIÓN ","SUSTANCIAL"))),
IF(O667="SUSTANCIAL",
IF(COUNTBLANK(V667:V682)=COUNTA(V667:V682),"",
IF(COUNTIF(V667:V682,"Control/Acción No Eficaz")&gt;=2,"SUSTANCIAL",
IF(AND(COUNTIF(V667:V682,"Control/Acción No Eficaz")=0,COUNTIF(V667:V682,"Control/Acción Eficaz")&gt;=2),"BAJA","ACEPTABLE CON REVISIÓN"))),
IF(O667="ACEPTABLE CON REVISIÓN",
IF(COUNTBLANK(V667:V682)=COUNTA(V667:V682),"",
IF(COUNTIF(V667:V682,"Control/Acción No Eficaz")&gt;=2,"ACEPTABLE CON REVISIÓN",
IF(AND(COUNTIF(V667:V682,"Control/Acción No Eficaz")=0,COUNTIF(V667:V682,"Control/Acción Eficaz")&gt;=2),"ACEPTABLE","BAJA"))),
IF(O667="BAJA",
IF(COUNTBLANK(V667:V682)=COUNTA(V667:V682),"",
IF(AND(COUNTBLANK(V667:V682)&lt;1,COUNTA(V667:V682)=1),
IF(COUNTIF(V667:V682,"Control/Acción No Eficaz")&gt;=2,"BAJA",
IF(AND(COUNTIF(V667:V682,"Control/Acción No Eficaz")=0,COUNTIF(V667:V682,"Control/Acción Eficaz")&gt;=2),"ACEPTABLE","BAJA")),
IF(COUNTIF(V667:V682,"Control/Acción No Eficaz")&gt;=2,"BAJA",
IF(AND(COUNTIF(V667:V682,"Control/Acción No Eficaz")=0,COUNTIF(V667:V682,"Control/Acción Eficaz")&gt;=2),"ACEPTABLE","BAJA")))),
IF(COUNTIF(V667:V682,"")&gt;=5,"",O667))))),
""))))</f>
        <v/>
      </c>
      <c r="X667" s="115"/>
      <c r="Y667" s="128"/>
      <c r="Z667" s="30"/>
      <c r="AA667" s="31" t="str">
        <f>E667</f>
        <v/>
      </c>
    </row>
    <row r="668" ht="87.0" customHeight="1">
      <c r="A668" s="129"/>
      <c r="B668" s="130"/>
      <c r="C668" s="130"/>
      <c r="D668" s="130"/>
      <c r="E668" s="130"/>
      <c r="F668" s="130"/>
      <c r="G668" s="130"/>
      <c r="H668" s="130"/>
      <c r="I668" s="130"/>
      <c r="J668" s="130"/>
      <c r="K668" s="130"/>
      <c r="L668" s="130"/>
      <c r="M668" s="130"/>
      <c r="N668" s="130"/>
      <c r="O668" s="130"/>
      <c r="P668" s="132"/>
      <c r="Q668" s="134"/>
      <c r="R668" s="134"/>
      <c r="S668" s="134"/>
      <c r="T668" s="135"/>
      <c r="U668" s="135"/>
      <c r="V668" s="135" t="str">
        <f>IFERROR(IF(AA668="SEGURIDAD",OFFSET('PARÁMETROS'!$K$2,MATCH(U668,JC_SE,0),MATCH(T668,CC_SE,0)),
IF(OR(AA668="DSRC/Estratégico",AA668="DSRC/Operativo"),OFFSET('PARÁMETROS'!$K$11,MATCH(U668,JC_DS,0),MATCH(T668,CC_DS,0)),
IF(AA668="SALUD",OFFSET('PARÁMETROS'!$K$29,MATCH(U668,JC_SA,0),MATCH(T668,CC_SA,0)),
IF(AA668="MEDIO AMBIENTE",OFFSET('PARÁMETROS'!$K$20,MATCH(U668,JC_MA,0),MATCH(T668,CC_MA,0)),
IF(AA668="Rel. Gubernamentales",OFFSET('PARÁMETROS'!$K$48,MATCH(U668,JC_G,0),MATCH(T668,CC_G,0)),
IF(AA668="OPERACIONAL",OFFSET('PARÁMETROS'!$K$56,MATCH(U668,JC_OP,0),MATCH(T668,CC_OP,0)),
IF(AA668="FINANCIERO",OFFSET('PARÁMETROS'!$K$56,MATCH(U668,JC_FI,0),MATCH(T668,CC_FI,0)),
OFFSET('PARÁMETROS'!$K$38,MATCH(U668,JC_L,0),MATCH(T668,CC_L,0))))))))),"")</f>
        <v/>
      </c>
      <c r="W668" s="130"/>
      <c r="X668" s="135"/>
      <c r="Y668" s="136"/>
      <c r="Z668" s="30"/>
      <c r="AA668" s="31" t="str">
        <f>E667</f>
        <v/>
      </c>
    </row>
    <row r="669" ht="87.0" customHeight="1">
      <c r="A669" s="129"/>
      <c r="B669" s="130"/>
      <c r="C669" s="130"/>
      <c r="D669" s="130"/>
      <c r="E669" s="130"/>
      <c r="F669" s="130"/>
      <c r="G669" s="130"/>
      <c r="H669" s="130"/>
      <c r="I669" s="130"/>
      <c r="J669" s="130"/>
      <c r="K669" s="130"/>
      <c r="L669" s="130"/>
      <c r="M669" s="130"/>
      <c r="N669" s="130"/>
      <c r="O669" s="130"/>
      <c r="P669" s="132"/>
      <c r="Q669" s="134"/>
      <c r="R669" s="134"/>
      <c r="S669" s="134"/>
      <c r="T669" s="135"/>
      <c r="U669" s="135"/>
      <c r="V669" s="135" t="str">
        <f>IFERROR(IF(AA669="SEGURIDAD",OFFSET('PARÁMETROS'!$K$2,MATCH(U669,JC_SE,0),MATCH(T669,CC_SE,0)),
IF(OR(AA669="DSRC/Estratégico",AA669="DSRC/Operativo"),OFFSET('PARÁMETROS'!$K$11,MATCH(U669,JC_DS,0),MATCH(T669,CC_DS,0)),
IF(AA669="SALUD",OFFSET('PARÁMETROS'!$K$29,MATCH(U669,JC_SA,0),MATCH(T669,CC_SA,0)),
IF(AA669="MEDIO AMBIENTE",OFFSET('PARÁMETROS'!$K$20,MATCH(U669,JC_MA,0),MATCH(T669,CC_MA,0)),
IF(AA669="Rel. Gubernamentales",OFFSET('PARÁMETROS'!$K$48,MATCH(U669,JC_G,0),MATCH(T669,CC_G,0)),
IF(AA669="OPERACIONAL",OFFSET('PARÁMETROS'!$K$56,MATCH(U669,JC_OP,0),MATCH(T669,CC_OP,0)),
IF(AA669="FINANCIERO",OFFSET('PARÁMETROS'!$K$56,MATCH(U669,JC_FI,0),MATCH(T669,CC_FI,0)),
OFFSET('PARÁMETROS'!$K$38,MATCH(U669,JC_L,0),MATCH(T669,CC_L,0))))))))),"")</f>
        <v/>
      </c>
      <c r="W669" s="130"/>
      <c r="X669" s="135"/>
      <c r="Y669" s="136"/>
      <c r="Z669" s="30"/>
      <c r="AA669" s="31" t="str">
        <f>E667</f>
        <v/>
      </c>
    </row>
    <row r="670" ht="87.0" customHeight="1">
      <c r="A670" s="129"/>
      <c r="B670" s="130"/>
      <c r="C670" s="130"/>
      <c r="D670" s="130"/>
      <c r="E670" s="130"/>
      <c r="F670" s="130"/>
      <c r="G670" s="130"/>
      <c r="H670" s="130"/>
      <c r="I670" s="130"/>
      <c r="J670" s="130"/>
      <c r="K670" s="130"/>
      <c r="L670" s="130"/>
      <c r="M670" s="130"/>
      <c r="N670" s="130"/>
      <c r="O670" s="130"/>
      <c r="P670" s="132"/>
      <c r="Q670" s="134"/>
      <c r="R670" s="134"/>
      <c r="S670" s="134"/>
      <c r="T670" s="135"/>
      <c r="U670" s="135"/>
      <c r="V670" s="135" t="str">
        <f>IFERROR(IF(AA670="SEGURIDAD",OFFSET('PARÁMETROS'!$K$2,MATCH(U670,JC_SE,0),MATCH(T670,CC_SE,0)),
IF(OR(AA670="DSRC/Estratégico",AA670="DSRC/Operativo"),OFFSET('PARÁMETROS'!$K$11,MATCH(U670,JC_DS,0),MATCH(T670,CC_DS,0)),
IF(AA670="SALUD",OFFSET('PARÁMETROS'!$K$29,MATCH(U670,JC_SA,0),MATCH(T670,CC_SA,0)),
IF(AA670="MEDIO AMBIENTE",OFFSET('PARÁMETROS'!$K$20,MATCH(U670,JC_MA,0),MATCH(T670,CC_MA,0)),
IF(AA670="Rel. Gubernamentales",OFFSET('PARÁMETROS'!$K$48,MATCH(U670,JC_G,0),MATCH(T670,CC_G,0)),
IF(AA670="OPERACIONAL",OFFSET('PARÁMETROS'!$K$56,MATCH(U670,JC_OP,0),MATCH(T670,CC_OP,0)),
IF(AA670="FINANCIERO",OFFSET('PARÁMETROS'!$K$56,MATCH(U670,JC_FI,0),MATCH(T670,CC_FI,0)),
OFFSET('PARÁMETROS'!$K$38,MATCH(U670,JC_L,0),MATCH(T670,CC_L,0))))))))),"")</f>
        <v/>
      </c>
      <c r="W670" s="130"/>
      <c r="X670" s="135"/>
      <c r="Y670" s="136"/>
      <c r="Z670" s="30"/>
      <c r="AA670" s="31" t="str">
        <f>E667</f>
        <v/>
      </c>
    </row>
    <row r="671" ht="87.0" customHeight="1">
      <c r="A671" s="129"/>
      <c r="B671" s="130"/>
      <c r="C671" s="130"/>
      <c r="D671" s="130"/>
      <c r="E671" s="130"/>
      <c r="F671" s="130"/>
      <c r="G671" s="130"/>
      <c r="H671" s="130"/>
      <c r="I671" s="130"/>
      <c r="J671" s="130"/>
      <c r="K671" s="130"/>
      <c r="L671" s="130"/>
      <c r="M671" s="130"/>
      <c r="N671" s="130"/>
      <c r="O671" s="130"/>
      <c r="P671" s="132"/>
      <c r="Q671" s="134"/>
      <c r="R671" s="134"/>
      <c r="S671" s="134"/>
      <c r="T671" s="135"/>
      <c r="U671" s="135"/>
      <c r="V671" s="135" t="str">
        <f>IFERROR(IF(AA671="SEGURIDAD",OFFSET('PARÁMETROS'!$K$2,MATCH(U671,JC_SE,0),MATCH(T671,CC_SE,0)),
IF(OR(AA671="DSRC/Estratégico",AA671="DSRC/Operativo"),OFFSET('PARÁMETROS'!$K$11,MATCH(U671,JC_DS,0),MATCH(T671,CC_DS,0)),
IF(AA671="SALUD",OFFSET('PARÁMETROS'!$K$29,MATCH(U671,JC_SA,0),MATCH(T671,CC_SA,0)),
IF(AA671="MEDIO AMBIENTE",OFFSET('PARÁMETROS'!$K$20,MATCH(U671,JC_MA,0),MATCH(T671,CC_MA,0)),
IF(AA671="Rel. Gubernamentales",OFFSET('PARÁMETROS'!$K$48,MATCH(U671,JC_G,0),MATCH(T671,CC_G,0)),
IF(AA671="OPERACIONAL",OFFSET('PARÁMETROS'!$K$56,MATCH(U671,JC_OP,0),MATCH(T671,CC_OP,0)),
IF(AA671="FINANCIERO",OFFSET('PARÁMETROS'!$K$56,MATCH(U671,JC_FI,0),MATCH(T671,CC_FI,0)),
OFFSET('PARÁMETROS'!$K$38,MATCH(U671,JC_L,0),MATCH(T671,CC_L,0))))))))),"")</f>
        <v/>
      </c>
      <c r="W671" s="130"/>
      <c r="X671" s="135"/>
      <c r="Y671" s="136"/>
      <c r="Z671" s="30"/>
      <c r="AA671" s="31" t="str">
        <f>E667</f>
        <v/>
      </c>
    </row>
    <row r="672" ht="87.0" customHeight="1">
      <c r="A672" s="129"/>
      <c r="B672" s="130"/>
      <c r="C672" s="130"/>
      <c r="D672" s="130"/>
      <c r="E672" s="130"/>
      <c r="F672" s="130"/>
      <c r="G672" s="130"/>
      <c r="H672" s="130"/>
      <c r="I672" s="130"/>
      <c r="J672" s="130"/>
      <c r="K672" s="130"/>
      <c r="L672" s="130"/>
      <c r="M672" s="130"/>
      <c r="N672" s="130"/>
      <c r="O672" s="130"/>
      <c r="P672" s="132"/>
      <c r="Q672" s="134"/>
      <c r="R672" s="134"/>
      <c r="S672" s="134"/>
      <c r="T672" s="135"/>
      <c r="U672" s="135"/>
      <c r="V672" s="135" t="str">
        <f>IFERROR(IF(AA672="SEGURIDAD",OFFSET('PARÁMETROS'!$K$2,MATCH(U672,JC_SE,0),MATCH(T672,CC_SE,0)),
IF(OR(AA672="DSRC/Estratégico",AA672="DSRC/Operativo"),OFFSET('PARÁMETROS'!$K$11,MATCH(U672,JC_DS,0),MATCH(T672,CC_DS,0)),
IF(AA672="SALUD",OFFSET('PARÁMETROS'!$K$29,MATCH(U672,JC_SA,0),MATCH(T672,CC_SA,0)),
IF(AA672="MEDIO AMBIENTE",OFFSET('PARÁMETROS'!$K$20,MATCH(U672,JC_MA,0),MATCH(T672,CC_MA,0)),
IF(AA672="Rel. Gubernamentales",OFFSET('PARÁMETROS'!$K$48,MATCH(U672,JC_G,0),MATCH(T672,CC_G,0)),
IF(AA672="OPERACIONAL",OFFSET('PARÁMETROS'!$K$56,MATCH(U672,JC_OP,0),MATCH(T672,CC_OP,0)),
IF(AA672="FINANCIERO",OFFSET('PARÁMETROS'!$K$56,MATCH(U672,JC_FI,0),MATCH(T672,CC_FI,0)),
OFFSET('PARÁMETROS'!$K$38,MATCH(U672,JC_L,0),MATCH(T672,CC_L,0))))))))),"")</f>
        <v/>
      </c>
      <c r="W672" s="130"/>
      <c r="X672" s="135"/>
      <c r="Y672" s="136"/>
      <c r="Z672" s="30"/>
      <c r="AA672" s="31" t="str">
        <f>E667</f>
        <v/>
      </c>
    </row>
    <row r="673" ht="87.0" customHeight="1">
      <c r="A673" s="129"/>
      <c r="B673" s="130"/>
      <c r="C673" s="130"/>
      <c r="D673" s="130"/>
      <c r="E673" s="130"/>
      <c r="F673" s="130"/>
      <c r="G673" s="130"/>
      <c r="H673" s="130"/>
      <c r="I673" s="130"/>
      <c r="J673" s="130"/>
      <c r="K673" s="130"/>
      <c r="L673" s="130"/>
      <c r="M673" s="130"/>
      <c r="N673" s="130"/>
      <c r="O673" s="130"/>
      <c r="P673" s="132"/>
      <c r="Q673" s="134"/>
      <c r="R673" s="134"/>
      <c r="S673" s="134"/>
      <c r="T673" s="135"/>
      <c r="U673" s="135"/>
      <c r="V673" s="135" t="str">
        <f>IFERROR(IF(AA673="SEGURIDAD",OFFSET('PARÁMETROS'!$K$2,MATCH(U673,JC_SE,0),MATCH(T673,CC_SE,0)),
IF(OR(AA673="DSRC/Estratégico",AA673="DSRC/Operativo"),OFFSET('PARÁMETROS'!$K$11,MATCH(U673,JC_DS,0),MATCH(T673,CC_DS,0)),
IF(AA673="SALUD",OFFSET('PARÁMETROS'!$K$29,MATCH(U673,JC_SA,0),MATCH(T673,CC_SA,0)),
IF(AA673="MEDIO AMBIENTE",OFFSET('PARÁMETROS'!$K$20,MATCH(U673,JC_MA,0),MATCH(T673,CC_MA,0)),
IF(AA673="Rel. Gubernamentales",OFFSET('PARÁMETROS'!$K$48,MATCH(U673,JC_G,0),MATCH(T673,CC_G,0)),
IF(AA673="OPERACIONAL",OFFSET('PARÁMETROS'!$K$56,MATCH(U673,JC_OP,0),MATCH(T673,CC_OP,0)),
IF(AA673="FINANCIERO",OFFSET('PARÁMETROS'!$K$56,MATCH(U673,JC_FI,0),MATCH(T673,CC_FI,0)),
OFFSET('PARÁMETROS'!$K$38,MATCH(U673,JC_L,0),MATCH(T673,CC_L,0))))))))),"")</f>
        <v/>
      </c>
      <c r="W673" s="130"/>
      <c r="X673" s="135"/>
      <c r="Y673" s="136"/>
      <c r="Z673" s="30"/>
      <c r="AA673" s="31" t="str">
        <f>E667</f>
        <v/>
      </c>
    </row>
    <row r="674" ht="87.0" customHeight="1">
      <c r="A674" s="129"/>
      <c r="B674" s="130"/>
      <c r="C674" s="130"/>
      <c r="D674" s="130"/>
      <c r="E674" s="130"/>
      <c r="F674" s="130"/>
      <c r="G674" s="130"/>
      <c r="H674" s="130"/>
      <c r="I674" s="130"/>
      <c r="J674" s="130"/>
      <c r="K674" s="130"/>
      <c r="L674" s="130"/>
      <c r="M674" s="130"/>
      <c r="N674" s="130"/>
      <c r="O674" s="130"/>
      <c r="P674" s="132"/>
      <c r="Q674" s="134"/>
      <c r="R674" s="134"/>
      <c r="S674" s="134"/>
      <c r="T674" s="135"/>
      <c r="U674" s="135"/>
      <c r="V674" s="135" t="str">
        <f>IFERROR(IF(AA674="SEGURIDAD",OFFSET('PARÁMETROS'!$K$2,MATCH(U674,JC_SE,0),MATCH(T674,CC_SE,0)),
IF(OR(AA674="DSRC/Estratégico",AA674="DSRC/Operativo"),OFFSET('PARÁMETROS'!$K$11,MATCH(U674,JC_DS,0),MATCH(T674,CC_DS,0)),
IF(AA674="SALUD",OFFSET('PARÁMETROS'!$K$29,MATCH(U674,JC_SA,0),MATCH(T674,CC_SA,0)),
IF(AA674="MEDIO AMBIENTE",OFFSET('PARÁMETROS'!$K$20,MATCH(U674,JC_MA,0),MATCH(T674,CC_MA,0)),
IF(AA674="Rel. Gubernamentales",OFFSET('PARÁMETROS'!$K$48,MATCH(U674,JC_G,0),MATCH(T674,CC_G,0)),
IF(AA674="OPERACIONAL",OFFSET('PARÁMETROS'!$K$56,MATCH(U674,JC_OP,0),MATCH(T674,CC_OP,0)),
IF(AA674="FINANCIERO",OFFSET('PARÁMETROS'!$K$56,MATCH(U674,JC_FI,0),MATCH(T674,CC_FI,0)),
OFFSET('PARÁMETROS'!$K$38,MATCH(U674,JC_L,0),MATCH(T674,CC_L,0))))))))),"")</f>
        <v/>
      </c>
      <c r="W674" s="130"/>
      <c r="X674" s="135"/>
      <c r="Y674" s="136"/>
      <c r="Z674" s="30"/>
      <c r="AA674" s="31" t="str">
        <f>E667</f>
        <v/>
      </c>
    </row>
    <row r="675" ht="87.0" customHeight="1">
      <c r="A675" s="129"/>
      <c r="B675" s="130"/>
      <c r="C675" s="130"/>
      <c r="D675" s="130"/>
      <c r="E675" s="130"/>
      <c r="F675" s="130"/>
      <c r="G675" s="130"/>
      <c r="H675" s="130"/>
      <c r="I675" s="130"/>
      <c r="J675" s="130"/>
      <c r="K675" s="130"/>
      <c r="L675" s="130"/>
      <c r="M675" s="130"/>
      <c r="N675" s="130"/>
      <c r="O675" s="130"/>
      <c r="P675" s="132"/>
      <c r="Q675" s="134"/>
      <c r="R675" s="134"/>
      <c r="S675" s="134"/>
      <c r="T675" s="135"/>
      <c r="U675" s="135"/>
      <c r="V675" s="135" t="str">
        <f>IFERROR(IF(AA675="SEGURIDAD",OFFSET('PARÁMETROS'!$K$2,MATCH(U675,JC_SE,0),MATCH(T675,CC_SE,0)),
IF(OR(AA675="DSRC/Estratégico",AA675="DSRC/Operativo"),OFFSET('PARÁMETROS'!$K$11,MATCH(U675,JC_DS,0),MATCH(T675,CC_DS,0)),
IF(AA675="SALUD",OFFSET('PARÁMETROS'!$K$29,MATCH(U675,JC_SA,0),MATCH(T675,CC_SA,0)),
IF(AA675="MEDIO AMBIENTE",OFFSET('PARÁMETROS'!$K$20,MATCH(U675,JC_MA,0),MATCH(T675,CC_MA,0)),
IF(AA675="Rel. Gubernamentales",OFFSET('PARÁMETROS'!$K$48,MATCH(U675,JC_G,0),MATCH(T675,CC_G,0)),
IF(AA675="OPERACIONAL",OFFSET('PARÁMETROS'!$K$56,MATCH(U675,JC_OP,0),MATCH(T675,CC_OP,0)),
IF(AA675="FINANCIERO",OFFSET('PARÁMETROS'!$K$56,MATCH(U675,JC_FI,0),MATCH(T675,CC_FI,0)),
OFFSET('PARÁMETROS'!$K$38,MATCH(U675,JC_L,0),MATCH(T675,CC_L,0))))))))),"")</f>
        <v/>
      </c>
      <c r="W675" s="130"/>
      <c r="X675" s="135"/>
      <c r="Y675" s="136"/>
      <c r="Z675" s="30"/>
      <c r="AA675" s="31" t="str">
        <f>E667</f>
        <v/>
      </c>
    </row>
    <row r="676" ht="87.0" customHeight="1">
      <c r="A676" s="129"/>
      <c r="B676" s="130"/>
      <c r="C676" s="130"/>
      <c r="D676" s="130"/>
      <c r="E676" s="130"/>
      <c r="F676" s="130"/>
      <c r="G676" s="130"/>
      <c r="H676" s="130"/>
      <c r="I676" s="130"/>
      <c r="J676" s="130"/>
      <c r="K676" s="130"/>
      <c r="L676" s="130"/>
      <c r="M676" s="130"/>
      <c r="N676" s="130"/>
      <c r="O676" s="130"/>
      <c r="P676" s="132"/>
      <c r="Q676" s="134"/>
      <c r="R676" s="134"/>
      <c r="S676" s="134"/>
      <c r="T676" s="135"/>
      <c r="U676" s="135"/>
      <c r="V676" s="135" t="str">
        <f>IFERROR(IF(AA676="SEGURIDAD",OFFSET('PARÁMETROS'!$K$2,MATCH(U676,JC_SE,0),MATCH(T676,CC_SE,0)),
IF(OR(AA676="DSRC/Estratégico",AA676="DSRC/Operativo"),OFFSET('PARÁMETROS'!$K$11,MATCH(U676,JC_DS,0),MATCH(T676,CC_DS,0)),
IF(AA676="SALUD",OFFSET('PARÁMETROS'!$K$29,MATCH(U676,JC_SA,0),MATCH(T676,CC_SA,0)),
IF(AA676="MEDIO AMBIENTE",OFFSET('PARÁMETROS'!$K$20,MATCH(U676,JC_MA,0),MATCH(T676,CC_MA,0)),
IF(AA676="Rel. Gubernamentales",OFFSET('PARÁMETROS'!$K$48,MATCH(U676,JC_G,0),MATCH(T676,CC_G,0)),
IF(AA676="OPERACIONAL",OFFSET('PARÁMETROS'!$K$56,MATCH(U676,JC_OP,0),MATCH(T676,CC_OP,0)),
IF(AA676="FINANCIERO",OFFSET('PARÁMETROS'!$K$56,MATCH(U676,JC_FI,0),MATCH(T676,CC_FI,0)),
OFFSET('PARÁMETROS'!$K$38,MATCH(U676,JC_L,0),MATCH(T676,CC_L,0))))))))),"")</f>
        <v/>
      </c>
      <c r="W676" s="130"/>
      <c r="X676" s="135"/>
      <c r="Y676" s="136"/>
      <c r="Z676" s="30"/>
      <c r="AA676" s="31" t="str">
        <f>E667</f>
        <v/>
      </c>
    </row>
    <row r="677" ht="87.0" customHeight="1">
      <c r="A677" s="129"/>
      <c r="B677" s="130"/>
      <c r="C677" s="130"/>
      <c r="D677" s="130"/>
      <c r="E677" s="130"/>
      <c r="F677" s="130"/>
      <c r="G677" s="130"/>
      <c r="H677" s="130"/>
      <c r="I677" s="130"/>
      <c r="J677" s="130"/>
      <c r="K677" s="130"/>
      <c r="L677" s="130"/>
      <c r="M677" s="130"/>
      <c r="N677" s="130"/>
      <c r="O677" s="130"/>
      <c r="P677" s="132"/>
      <c r="Q677" s="134"/>
      <c r="R677" s="134"/>
      <c r="S677" s="134"/>
      <c r="T677" s="135"/>
      <c r="U677" s="135"/>
      <c r="V677" s="135" t="str">
        <f>IFERROR(IF(AA677="SEGURIDAD",OFFSET('PARÁMETROS'!$K$2,MATCH(U677,JC_SE,0),MATCH(T677,CC_SE,0)),
IF(OR(AA677="DSRC/Estratégico",AA677="DSRC/Operativo"),OFFSET('PARÁMETROS'!$K$11,MATCH(U677,JC_DS,0),MATCH(T677,CC_DS,0)),
IF(AA677="SALUD",OFFSET('PARÁMETROS'!$K$29,MATCH(U677,JC_SA,0),MATCH(T677,CC_SA,0)),
IF(AA677="MEDIO AMBIENTE",OFFSET('PARÁMETROS'!$K$20,MATCH(U677,JC_MA,0),MATCH(T677,CC_MA,0)),
IF(AA677="Rel. Gubernamentales",OFFSET('PARÁMETROS'!$K$48,MATCH(U677,JC_G,0),MATCH(T677,CC_G,0)),
IF(AA677="OPERACIONAL",OFFSET('PARÁMETROS'!$K$56,MATCH(U677,JC_OP,0),MATCH(T677,CC_OP,0)),
IF(AA677="FINANCIERO",OFFSET('PARÁMETROS'!$K$56,MATCH(U677,JC_FI,0),MATCH(T677,CC_FI,0)),
OFFSET('PARÁMETROS'!$K$38,MATCH(U677,JC_L,0),MATCH(T677,CC_L,0))))))))),"")</f>
        <v/>
      </c>
      <c r="W677" s="130"/>
      <c r="X677" s="135"/>
      <c r="Y677" s="136"/>
      <c r="Z677" s="30"/>
      <c r="AA677" s="31" t="str">
        <f>E667</f>
        <v/>
      </c>
    </row>
    <row r="678" ht="87.0" customHeight="1">
      <c r="A678" s="129"/>
      <c r="B678" s="130"/>
      <c r="C678" s="130"/>
      <c r="D678" s="130"/>
      <c r="E678" s="130"/>
      <c r="F678" s="130"/>
      <c r="G678" s="130"/>
      <c r="H678" s="130"/>
      <c r="I678" s="130"/>
      <c r="J678" s="130"/>
      <c r="K678" s="130"/>
      <c r="L678" s="130"/>
      <c r="M678" s="130"/>
      <c r="N678" s="130"/>
      <c r="O678" s="130"/>
      <c r="P678" s="132"/>
      <c r="Q678" s="134"/>
      <c r="R678" s="134"/>
      <c r="S678" s="134"/>
      <c r="T678" s="135"/>
      <c r="U678" s="135"/>
      <c r="V678" s="135" t="str">
        <f>IFERROR(IF(AA678="SEGURIDAD",OFFSET('PARÁMETROS'!$K$2,MATCH(U678,JC_SE,0),MATCH(T678,CC_SE,0)),
IF(OR(AA678="DSRC/Estratégico",AA678="DSRC/Operativo"),OFFSET('PARÁMETROS'!$K$11,MATCH(U678,JC_DS,0),MATCH(T678,CC_DS,0)),
IF(AA678="SALUD",OFFSET('PARÁMETROS'!$K$29,MATCH(U678,JC_SA,0),MATCH(T678,CC_SA,0)),
IF(AA678="MEDIO AMBIENTE",OFFSET('PARÁMETROS'!$K$20,MATCH(U678,JC_MA,0),MATCH(T678,CC_MA,0)),
IF(AA678="Rel. Gubernamentales",OFFSET('PARÁMETROS'!$K$48,MATCH(U678,JC_G,0),MATCH(T678,CC_G,0)),
IF(AA678="OPERACIONAL",OFFSET('PARÁMETROS'!$K$56,MATCH(U678,JC_OP,0),MATCH(T678,CC_OP,0)),
IF(AA678="FINANCIERO",OFFSET('PARÁMETROS'!$K$56,MATCH(U678,JC_FI,0),MATCH(T678,CC_FI,0)),
OFFSET('PARÁMETROS'!$K$38,MATCH(U678,JC_L,0),MATCH(T678,CC_L,0))))))))),"")</f>
        <v/>
      </c>
      <c r="W678" s="130"/>
      <c r="X678" s="135"/>
      <c r="Y678" s="136"/>
      <c r="Z678" s="30"/>
      <c r="AA678" s="31" t="str">
        <f>E667</f>
        <v/>
      </c>
    </row>
    <row r="679" ht="87.0" customHeight="1">
      <c r="A679" s="129"/>
      <c r="B679" s="130"/>
      <c r="C679" s="130"/>
      <c r="D679" s="130"/>
      <c r="E679" s="130"/>
      <c r="F679" s="130"/>
      <c r="G679" s="130"/>
      <c r="H679" s="130"/>
      <c r="I679" s="130"/>
      <c r="J679" s="130"/>
      <c r="K679" s="130"/>
      <c r="L679" s="130"/>
      <c r="M679" s="130"/>
      <c r="N679" s="130"/>
      <c r="O679" s="130"/>
      <c r="P679" s="132"/>
      <c r="Q679" s="134"/>
      <c r="R679" s="134"/>
      <c r="S679" s="134"/>
      <c r="T679" s="135"/>
      <c r="U679" s="135"/>
      <c r="V679" s="135" t="str">
        <f>IFERROR(IF(AA679="SEGURIDAD",OFFSET('PARÁMETROS'!$K$2,MATCH(U679,JC_SE,0),MATCH(T679,CC_SE,0)),
IF(OR(AA679="DSRC/Estratégico",AA679="DSRC/Operativo"),OFFSET('PARÁMETROS'!$K$11,MATCH(U679,JC_DS,0),MATCH(T679,CC_DS,0)),
IF(AA679="SALUD",OFFSET('PARÁMETROS'!$K$29,MATCH(U679,JC_SA,0),MATCH(T679,CC_SA,0)),
IF(AA679="MEDIO AMBIENTE",OFFSET('PARÁMETROS'!$K$20,MATCH(U679,JC_MA,0),MATCH(T679,CC_MA,0)),
IF(AA679="Rel. Gubernamentales",OFFSET('PARÁMETROS'!$K$48,MATCH(U679,JC_G,0),MATCH(T679,CC_G,0)),
IF(AA679="OPERACIONAL",OFFSET('PARÁMETROS'!$K$56,MATCH(U679,JC_OP,0),MATCH(T679,CC_OP,0)),
IF(AA679="FINANCIERO",OFFSET('PARÁMETROS'!$K$56,MATCH(U679,JC_FI,0),MATCH(T679,CC_FI,0)),
OFFSET('PARÁMETROS'!$K$38,MATCH(U679,JC_L,0),MATCH(T679,CC_L,0))))))))),"")</f>
        <v/>
      </c>
      <c r="W679" s="130"/>
      <c r="X679" s="135"/>
      <c r="Y679" s="136"/>
      <c r="Z679" s="30"/>
      <c r="AA679" s="31" t="str">
        <f>E667</f>
        <v/>
      </c>
    </row>
    <row r="680" ht="87.0" customHeight="1">
      <c r="A680" s="129"/>
      <c r="B680" s="130"/>
      <c r="C680" s="130"/>
      <c r="D680" s="130"/>
      <c r="E680" s="130"/>
      <c r="F680" s="130"/>
      <c r="G680" s="130"/>
      <c r="H680" s="130"/>
      <c r="I680" s="130"/>
      <c r="J680" s="130"/>
      <c r="K680" s="130"/>
      <c r="L680" s="130"/>
      <c r="M680" s="130"/>
      <c r="N680" s="130"/>
      <c r="O680" s="130"/>
      <c r="P680" s="132"/>
      <c r="Q680" s="134"/>
      <c r="R680" s="134"/>
      <c r="S680" s="134"/>
      <c r="T680" s="135"/>
      <c r="U680" s="135"/>
      <c r="V680" s="135" t="str">
        <f>IFERROR(IF(AA680="SEGURIDAD",OFFSET('PARÁMETROS'!$K$2,MATCH(U680,JC_SE,0),MATCH(T680,CC_SE,0)),
IF(OR(AA680="DSRC/Estratégico",AA680="DSRC/Operativo"),OFFSET('PARÁMETROS'!$K$11,MATCH(U680,JC_DS,0),MATCH(T680,CC_DS,0)),
IF(AA680="SALUD",OFFSET('PARÁMETROS'!$K$29,MATCH(U680,JC_SA,0),MATCH(T680,CC_SA,0)),
IF(AA680="MEDIO AMBIENTE",OFFSET('PARÁMETROS'!$K$20,MATCH(U680,JC_MA,0),MATCH(T680,CC_MA,0)),
IF(AA680="Rel. Gubernamentales",OFFSET('PARÁMETROS'!$K$48,MATCH(U680,JC_G,0),MATCH(T680,CC_G,0)),
IF(AA680="OPERACIONAL",OFFSET('PARÁMETROS'!$K$56,MATCH(U680,JC_OP,0),MATCH(T680,CC_OP,0)),
IF(AA680="FINANCIERO",OFFSET('PARÁMETROS'!$K$56,MATCH(U680,JC_FI,0),MATCH(T680,CC_FI,0)),
OFFSET('PARÁMETROS'!$K$38,MATCH(U680,JC_L,0),MATCH(T680,CC_L,0))))))))),"")</f>
        <v/>
      </c>
      <c r="W680" s="130"/>
      <c r="X680" s="135"/>
      <c r="Y680" s="136"/>
      <c r="Z680" s="30"/>
      <c r="AA680" s="31" t="str">
        <f>E667</f>
        <v/>
      </c>
    </row>
    <row r="681" ht="87.0" customHeight="1">
      <c r="A681" s="129"/>
      <c r="B681" s="130"/>
      <c r="C681" s="130"/>
      <c r="D681" s="130"/>
      <c r="E681" s="130"/>
      <c r="F681" s="130"/>
      <c r="G681" s="130"/>
      <c r="H681" s="130"/>
      <c r="I681" s="130"/>
      <c r="J681" s="130"/>
      <c r="K681" s="130"/>
      <c r="L681" s="130"/>
      <c r="M681" s="130"/>
      <c r="N681" s="130"/>
      <c r="O681" s="130"/>
      <c r="P681" s="132"/>
      <c r="Q681" s="134"/>
      <c r="R681" s="134"/>
      <c r="S681" s="134"/>
      <c r="T681" s="135"/>
      <c r="U681" s="135"/>
      <c r="V681" s="135" t="str">
        <f>IFERROR(IF(AA681="SEGURIDAD",OFFSET('PARÁMETROS'!$K$2,MATCH(U681,JC_SE,0),MATCH(T681,CC_SE,0)),
IF(OR(AA681="DSRC/Estratégico",AA681="DSRC/Operativo"),OFFSET('PARÁMETROS'!$K$11,MATCH(U681,JC_DS,0),MATCH(T681,CC_DS,0)),
IF(AA681="SALUD",OFFSET('PARÁMETROS'!$K$29,MATCH(U681,JC_SA,0),MATCH(T681,CC_SA,0)),
IF(AA681="MEDIO AMBIENTE",OFFSET('PARÁMETROS'!$K$20,MATCH(U681,JC_MA,0),MATCH(T681,CC_MA,0)),
IF(AA681="Rel. Gubernamentales",OFFSET('PARÁMETROS'!$K$48,MATCH(U681,JC_G,0),MATCH(T681,CC_G,0)),
IF(AA681="OPERACIONAL",OFFSET('PARÁMETROS'!$K$56,MATCH(U681,JC_OP,0),MATCH(T681,CC_OP,0)),
IF(AA681="FINANCIERO",OFFSET('PARÁMETROS'!$K$56,MATCH(U681,JC_FI,0),MATCH(T681,CC_FI,0)),
OFFSET('PARÁMETROS'!$K$38,MATCH(U681,JC_L,0),MATCH(T681,CC_L,0))))))))),"")</f>
        <v/>
      </c>
      <c r="W681" s="130"/>
      <c r="X681" s="135"/>
      <c r="Y681" s="136"/>
      <c r="Z681" s="30"/>
      <c r="AA681" s="31" t="str">
        <f>E667</f>
        <v/>
      </c>
    </row>
    <row r="682" ht="87.0" customHeight="1">
      <c r="A682" s="89"/>
      <c r="B682" s="90"/>
      <c r="C682" s="90"/>
      <c r="D682" s="157"/>
      <c r="E682" s="157"/>
      <c r="F682" s="157"/>
      <c r="G682" s="157"/>
      <c r="H682" s="157"/>
      <c r="I682" s="90"/>
      <c r="J682" s="90"/>
      <c r="K682" s="90"/>
      <c r="L682" s="90"/>
      <c r="M682" s="90"/>
      <c r="N682" s="90"/>
      <c r="O682" s="90"/>
      <c r="P682" s="132"/>
      <c r="Q682" s="134"/>
      <c r="R682" s="145"/>
      <c r="S682" s="145"/>
      <c r="T682" s="135"/>
      <c r="U682" s="135"/>
      <c r="V682" s="135" t="str">
        <f>IFERROR(IF(AA682="SEGURIDAD",OFFSET('PARÁMETROS'!$K$2,MATCH(U682,JC_SE,0),MATCH(T682,CC_SE,0)),
IF(OR(AA682="DSRC/Estratégico",AA682="DSRC/Operativo"),OFFSET('PARÁMETROS'!$K$11,MATCH(U682,JC_DS,0),MATCH(T682,CC_DS,0)),
IF(AA682="SALUD",OFFSET('PARÁMETROS'!$K$29,MATCH(U682,JC_SA,0),MATCH(T682,CC_SA,0)),
IF(AA682="MEDIO AMBIENTE",OFFSET('PARÁMETROS'!$K$20,MATCH(U682,JC_MA,0),MATCH(T682,CC_MA,0)),
IF(AA682="Rel. Gubernamentales",OFFSET('PARÁMETROS'!$K$48,MATCH(U682,JC_G,0),MATCH(T682,CC_G,0)),
IF(AA682="OPERACIONAL",OFFSET('PARÁMETROS'!$K$56,MATCH(U682,JC_OP,0),MATCH(T682,CC_OP,0)),
IF(AA682="FINANCIERO",OFFSET('PARÁMETROS'!$K$56,MATCH(U682,JC_FI,0),MATCH(T682,CC_FI,0)),
OFFSET('PARÁMETROS'!$K$38,MATCH(U682,JC_L,0),MATCH(T682,CC_L,0))))))))),"")</f>
        <v/>
      </c>
      <c r="W682" s="90"/>
      <c r="X682" s="135"/>
      <c r="Y682" s="136"/>
      <c r="Z682" s="30"/>
      <c r="AA682" s="31" t="str">
        <f>E667</f>
        <v/>
      </c>
    </row>
    <row r="683" ht="87.0" customHeight="1">
      <c r="A683" s="102"/>
      <c r="B683" s="103"/>
      <c r="C683" s="103"/>
      <c r="D683" s="103"/>
      <c r="E683" s="103"/>
      <c r="F683" s="103"/>
      <c r="G683" s="105"/>
      <c r="H683" s="103"/>
      <c r="I683" s="105"/>
      <c r="J683" s="103"/>
      <c r="K683" s="103"/>
      <c r="L683" s="103" t="str">
        <f>IF(OR(J683&lt;&gt;"",K683&lt;&gt;""),OFFSET('PARÁMETROS'!$B$2,K683,J683),"")</f>
        <v/>
      </c>
      <c r="M683" s="103"/>
      <c r="N683" s="103">
        <f>IFERROR(L683*M683,"")</f>
        <v>0</v>
      </c>
      <c r="O683" s="108" t="str">
        <f>IF(N683="","",IFERROR(IF(N683&lt;=2,"ACEPTABLE",IF(N683&lt;=6,"BAJA",IF(N683&lt;=10,"ACEPTABLE CON REVISIÓN",IF(N683&lt;=15,"SUSTANCIAL","INACEPTABLE")))),""))</f>
        <v>ACEPTABLE</v>
      </c>
      <c r="P683" s="113"/>
      <c r="Q683" s="114"/>
      <c r="R683" s="114"/>
      <c r="S683" s="114"/>
      <c r="T683" s="115"/>
      <c r="U683" s="115"/>
      <c r="V683" s="115" t="str">
        <f>IFERROR(IF(AA683="SEGURIDAD",OFFSET('PARÁMETROS'!$K$2,MATCH(U683,JC_SE,0),MATCH(T683,CC_SE,0)),
IF(OR(AA683="DSRC/Estratégico",AA683="DSRC/Operativo"),OFFSET('PARÁMETROS'!$K$11,MATCH(U683,JC_DS,0),MATCH(T683,CC_DS,0)),
IF(AA683="SALUD",OFFSET('PARÁMETROS'!$K$29,MATCH(U683,JC_SA,0),MATCH(T683,CC_SA,0)),
IF(AA683="MEDIO AMBIENTE",OFFSET('PARÁMETROS'!$K$20,MATCH(U683,JC_MA,0),MATCH(T683,CC_MA,0)),
IF(AA683="Rel. Gubernamentales",OFFSET('PARÁMETROS'!$K$48,MATCH(U683,JC_G,0),MATCH(T683,CC_G,0)),
IF(AA683="OPERACIONAL",OFFSET('PARÁMETROS'!$K$56,MATCH(U683,JC_OP,0),MATCH(T683,CC_OP,0)),
IF(AA683="FINANCIERO",OFFSET('PARÁMETROS'!$K$56,MATCH(U683,JC_FI,0),MATCH(T683,CC_FI,0)),
OFFSET('PARÁMETROS'!$K$38,MATCH(U683,JC_L,0),MATCH(T683,CC_L,0))))))))),"")</f>
        <v/>
      </c>
      <c r="W683" s="108" t="str">
        <f>IF(E683="","",
IF(COUNTA(V683:V698)-COUNTBLANK(V683:V698)=1,
IF(O683="INACEPTABLE",IF(COUNTIF(V683:V698,"Control/Acción Eficaz")&gt;=1,"SUSTANCIAL","INACEPTABLE"),
IF(O683="SUSTANCIAL",IF(COUNTIF(V683:V698,"Control/Acción Eficaz")&gt;=1,"ACEPTABLE CON REVISIÓN","SUSTANCIAL"),
IF(O683="ACEPTABLE CON REVISIÓN",IF(COUNTIF(V683:V698,"Control/Acción Eficaz")&gt;=1,"BAJA","ACEPTABLE CON REVISIÓN"),
IF(O683="BAJA",IF(COUNTIF(V683:V698,"Control/Acción Eficaz")&gt;=1,"ACEPTABLE","BAJA"),)))),
IF(COUNTA(V683:V698)-COUNTBLANK(V683:V698)=2,
IF(O683="INACEPTABLE",IF(COUNTIF(V683:V698,"Control/Acción Eficaz")=2,"ACEPTABLE CON REVISIÓN",
IF(OR(AND(COUNTIF(V683:V698,"Control/Acción Eficaz")=1,COUNTIF(V683:V698,"Control/Acción Satisfactorio")=1),
AND(COUNTIF(V683:V698,"Control/Acción Eficaz")=1,COUNTIF(V683:V698,"Control/Acción No Eficaz")=1)),"SUSTANCIAL","INACEPTABLE")),
IF(O683="SUSTANCIAL",IF(COUNTIF(V683:V698,"Control/Acción Eficaz")=2,"BAJA",
IF(OR(AND(COUNTIF(V683:V698,"Control/Acción Eficaz")=1,COUNTIF(V683:V698,"Control/Acción Satisfactorio")=1),
AND(COUNTIF(V683:V698,"Control/Acción Eficaz")=1,COUNTIF(V683:V698,"Control/Acción No Eficaz")=1)),"ACEPTABLE CON REVISIÓN ","SUSTANCIAL")),
IF(O683="ACEPTABLE CON REVISIÓN",IF(COUNTIF(V683:V698,"Control/Acción Eficaz")=2,"ACEPTABLE",
IF(OR(AND(COUNTIF(V683:V698,"Control/Acción Eficaz")=1,COUNTIF(V683:V698,"Control/Acción Satisfactorio")=1),
AND(COUNTIF(V683:V698,"Control/Acción Eficaz")=1,COUNTIF(V683:V698,"Control/Acción No Eficaz")=1)),"BAJA","ACEPTABLE CON REVISIÓN")),
IF(O683="BAJA",IF(COUNTIF(V683:V698,"Control/Acción Eficaz")&gt;=2,"ACEPTABLE","BAJA"),)))),
IF(COUNTA(V683:V698)-COUNTBLANK(V683:V698)&gt;=3,
IF(O683="INACEPTABLE",
IF(COUNTBLANK(V683:V698)=COUNTA(V683:V698),"",
IF(COUNTIF(V683:V698,"Control/Acción No Eficaz")&gt;=2,"INACEPTABLE",
IF(AND(COUNTIF(V683:V698,"Control/Acción No Eficaz")=0,COUNTIF(V683:V698,"Control/Acción Eficaz")&gt;=2),"ACEPTABLE CON REVISIÓN ","SUSTANCIAL"))),
IF(O683="SUSTANCIAL",
IF(COUNTBLANK(V683:V698)=COUNTA(V683:V698),"",
IF(COUNTIF(V683:V698,"Control/Acción No Eficaz")&gt;=2,"SUSTANCIAL",
IF(AND(COUNTIF(V683:V698,"Control/Acción No Eficaz")=0,COUNTIF(V683:V698,"Control/Acción Eficaz")&gt;=2),"BAJA","ACEPTABLE CON REVISIÓN"))),
IF(O683="ACEPTABLE CON REVISIÓN",
IF(COUNTBLANK(V683:V698)=COUNTA(V683:V698),"",
IF(COUNTIF(V683:V698,"Control/Acción No Eficaz")&gt;=2,"ACEPTABLE CON REVISIÓN",
IF(AND(COUNTIF(V683:V698,"Control/Acción No Eficaz")=0,COUNTIF(V683:V698,"Control/Acción Eficaz")&gt;=2),"ACEPTABLE","BAJA"))),
IF(O683="BAJA",
IF(COUNTBLANK(V683:V698)=COUNTA(V683:V698),"",
IF(AND(COUNTBLANK(V683:V698)&lt;1,COUNTA(V683:V698)=1),
IF(COUNTIF(V683:V698,"Control/Acción No Eficaz")&gt;=2,"BAJA",
IF(AND(COUNTIF(V683:V698,"Control/Acción No Eficaz")=0,COUNTIF(V683:V698,"Control/Acción Eficaz")&gt;=2),"ACEPTABLE","BAJA")),
IF(COUNTIF(V683:V698,"Control/Acción No Eficaz")&gt;=2,"BAJA",
IF(AND(COUNTIF(V683:V698,"Control/Acción No Eficaz")=0,COUNTIF(V683:V698,"Control/Acción Eficaz")&gt;=2),"ACEPTABLE","BAJA")))),
IF(COUNTIF(V683:V698,"")&gt;=5,"",O683))))),
""))))</f>
        <v/>
      </c>
      <c r="X683" s="115"/>
      <c r="Y683" s="128"/>
      <c r="Z683" s="30"/>
      <c r="AA683" s="31" t="str">
        <f>E683</f>
        <v/>
      </c>
    </row>
    <row r="684" ht="87.0" customHeight="1">
      <c r="A684" s="129"/>
      <c r="B684" s="130"/>
      <c r="C684" s="130"/>
      <c r="D684" s="130"/>
      <c r="E684" s="130"/>
      <c r="F684" s="130"/>
      <c r="G684" s="130"/>
      <c r="H684" s="130"/>
      <c r="I684" s="130"/>
      <c r="J684" s="130"/>
      <c r="K684" s="130"/>
      <c r="L684" s="130"/>
      <c r="M684" s="130"/>
      <c r="N684" s="130"/>
      <c r="O684" s="130"/>
      <c r="P684" s="132"/>
      <c r="Q684" s="134"/>
      <c r="R684" s="134"/>
      <c r="S684" s="134"/>
      <c r="T684" s="135"/>
      <c r="U684" s="135"/>
      <c r="V684" s="135" t="str">
        <f>IFERROR(IF(AA684="SEGURIDAD",OFFSET('PARÁMETROS'!$K$2,MATCH(U684,JC_SE,0),MATCH(T684,CC_SE,0)),
IF(OR(AA684="DSRC/Estratégico",AA684="DSRC/Operativo"),OFFSET('PARÁMETROS'!$K$11,MATCH(U684,JC_DS,0),MATCH(T684,CC_DS,0)),
IF(AA684="SALUD",OFFSET('PARÁMETROS'!$K$29,MATCH(U684,JC_SA,0),MATCH(T684,CC_SA,0)),
IF(AA684="MEDIO AMBIENTE",OFFSET('PARÁMETROS'!$K$20,MATCH(U684,JC_MA,0),MATCH(T684,CC_MA,0)),
IF(AA684="Rel. Gubernamentales",OFFSET('PARÁMETROS'!$K$48,MATCH(U684,JC_G,0),MATCH(T684,CC_G,0)),
IF(AA684="OPERACIONAL",OFFSET('PARÁMETROS'!$K$56,MATCH(U684,JC_OP,0),MATCH(T684,CC_OP,0)),
IF(AA684="FINANCIERO",OFFSET('PARÁMETROS'!$K$56,MATCH(U684,JC_FI,0),MATCH(T684,CC_FI,0)),
OFFSET('PARÁMETROS'!$K$38,MATCH(U684,JC_L,0),MATCH(T684,CC_L,0))))))))),"")</f>
        <v/>
      </c>
      <c r="W684" s="130"/>
      <c r="X684" s="135"/>
      <c r="Y684" s="136"/>
      <c r="Z684" s="30"/>
      <c r="AA684" s="31" t="str">
        <f>E683</f>
        <v/>
      </c>
    </row>
    <row r="685" ht="87.0" customHeight="1">
      <c r="A685" s="129"/>
      <c r="B685" s="130"/>
      <c r="C685" s="130"/>
      <c r="D685" s="130"/>
      <c r="E685" s="130"/>
      <c r="F685" s="130"/>
      <c r="G685" s="130"/>
      <c r="H685" s="130"/>
      <c r="I685" s="130"/>
      <c r="J685" s="130"/>
      <c r="K685" s="130"/>
      <c r="L685" s="130"/>
      <c r="M685" s="130"/>
      <c r="N685" s="130"/>
      <c r="O685" s="130"/>
      <c r="P685" s="132"/>
      <c r="Q685" s="134"/>
      <c r="R685" s="134"/>
      <c r="S685" s="134"/>
      <c r="T685" s="135"/>
      <c r="U685" s="135"/>
      <c r="V685" s="135" t="str">
        <f>IFERROR(IF(AA685="SEGURIDAD",OFFSET('PARÁMETROS'!$K$2,MATCH(U685,JC_SE,0),MATCH(T685,CC_SE,0)),
IF(OR(AA685="DSRC/Estratégico",AA685="DSRC/Operativo"),OFFSET('PARÁMETROS'!$K$11,MATCH(U685,JC_DS,0),MATCH(T685,CC_DS,0)),
IF(AA685="SALUD",OFFSET('PARÁMETROS'!$K$29,MATCH(U685,JC_SA,0),MATCH(T685,CC_SA,0)),
IF(AA685="MEDIO AMBIENTE",OFFSET('PARÁMETROS'!$K$20,MATCH(U685,JC_MA,0),MATCH(T685,CC_MA,0)),
IF(AA685="Rel. Gubernamentales",OFFSET('PARÁMETROS'!$K$48,MATCH(U685,JC_G,0),MATCH(T685,CC_G,0)),
IF(AA685="OPERACIONAL",OFFSET('PARÁMETROS'!$K$56,MATCH(U685,JC_OP,0),MATCH(T685,CC_OP,0)),
IF(AA685="FINANCIERO",OFFSET('PARÁMETROS'!$K$56,MATCH(U685,JC_FI,0),MATCH(T685,CC_FI,0)),
OFFSET('PARÁMETROS'!$K$38,MATCH(U685,JC_L,0),MATCH(T685,CC_L,0))))))))),"")</f>
        <v/>
      </c>
      <c r="W685" s="130"/>
      <c r="X685" s="135"/>
      <c r="Y685" s="136"/>
      <c r="Z685" s="30"/>
      <c r="AA685" s="31" t="str">
        <f>E683</f>
        <v/>
      </c>
    </row>
    <row r="686" ht="87.0" customHeight="1">
      <c r="A686" s="129"/>
      <c r="B686" s="130"/>
      <c r="C686" s="130"/>
      <c r="D686" s="130"/>
      <c r="E686" s="130"/>
      <c r="F686" s="130"/>
      <c r="G686" s="130"/>
      <c r="H686" s="130"/>
      <c r="I686" s="130"/>
      <c r="J686" s="130"/>
      <c r="K686" s="130"/>
      <c r="L686" s="130"/>
      <c r="M686" s="130"/>
      <c r="N686" s="130"/>
      <c r="O686" s="130"/>
      <c r="P686" s="132"/>
      <c r="Q686" s="134"/>
      <c r="R686" s="134"/>
      <c r="S686" s="134"/>
      <c r="T686" s="135"/>
      <c r="U686" s="135"/>
      <c r="V686" s="135" t="str">
        <f>IFERROR(IF(AA686="SEGURIDAD",OFFSET('PARÁMETROS'!$K$2,MATCH(U686,JC_SE,0),MATCH(T686,CC_SE,0)),
IF(OR(AA686="DSRC/Estratégico",AA686="DSRC/Operativo"),OFFSET('PARÁMETROS'!$K$11,MATCH(U686,JC_DS,0),MATCH(T686,CC_DS,0)),
IF(AA686="SALUD",OFFSET('PARÁMETROS'!$K$29,MATCH(U686,JC_SA,0),MATCH(T686,CC_SA,0)),
IF(AA686="MEDIO AMBIENTE",OFFSET('PARÁMETROS'!$K$20,MATCH(U686,JC_MA,0),MATCH(T686,CC_MA,0)),
IF(AA686="Rel. Gubernamentales",OFFSET('PARÁMETROS'!$K$48,MATCH(U686,JC_G,0),MATCH(T686,CC_G,0)),
IF(AA686="OPERACIONAL",OFFSET('PARÁMETROS'!$K$56,MATCH(U686,JC_OP,0),MATCH(T686,CC_OP,0)),
IF(AA686="FINANCIERO",OFFSET('PARÁMETROS'!$K$56,MATCH(U686,JC_FI,0),MATCH(T686,CC_FI,0)),
OFFSET('PARÁMETROS'!$K$38,MATCH(U686,JC_L,0),MATCH(T686,CC_L,0))))))))),"")</f>
        <v/>
      </c>
      <c r="W686" s="130"/>
      <c r="X686" s="135"/>
      <c r="Y686" s="136"/>
      <c r="Z686" s="30"/>
      <c r="AA686" s="31" t="str">
        <f>E683</f>
        <v/>
      </c>
    </row>
    <row r="687" ht="87.0" customHeight="1">
      <c r="A687" s="129"/>
      <c r="B687" s="130"/>
      <c r="C687" s="130"/>
      <c r="D687" s="130"/>
      <c r="E687" s="130"/>
      <c r="F687" s="130"/>
      <c r="G687" s="130"/>
      <c r="H687" s="130"/>
      <c r="I687" s="130"/>
      <c r="J687" s="130"/>
      <c r="K687" s="130"/>
      <c r="L687" s="130"/>
      <c r="M687" s="130"/>
      <c r="N687" s="130"/>
      <c r="O687" s="130"/>
      <c r="P687" s="132"/>
      <c r="Q687" s="134"/>
      <c r="R687" s="134"/>
      <c r="S687" s="134"/>
      <c r="T687" s="135"/>
      <c r="U687" s="135"/>
      <c r="V687" s="135" t="str">
        <f>IFERROR(IF(AA687="SEGURIDAD",OFFSET('PARÁMETROS'!$K$2,MATCH(U687,JC_SE,0),MATCH(T687,CC_SE,0)),
IF(OR(AA687="DSRC/Estratégico",AA687="DSRC/Operativo"),OFFSET('PARÁMETROS'!$K$11,MATCH(U687,JC_DS,0),MATCH(T687,CC_DS,0)),
IF(AA687="SALUD",OFFSET('PARÁMETROS'!$K$29,MATCH(U687,JC_SA,0),MATCH(T687,CC_SA,0)),
IF(AA687="MEDIO AMBIENTE",OFFSET('PARÁMETROS'!$K$20,MATCH(U687,JC_MA,0),MATCH(T687,CC_MA,0)),
IF(AA687="Rel. Gubernamentales",OFFSET('PARÁMETROS'!$K$48,MATCH(U687,JC_G,0),MATCH(T687,CC_G,0)),
IF(AA687="OPERACIONAL",OFFSET('PARÁMETROS'!$K$56,MATCH(U687,JC_OP,0),MATCH(T687,CC_OP,0)),
IF(AA687="FINANCIERO",OFFSET('PARÁMETROS'!$K$56,MATCH(U687,JC_FI,0),MATCH(T687,CC_FI,0)),
OFFSET('PARÁMETROS'!$K$38,MATCH(U687,JC_L,0),MATCH(T687,CC_L,0))))))))),"")</f>
        <v/>
      </c>
      <c r="W687" s="130"/>
      <c r="X687" s="135"/>
      <c r="Y687" s="136"/>
      <c r="Z687" s="30"/>
      <c r="AA687" s="31" t="str">
        <f>E683</f>
        <v/>
      </c>
    </row>
    <row r="688" ht="87.0" customHeight="1">
      <c r="A688" s="129"/>
      <c r="B688" s="130"/>
      <c r="C688" s="130"/>
      <c r="D688" s="130"/>
      <c r="E688" s="130"/>
      <c r="F688" s="130"/>
      <c r="G688" s="130"/>
      <c r="H688" s="130"/>
      <c r="I688" s="130"/>
      <c r="J688" s="130"/>
      <c r="K688" s="130"/>
      <c r="L688" s="130"/>
      <c r="M688" s="130"/>
      <c r="N688" s="130"/>
      <c r="O688" s="130"/>
      <c r="P688" s="132"/>
      <c r="Q688" s="134"/>
      <c r="R688" s="134"/>
      <c r="S688" s="134"/>
      <c r="T688" s="135"/>
      <c r="U688" s="135"/>
      <c r="V688" s="135" t="str">
        <f>IFERROR(IF(AA688="SEGURIDAD",OFFSET('PARÁMETROS'!$K$2,MATCH(U688,JC_SE,0),MATCH(T688,CC_SE,0)),
IF(OR(AA688="DSRC/Estratégico",AA688="DSRC/Operativo"),OFFSET('PARÁMETROS'!$K$11,MATCH(U688,JC_DS,0),MATCH(T688,CC_DS,0)),
IF(AA688="SALUD",OFFSET('PARÁMETROS'!$K$29,MATCH(U688,JC_SA,0),MATCH(T688,CC_SA,0)),
IF(AA688="MEDIO AMBIENTE",OFFSET('PARÁMETROS'!$K$20,MATCH(U688,JC_MA,0),MATCH(T688,CC_MA,0)),
IF(AA688="Rel. Gubernamentales",OFFSET('PARÁMETROS'!$K$48,MATCH(U688,JC_G,0),MATCH(T688,CC_G,0)),
IF(AA688="OPERACIONAL",OFFSET('PARÁMETROS'!$K$56,MATCH(U688,JC_OP,0),MATCH(T688,CC_OP,0)),
IF(AA688="FINANCIERO",OFFSET('PARÁMETROS'!$K$56,MATCH(U688,JC_FI,0),MATCH(T688,CC_FI,0)),
OFFSET('PARÁMETROS'!$K$38,MATCH(U688,JC_L,0),MATCH(T688,CC_L,0))))))))),"")</f>
        <v/>
      </c>
      <c r="W688" s="130"/>
      <c r="X688" s="135"/>
      <c r="Y688" s="136"/>
      <c r="Z688" s="30"/>
      <c r="AA688" s="31" t="str">
        <f>E683</f>
        <v/>
      </c>
    </row>
    <row r="689" ht="87.0" customHeight="1">
      <c r="A689" s="129"/>
      <c r="B689" s="130"/>
      <c r="C689" s="130"/>
      <c r="D689" s="130"/>
      <c r="E689" s="130"/>
      <c r="F689" s="130"/>
      <c r="G689" s="130"/>
      <c r="H689" s="130"/>
      <c r="I689" s="130"/>
      <c r="J689" s="130"/>
      <c r="K689" s="130"/>
      <c r="L689" s="130"/>
      <c r="M689" s="130"/>
      <c r="N689" s="130"/>
      <c r="O689" s="130"/>
      <c r="P689" s="132"/>
      <c r="Q689" s="134"/>
      <c r="R689" s="134"/>
      <c r="S689" s="134"/>
      <c r="T689" s="135"/>
      <c r="U689" s="135"/>
      <c r="V689" s="135" t="str">
        <f>IFERROR(IF(AA689="SEGURIDAD",OFFSET('PARÁMETROS'!$K$2,MATCH(U689,JC_SE,0),MATCH(T689,CC_SE,0)),
IF(OR(AA689="DSRC/Estratégico",AA689="DSRC/Operativo"),OFFSET('PARÁMETROS'!$K$11,MATCH(U689,JC_DS,0),MATCH(T689,CC_DS,0)),
IF(AA689="SALUD",OFFSET('PARÁMETROS'!$K$29,MATCH(U689,JC_SA,0),MATCH(T689,CC_SA,0)),
IF(AA689="MEDIO AMBIENTE",OFFSET('PARÁMETROS'!$K$20,MATCH(U689,JC_MA,0),MATCH(T689,CC_MA,0)),
IF(AA689="Rel. Gubernamentales",OFFSET('PARÁMETROS'!$K$48,MATCH(U689,JC_G,0),MATCH(T689,CC_G,0)),
IF(AA689="OPERACIONAL",OFFSET('PARÁMETROS'!$K$56,MATCH(U689,JC_OP,0),MATCH(T689,CC_OP,0)),
IF(AA689="FINANCIERO",OFFSET('PARÁMETROS'!$K$56,MATCH(U689,JC_FI,0),MATCH(T689,CC_FI,0)),
OFFSET('PARÁMETROS'!$K$38,MATCH(U689,JC_L,0),MATCH(T689,CC_L,0))))))))),"")</f>
        <v/>
      </c>
      <c r="W689" s="130"/>
      <c r="X689" s="135"/>
      <c r="Y689" s="136"/>
      <c r="Z689" s="30"/>
      <c r="AA689" s="31" t="str">
        <f>E683</f>
        <v/>
      </c>
    </row>
    <row r="690" ht="87.0" customHeight="1">
      <c r="A690" s="129"/>
      <c r="B690" s="130"/>
      <c r="C690" s="130"/>
      <c r="D690" s="130"/>
      <c r="E690" s="130"/>
      <c r="F690" s="130"/>
      <c r="G690" s="130"/>
      <c r="H690" s="130"/>
      <c r="I690" s="130"/>
      <c r="J690" s="130"/>
      <c r="K690" s="130"/>
      <c r="L690" s="130"/>
      <c r="M690" s="130"/>
      <c r="N690" s="130"/>
      <c r="O690" s="130"/>
      <c r="P690" s="132"/>
      <c r="Q690" s="134"/>
      <c r="R690" s="134"/>
      <c r="S690" s="134"/>
      <c r="T690" s="135"/>
      <c r="U690" s="135"/>
      <c r="V690" s="135" t="str">
        <f>IFERROR(IF(AA690="SEGURIDAD",OFFSET('PARÁMETROS'!$K$2,MATCH(U690,JC_SE,0),MATCH(T690,CC_SE,0)),
IF(OR(AA690="DSRC/Estratégico",AA690="DSRC/Operativo"),OFFSET('PARÁMETROS'!$K$11,MATCH(U690,JC_DS,0),MATCH(T690,CC_DS,0)),
IF(AA690="SALUD",OFFSET('PARÁMETROS'!$K$29,MATCH(U690,JC_SA,0),MATCH(T690,CC_SA,0)),
IF(AA690="MEDIO AMBIENTE",OFFSET('PARÁMETROS'!$K$20,MATCH(U690,JC_MA,0),MATCH(T690,CC_MA,0)),
IF(AA690="Rel. Gubernamentales",OFFSET('PARÁMETROS'!$K$48,MATCH(U690,JC_G,0),MATCH(T690,CC_G,0)),
IF(AA690="OPERACIONAL",OFFSET('PARÁMETROS'!$K$56,MATCH(U690,JC_OP,0),MATCH(T690,CC_OP,0)),
IF(AA690="FINANCIERO",OFFSET('PARÁMETROS'!$K$56,MATCH(U690,JC_FI,0),MATCH(T690,CC_FI,0)),
OFFSET('PARÁMETROS'!$K$38,MATCH(U690,JC_L,0),MATCH(T690,CC_L,0))))))))),"")</f>
        <v/>
      </c>
      <c r="W690" s="130"/>
      <c r="X690" s="135"/>
      <c r="Y690" s="136"/>
      <c r="Z690" s="30"/>
      <c r="AA690" s="31" t="str">
        <f>E683</f>
        <v/>
      </c>
    </row>
    <row r="691" ht="87.0" customHeight="1">
      <c r="A691" s="129"/>
      <c r="B691" s="130"/>
      <c r="C691" s="130"/>
      <c r="D691" s="130"/>
      <c r="E691" s="130"/>
      <c r="F691" s="130"/>
      <c r="G691" s="130"/>
      <c r="H691" s="130"/>
      <c r="I691" s="130"/>
      <c r="J691" s="130"/>
      <c r="K691" s="130"/>
      <c r="L691" s="130"/>
      <c r="M691" s="130"/>
      <c r="N691" s="130"/>
      <c r="O691" s="130"/>
      <c r="P691" s="132"/>
      <c r="Q691" s="134"/>
      <c r="R691" s="134"/>
      <c r="S691" s="134"/>
      <c r="T691" s="135"/>
      <c r="U691" s="135"/>
      <c r="V691" s="135" t="str">
        <f>IFERROR(IF(AA691="SEGURIDAD",OFFSET('PARÁMETROS'!$K$2,MATCH(U691,JC_SE,0),MATCH(T691,CC_SE,0)),
IF(OR(AA691="DSRC/Estratégico",AA691="DSRC/Operativo"),OFFSET('PARÁMETROS'!$K$11,MATCH(U691,JC_DS,0),MATCH(T691,CC_DS,0)),
IF(AA691="SALUD",OFFSET('PARÁMETROS'!$K$29,MATCH(U691,JC_SA,0),MATCH(T691,CC_SA,0)),
IF(AA691="MEDIO AMBIENTE",OFFSET('PARÁMETROS'!$K$20,MATCH(U691,JC_MA,0),MATCH(T691,CC_MA,0)),
IF(AA691="Rel. Gubernamentales",OFFSET('PARÁMETROS'!$K$48,MATCH(U691,JC_G,0),MATCH(T691,CC_G,0)),
IF(AA691="OPERACIONAL",OFFSET('PARÁMETROS'!$K$56,MATCH(U691,JC_OP,0),MATCH(T691,CC_OP,0)),
IF(AA691="FINANCIERO",OFFSET('PARÁMETROS'!$K$56,MATCH(U691,JC_FI,0),MATCH(T691,CC_FI,0)),
OFFSET('PARÁMETROS'!$K$38,MATCH(U691,JC_L,0),MATCH(T691,CC_L,0))))))))),"")</f>
        <v/>
      </c>
      <c r="W691" s="130"/>
      <c r="X691" s="135"/>
      <c r="Y691" s="136"/>
      <c r="Z691" s="30"/>
      <c r="AA691" s="31" t="str">
        <f>E683</f>
        <v/>
      </c>
    </row>
    <row r="692" ht="87.0" customHeight="1">
      <c r="A692" s="129"/>
      <c r="B692" s="130"/>
      <c r="C692" s="130"/>
      <c r="D692" s="130"/>
      <c r="E692" s="130"/>
      <c r="F692" s="130"/>
      <c r="G692" s="130"/>
      <c r="H692" s="130"/>
      <c r="I692" s="130"/>
      <c r="J692" s="130"/>
      <c r="K692" s="130"/>
      <c r="L692" s="130"/>
      <c r="M692" s="130"/>
      <c r="N692" s="130"/>
      <c r="O692" s="130"/>
      <c r="P692" s="132"/>
      <c r="Q692" s="134"/>
      <c r="R692" s="134"/>
      <c r="S692" s="134"/>
      <c r="T692" s="135"/>
      <c r="U692" s="135"/>
      <c r="V692" s="135" t="str">
        <f>IFERROR(IF(AA692="SEGURIDAD",OFFSET('PARÁMETROS'!$K$2,MATCH(U692,JC_SE,0),MATCH(T692,CC_SE,0)),
IF(OR(AA692="DSRC/Estratégico",AA692="DSRC/Operativo"),OFFSET('PARÁMETROS'!$K$11,MATCH(U692,JC_DS,0),MATCH(T692,CC_DS,0)),
IF(AA692="SALUD",OFFSET('PARÁMETROS'!$K$29,MATCH(U692,JC_SA,0),MATCH(T692,CC_SA,0)),
IF(AA692="MEDIO AMBIENTE",OFFSET('PARÁMETROS'!$K$20,MATCH(U692,JC_MA,0),MATCH(T692,CC_MA,0)),
IF(AA692="Rel. Gubernamentales",OFFSET('PARÁMETROS'!$K$48,MATCH(U692,JC_G,0),MATCH(T692,CC_G,0)),
IF(AA692="OPERACIONAL",OFFSET('PARÁMETROS'!$K$56,MATCH(U692,JC_OP,0),MATCH(T692,CC_OP,0)),
IF(AA692="FINANCIERO",OFFSET('PARÁMETROS'!$K$56,MATCH(U692,JC_FI,0),MATCH(T692,CC_FI,0)),
OFFSET('PARÁMETROS'!$K$38,MATCH(U692,JC_L,0),MATCH(T692,CC_L,0))))))))),"")</f>
        <v/>
      </c>
      <c r="W692" s="130"/>
      <c r="X692" s="135"/>
      <c r="Y692" s="136"/>
      <c r="Z692" s="30"/>
      <c r="AA692" s="31" t="str">
        <f>E683</f>
        <v/>
      </c>
    </row>
    <row r="693" ht="87.0" customHeight="1">
      <c r="A693" s="129"/>
      <c r="B693" s="130"/>
      <c r="C693" s="130"/>
      <c r="D693" s="130"/>
      <c r="E693" s="130"/>
      <c r="F693" s="130"/>
      <c r="G693" s="130"/>
      <c r="H693" s="130"/>
      <c r="I693" s="130"/>
      <c r="J693" s="130"/>
      <c r="K693" s="130"/>
      <c r="L693" s="130"/>
      <c r="M693" s="130"/>
      <c r="N693" s="130"/>
      <c r="O693" s="130"/>
      <c r="P693" s="132"/>
      <c r="Q693" s="134"/>
      <c r="R693" s="134"/>
      <c r="S693" s="134"/>
      <c r="T693" s="135"/>
      <c r="U693" s="135"/>
      <c r="V693" s="135" t="str">
        <f>IFERROR(IF(AA693="SEGURIDAD",OFFSET('PARÁMETROS'!$K$2,MATCH(U693,JC_SE,0),MATCH(T693,CC_SE,0)),
IF(OR(AA693="DSRC/Estratégico",AA693="DSRC/Operativo"),OFFSET('PARÁMETROS'!$K$11,MATCH(U693,JC_DS,0),MATCH(T693,CC_DS,0)),
IF(AA693="SALUD",OFFSET('PARÁMETROS'!$K$29,MATCH(U693,JC_SA,0),MATCH(T693,CC_SA,0)),
IF(AA693="MEDIO AMBIENTE",OFFSET('PARÁMETROS'!$K$20,MATCH(U693,JC_MA,0),MATCH(T693,CC_MA,0)),
IF(AA693="Rel. Gubernamentales",OFFSET('PARÁMETROS'!$K$48,MATCH(U693,JC_G,0),MATCH(T693,CC_G,0)),
IF(AA693="OPERACIONAL",OFFSET('PARÁMETROS'!$K$56,MATCH(U693,JC_OP,0),MATCH(T693,CC_OP,0)),
IF(AA693="FINANCIERO",OFFSET('PARÁMETROS'!$K$56,MATCH(U693,JC_FI,0),MATCH(T693,CC_FI,0)),
OFFSET('PARÁMETROS'!$K$38,MATCH(U693,JC_L,0),MATCH(T693,CC_L,0))))))))),"")</f>
        <v/>
      </c>
      <c r="W693" s="130"/>
      <c r="X693" s="135"/>
      <c r="Y693" s="136"/>
      <c r="Z693" s="30"/>
      <c r="AA693" s="31" t="str">
        <f>E683</f>
        <v/>
      </c>
    </row>
    <row r="694" ht="87.0" customHeight="1">
      <c r="A694" s="129"/>
      <c r="B694" s="130"/>
      <c r="C694" s="130"/>
      <c r="D694" s="130"/>
      <c r="E694" s="130"/>
      <c r="F694" s="130"/>
      <c r="G694" s="130"/>
      <c r="H694" s="130"/>
      <c r="I694" s="130"/>
      <c r="J694" s="130"/>
      <c r="K694" s="130"/>
      <c r="L694" s="130"/>
      <c r="M694" s="130"/>
      <c r="N694" s="130"/>
      <c r="O694" s="130"/>
      <c r="P694" s="132"/>
      <c r="Q694" s="134"/>
      <c r="R694" s="134"/>
      <c r="S694" s="134"/>
      <c r="T694" s="135"/>
      <c r="U694" s="135"/>
      <c r="V694" s="135" t="str">
        <f>IFERROR(IF(AA694="SEGURIDAD",OFFSET('PARÁMETROS'!$K$2,MATCH(U694,JC_SE,0),MATCH(T694,CC_SE,0)),
IF(OR(AA694="DSRC/Estratégico",AA694="DSRC/Operativo"),OFFSET('PARÁMETROS'!$K$11,MATCH(U694,JC_DS,0),MATCH(T694,CC_DS,0)),
IF(AA694="SALUD",OFFSET('PARÁMETROS'!$K$29,MATCH(U694,JC_SA,0),MATCH(T694,CC_SA,0)),
IF(AA694="MEDIO AMBIENTE",OFFSET('PARÁMETROS'!$K$20,MATCH(U694,JC_MA,0),MATCH(T694,CC_MA,0)),
IF(AA694="Rel. Gubernamentales",OFFSET('PARÁMETROS'!$K$48,MATCH(U694,JC_G,0),MATCH(T694,CC_G,0)),
IF(AA694="OPERACIONAL",OFFSET('PARÁMETROS'!$K$56,MATCH(U694,JC_OP,0),MATCH(T694,CC_OP,0)),
IF(AA694="FINANCIERO",OFFSET('PARÁMETROS'!$K$56,MATCH(U694,JC_FI,0),MATCH(T694,CC_FI,0)),
OFFSET('PARÁMETROS'!$K$38,MATCH(U694,JC_L,0),MATCH(T694,CC_L,0))))))))),"")</f>
        <v/>
      </c>
      <c r="W694" s="130"/>
      <c r="X694" s="135"/>
      <c r="Y694" s="136"/>
      <c r="Z694" s="30"/>
      <c r="AA694" s="31" t="str">
        <f>E683</f>
        <v/>
      </c>
    </row>
    <row r="695" ht="87.0" customHeight="1">
      <c r="A695" s="129"/>
      <c r="B695" s="130"/>
      <c r="C695" s="130"/>
      <c r="D695" s="130"/>
      <c r="E695" s="130"/>
      <c r="F695" s="130"/>
      <c r="G695" s="130"/>
      <c r="H695" s="130"/>
      <c r="I695" s="130"/>
      <c r="J695" s="130"/>
      <c r="K695" s="130"/>
      <c r="L695" s="130"/>
      <c r="M695" s="130"/>
      <c r="N695" s="130"/>
      <c r="O695" s="130"/>
      <c r="P695" s="132"/>
      <c r="Q695" s="134"/>
      <c r="R695" s="134"/>
      <c r="S695" s="134"/>
      <c r="T695" s="135"/>
      <c r="U695" s="135"/>
      <c r="V695" s="135" t="str">
        <f>IFERROR(IF(AA695="SEGURIDAD",OFFSET('PARÁMETROS'!$K$2,MATCH(U695,JC_SE,0),MATCH(T695,CC_SE,0)),
IF(OR(AA695="DSRC/Estratégico",AA695="DSRC/Operativo"),OFFSET('PARÁMETROS'!$K$11,MATCH(U695,JC_DS,0),MATCH(T695,CC_DS,0)),
IF(AA695="SALUD",OFFSET('PARÁMETROS'!$K$29,MATCH(U695,JC_SA,0),MATCH(T695,CC_SA,0)),
IF(AA695="MEDIO AMBIENTE",OFFSET('PARÁMETROS'!$K$20,MATCH(U695,JC_MA,0),MATCH(T695,CC_MA,0)),
IF(AA695="Rel. Gubernamentales",OFFSET('PARÁMETROS'!$K$48,MATCH(U695,JC_G,0),MATCH(T695,CC_G,0)),
IF(AA695="OPERACIONAL",OFFSET('PARÁMETROS'!$K$56,MATCH(U695,JC_OP,0),MATCH(T695,CC_OP,0)),
IF(AA695="FINANCIERO",OFFSET('PARÁMETROS'!$K$56,MATCH(U695,JC_FI,0),MATCH(T695,CC_FI,0)),
OFFSET('PARÁMETROS'!$K$38,MATCH(U695,JC_L,0),MATCH(T695,CC_L,0))))))))),"")</f>
        <v/>
      </c>
      <c r="W695" s="130"/>
      <c r="X695" s="135"/>
      <c r="Y695" s="136"/>
      <c r="Z695" s="30"/>
      <c r="AA695" s="31" t="str">
        <f>E683</f>
        <v/>
      </c>
    </row>
    <row r="696" ht="87.0" customHeight="1">
      <c r="A696" s="129"/>
      <c r="B696" s="130"/>
      <c r="C696" s="130"/>
      <c r="D696" s="130"/>
      <c r="E696" s="130"/>
      <c r="F696" s="130"/>
      <c r="G696" s="130"/>
      <c r="H696" s="130"/>
      <c r="I696" s="130"/>
      <c r="J696" s="130"/>
      <c r="K696" s="130"/>
      <c r="L696" s="130"/>
      <c r="M696" s="130"/>
      <c r="N696" s="130"/>
      <c r="O696" s="130"/>
      <c r="P696" s="132"/>
      <c r="Q696" s="134"/>
      <c r="R696" s="134"/>
      <c r="S696" s="134"/>
      <c r="T696" s="135"/>
      <c r="U696" s="135"/>
      <c r="V696" s="135" t="str">
        <f>IFERROR(IF(AA696="SEGURIDAD",OFFSET('PARÁMETROS'!$K$2,MATCH(U696,JC_SE,0),MATCH(T696,CC_SE,0)),
IF(OR(AA696="DSRC/Estratégico",AA696="DSRC/Operativo"),OFFSET('PARÁMETROS'!$K$11,MATCH(U696,JC_DS,0),MATCH(T696,CC_DS,0)),
IF(AA696="SALUD",OFFSET('PARÁMETROS'!$K$29,MATCH(U696,JC_SA,0),MATCH(T696,CC_SA,0)),
IF(AA696="MEDIO AMBIENTE",OFFSET('PARÁMETROS'!$K$20,MATCH(U696,JC_MA,0),MATCH(T696,CC_MA,0)),
IF(AA696="Rel. Gubernamentales",OFFSET('PARÁMETROS'!$K$48,MATCH(U696,JC_G,0),MATCH(T696,CC_G,0)),
IF(AA696="OPERACIONAL",OFFSET('PARÁMETROS'!$K$56,MATCH(U696,JC_OP,0),MATCH(T696,CC_OP,0)),
IF(AA696="FINANCIERO",OFFSET('PARÁMETROS'!$K$56,MATCH(U696,JC_FI,0),MATCH(T696,CC_FI,0)),
OFFSET('PARÁMETROS'!$K$38,MATCH(U696,JC_L,0),MATCH(T696,CC_L,0))))))))),"")</f>
        <v/>
      </c>
      <c r="W696" s="130"/>
      <c r="X696" s="135"/>
      <c r="Y696" s="136"/>
      <c r="Z696" s="30"/>
      <c r="AA696" s="31" t="str">
        <f>E683</f>
        <v/>
      </c>
    </row>
    <row r="697" ht="87.0" customHeight="1">
      <c r="A697" s="129"/>
      <c r="B697" s="130"/>
      <c r="C697" s="130"/>
      <c r="D697" s="130"/>
      <c r="E697" s="130"/>
      <c r="F697" s="130"/>
      <c r="G697" s="130"/>
      <c r="H697" s="130"/>
      <c r="I697" s="130"/>
      <c r="J697" s="130"/>
      <c r="K697" s="130"/>
      <c r="L697" s="130"/>
      <c r="M697" s="130"/>
      <c r="N697" s="130"/>
      <c r="O697" s="130"/>
      <c r="P697" s="132"/>
      <c r="Q697" s="134"/>
      <c r="R697" s="134"/>
      <c r="S697" s="134"/>
      <c r="T697" s="135"/>
      <c r="U697" s="135"/>
      <c r="V697" s="135" t="str">
        <f>IFERROR(IF(AA697="SEGURIDAD",OFFSET('PARÁMETROS'!$K$2,MATCH(U697,JC_SE,0),MATCH(T697,CC_SE,0)),
IF(OR(AA697="DSRC/Estratégico",AA697="DSRC/Operativo"),OFFSET('PARÁMETROS'!$K$11,MATCH(U697,JC_DS,0),MATCH(T697,CC_DS,0)),
IF(AA697="SALUD",OFFSET('PARÁMETROS'!$K$29,MATCH(U697,JC_SA,0),MATCH(T697,CC_SA,0)),
IF(AA697="MEDIO AMBIENTE",OFFSET('PARÁMETROS'!$K$20,MATCH(U697,JC_MA,0),MATCH(T697,CC_MA,0)),
IF(AA697="Rel. Gubernamentales",OFFSET('PARÁMETROS'!$K$48,MATCH(U697,JC_G,0),MATCH(T697,CC_G,0)),
IF(AA697="OPERACIONAL",OFFSET('PARÁMETROS'!$K$56,MATCH(U697,JC_OP,0),MATCH(T697,CC_OP,0)),
IF(AA697="FINANCIERO",OFFSET('PARÁMETROS'!$K$56,MATCH(U697,JC_FI,0),MATCH(T697,CC_FI,0)),
OFFSET('PARÁMETROS'!$K$38,MATCH(U697,JC_L,0),MATCH(T697,CC_L,0))))))))),"")</f>
        <v/>
      </c>
      <c r="W697" s="130"/>
      <c r="X697" s="135"/>
      <c r="Y697" s="136"/>
      <c r="Z697" s="30"/>
      <c r="AA697" s="31" t="str">
        <f>E683</f>
        <v/>
      </c>
    </row>
    <row r="698" ht="87.0" customHeight="1">
      <c r="A698" s="89"/>
      <c r="B698" s="90"/>
      <c r="C698" s="90"/>
      <c r="D698" s="157"/>
      <c r="E698" s="157"/>
      <c r="F698" s="157"/>
      <c r="G698" s="157"/>
      <c r="H698" s="157"/>
      <c r="I698" s="90"/>
      <c r="J698" s="90"/>
      <c r="K698" s="90"/>
      <c r="L698" s="90"/>
      <c r="M698" s="90"/>
      <c r="N698" s="90"/>
      <c r="O698" s="90"/>
      <c r="P698" s="132"/>
      <c r="Q698" s="134"/>
      <c r="R698" s="145"/>
      <c r="S698" s="145"/>
      <c r="T698" s="135"/>
      <c r="U698" s="135"/>
      <c r="V698" s="135" t="str">
        <f>IFERROR(IF(AA698="SEGURIDAD",OFFSET('PARÁMETROS'!$K$2,MATCH(U698,JC_SE,0),MATCH(T698,CC_SE,0)),
IF(OR(AA698="DSRC/Estratégico",AA698="DSRC/Operativo"),OFFSET('PARÁMETROS'!$K$11,MATCH(U698,JC_DS,0),MATCH(T698,CC_DS,0)),
IF(AA698="SALUD",OFFSET('PARÁMETROS'!$K$29,MATCH(U698,JC_SA,0),MATCH(T698,CC_SA,0)),
IF(AA698="MEDIO AMBIENTE",OFFSET('PARÁMETROS'!$K$20,MATCH(U698,JC_MA,0),MATCH(T698,CC_MA,0)),
IF(AA698="Rel. Gubernamentales",OFFSET('PARÁMETROS'!$K$48,MATCH(U698,JC_G,0),MATCH(T698,CC_G,0)),
IF(AA698="OPERACIONAL",OFFSET('PARÁMETROS'!$K$56,MATCH(U698,JC_OP,0),MATCH(T698,CC_OP,0)),
IF(AA698="FINANCIERO",OFFSET('PARÁMETROS'!$K$56,MATCH(U698,JC_FI,0),MATCH(T698,CC_FI,0)),
OFFSET('PARÁMETROS'!$K$38,MATCH(U698,JC_L,0),MATCH(T698,CC_L,0))))))))),"")</f>
        <v/>
      </c>
      <c r="W698" s="90"/>
      <c r="X698" s="135"/>
      <c r="Y698" s="136"/>
      <c r="Z698" s="30"/>
      <c r="AA698" s="31" t="str">
        <f>E683</f>
        <v/>
      </c>
    </row>
    <row r="699" ht="87.0" customHeight="1">
      <c r="A699" s="102"/>
      <c r="B699" s="103"/>
      <c r="C699" s="103"/>
      <c r="D699" s="103"/>
      <c r="E699" s="103"/>
      <c r="F699" s="103"/>
      <c r="G699" s="105"/>
      <c r="H699" s="103"/>
      <c r="I699" s="105"/>
      <c r="J699" s="103"/>
      <c r="K699" s="103"/>
      <c r="L699" s="103" t="str">
        <f>IF(OR(J699&lt;&gt;"",K699&lt;&gt;""),OFFSET('PARÁMETROS'!$B$2,K699,J699),"")</f>
        <v/>
      </c>
      <c r="M699" s="103"/>
      <c r="N699" s="103">
        <f>IFERROR(L699*M699,"")</f>
        <v>0</v>
      </c>
      <c r="O699" s="108" t="str">
        <f>IF(N699="","",IFERROR(IF(N699&lt;=2,"ACEPTABLE",IF(N699&lt;=6,"BAJA",IF(N699&lt;=10,"ACEPTABLE CON REVISIÓN",IF(N699&lt;=15,"SUSTANCIAL","INACEPTABLE")))),""))</f>
        <v>ACEPTABLE</v>
      </c>
      <c r="P699" s="113"/>
      <c r="Q699" s="114"/>
      <c r="R699" s="114"/>
      <c r="S699" s="114"/>
      <c r="T699" s="115"/>
      <c r="U699" s="115"/>
      <c r="V699" s="115" t="str">
        <f>IFERROR(IF(AA699="SEGURIDAD",OFFSET('PARÁMETROS'!$K$2,MATCH(U699,JC_SE,0),MATCH(T699,CC_SE,0)),
IF(OR(AA699="DSRC/Estratégico",AA699="DSRC/Operativo"),OFFSET('PARÁMETROS'!$K$11,MATCH(U699,JC_DS,0),MATCH(T699,CC_DS,0)),
IF(AA699="SALUD",OFFSET('PARÁMETROS'!$K$29,MATCH(U699,JC_SA,0),MATCH(T699,CC_SA,0)),
IF(AA699="MEDIO AMBIENTE",OFFSET('PARÁMETROS'!$K$20,MATCH(U699,JC_MA,0),MATCH(T699,CC_MA,0)),
IF(AA699="Rel. Gubernamentales",OFFSET('PARÁMETROS'!$K$48,MATCH(U699,JC_G,0),MATCH(T699,CC_G,0)),
IF(AA699="OPERACIONAL",OFFSET('PARÁMETROS'!$K$56,MATCH(U699,JC_OP,0),MATCH(T699,CC_OP,0)),
IF(AA699="FINANCIERO",OFFSET('PARÁMETROS'!$K$56,MATCH(U699,JC_FI,0),MATCH(T699,CC_FI,0)),
OFFSET('PARÁMETROS'!$K$38,MATCH(U699,JC_L,0),MATCH(T699,CC_L,0))))))))),"")</f>
        <v/>
      </c>
      <c r="W699" s="108" t="str">
        <f>IF(E699="","",
IF(COUNTA(V699:V714)-COUNTBLANK(V699:V714)=1,
IF(O699="INACEPTABLE",IF(COUNTIF(V699:V714,"Control/Acción Eficaz")&gt;=1,"SUSTANCIAL","INACEPTABLE"),
IF(O699="SUSTANCIAL",IF(COUNTIF(V699:V714,"Control/Acción Eficaz")&gt;=1,"ACEPTABLE CON REVISIÓN","SUSTANCIAL"),
IF(O699="ACEPTABLE CON REVISIÓN",IF(COUNTIF(V699:V714,"Control/Acción Eficaz")&gt;=1,"BAJA","ACEPTABLE CON REVISIÓN"),
IF(O699="BAJA",IF(COUNTIF(V699:V714,"Control/Acción Eficaz")&gt;=1,"ACEPTABLE","BAJA"),)))),
IF(COUNTA(V699:V714)-COUNTBLANK(V699:V714)=2,
IF(O699="INACEPTABLE",IF(COUNTIF(V699:V714,"Control/Acción Eficaz")=2,"ACEPTABLE CON REVISIÓN",
IF(OR(AND(COUNTIF(V699:V714,"Control/Acción Eficaz")=1,COUNTIF(V699:V714,"Control/Acción Satisfactorio")=1),
AND(COUNTIF(V699:V714,"Control/Acción Eficaz")=1,COUNTIF(V699:V714,"Control/Acción No Eficaz")=1)),"SUSTANCIAL","INACEPTABLE")),
IF(O699="SUSTANCIAL",IF(COUNTIF(V699:V714,"Control/Acción Eficaz")=2,"BAJA",
IF(OR(AND(COUNTIF(V699:V714,"Control/Acción Eficaz")=1,COUNTIF(V699:V714,"Control/Acción Satisfactorio")=1),
AND(COUNTIF(V699:V714,"Control/Acción Eficaz")=1,COUNTIF(V699:V714,"Control/Acción No Eficaz")=1)),"ACEPTABLE CON REVISIÓN ","SUSTANCIAL")),
IF(O699="ACEPTABLE CON REVISIÓN",IF(COUNTIF(V699:V714,"Control/Acción Eficaz")=2,"ACEPTABLE",
IF(OR(AND(COUNTIF(V699:V714,"Control/Acción Eficaz")=1,COUNTIF(V699:V714,"Control/Acción Satisfactorio")=1),
AND(COUNTIF(V699:V714,"Control/Acción Eficaz")=1,COUNTIF(V699:V714,"Control/Acción No Eficaz")=1)),"BAJA","ACEPTABLE CON REVISIÓN")),
IF(O699="BAJA",IF(COUNTIF(V699:V714,"Control/Acción Eficaz")&gt;=2,"ACEPTABLE","BAJA"),)))),
IF(COUNTA(V699:V714)-COUNTBLANK(V699:V714)&gt;=3,
IF(O699="INACEPTABLE",
IF(COUNTBLANK(V699:V714)=COUNTA(V699:V714),"",
IF(COUNTIF(V699:V714,"Control/Acción No Eficaz")&gt;=2,"INACEPTABLE",
IF(AND(COUNTIF(V699:V714,"Control/Acción No Eficaz")=0,COUNTIF(V699:V714,"Control/Acción Eficaz")&gt;=2),"ACEPTABLE CON REVISIÓN ","SUSTANCIAL"))),
IF(O699="SUSTANCIAL",
IF(COUNTBLANK(V699:V714)=COUNTA(V699:V714),"",
IF(COUNTIF(V699:V714,"Control/Acción No Eficaz")&gt;=2,"SUSTANCIAL",
IF(AND(COUNTIF(V699:V714,"Control/Acción No Eficaz")=0,COUNTIF(V699:V714,"Control/Acción Eficaz")&gt;=2),"BAJA","ACEPTABLE CON REVISIÓN"))),
IF(O699="ACEPTABLE CON REVISIÓN",
IF(COUNTBLANK(V699:V714)=COUNTA(V699:V714),"",
IF(COUNTIF(V699:V714,"Control/Acción No Eficaz")&gt;=2,"ACEPTABLE CON REVISIÓN",
IF(AND(COUNTIF(V699:V714,"Control/Acción No Eficaz")=0,COUNTIF(V699:V714,"Control/Acción Eficaz")&gt;=2),"ACEPTABLE","BAJA"))),
IF(O699="BAJA",
IF(COUNTBLANK(V699:V714)=COUNTA(V699:V714),"",
IF(AND(COUNTBLANK(V699:V714)&lt;1,COUNTA(V699:V714)=1),
IF(COUNTIF(V699:V714,"Control/Acción No Eficaz")&gt;=2,"BAJA",
IF(AND(COUNTIF(V699:V714,"Control/Acción No Eficaz")=0,COUNTIF(V699:V714,"Control/Acción Eficaz")&gt;=2),"ACEPTABLE","BAJA")),
IF(COUNTIF(V699:V714,"Control/Acción No Eficaz")&gt;=2,"BAJA",
IF(AND(COUNTIF(V699:V714,"Control/Acción No Eficaz")=0,COUNTIF(V699:V714,"Control/Acción Eficaz")&gt;=2),"ACEPTABLE","BAJA")))),
IF(COUNTIF(V699:V714,"")&gt;=5,"",O699))))),
""))))</f>
        <v/>
      </c>
      <c r="X699" s="115"/>
      <c r="Y699" s="128"/>
      <c r="Z699" s="30"/>
      <c r="AA699" s="31" t="str">
        <f>E699</f>
        <v/>
      </c>
    </row>
    <row r="700" ht="87.0" customHeight="1">
      <c r="A700" s="129"/>
      <c r="B700" s="130"/>
      <c r="C700" s="130"/>
      <c r="D700" s="130"/>
      <c r="E700" s="130"/>
      <c r="F700" s="130"/>
      <c r="G700" s="130"/>
      <c r="H700" s="130"/>
      <c r="I700" s="130"/>
      <c r="J700" s="130"/>
      <c r="K700" s="130"/>
      <c r="L700" s="130"/>
      <c r="M700" s="130"/>
      <c r="N700" s="130"/>
      <c r="O700" s="130"/>
      <c r="P700" s="132"/>
      <c r="Q700" s="134"/>
      <c r="R700" s="134"/>
      <c r="S700" s="134"/>
      <c r="T700" s="135"/>
      <c r="U700" s="135"/>
      <c r="V700" s="135" t="str">
        <f>IFERROR(IF(AA700="SEGURIDAD",OFFSET('PARÁMETROS'!$K$2,MATCH(U700,JC_SE,0),MATCH(T700,CC_SE,0)),
IF(OR(AA700="DSRC/Estratégico",AA700="DSRC/Operativo"),OFFSET('PARÁMETROS'!$K$11,MATCH(U700,JC_DS,0),MATCH(T700,CC_DS,0)),
IF(AA700="SALUD",OFFSET('PARÁMETROS'!$K$29,MATCH(U700,JC_SA,0),MATCH(T700,CC_SA,0)),
IF(AA700="MEDIO AMBIENTE",OFFSET('PARÁMETROS'!$K$20,MATCH(U700,JC_MA,0),MATCH(T700,CC_MA,0)),
IF(AA700="Rel. Gubernamentales",OFFSET('PARÁMETROS'!$K$48,MATCH(U700,JC_G,0),MATCH(T700,CC_G,0)),
IF(AA700="OPERACIONAL",OFFSET('PARÁMETROS'!$K$56,MATCH(U700,JC_OP,0),MATCH(T700,CC_OP,0)),
IF(AA700="FINANCIERO",OFFSET('PARÁMETROS'!$K$56,MATCH(U700,JC_FI,0),MATCH(T700,CC_FI,0)),
OFFSET('PARÁMETROS'!$K$38,MATCH(U700,JC_L,0),MATCH(T700,CC_L,0))))))))),"")</f>
        <v/>
      </c>
      <c r="W700" s="130"/>
      <c r="X700" s="135"/>
      <c r="Y700" s="136"/>
      <c r="Z700" s="30"/>
      <c r="AA700" s="31" t="str">
        <f>E699</f>
        <v/>
      </c>
    </row>
    <row r="701" ht="87.0" customHeight="1">
      <c r="A701" s="129"/>
      <c r="B701" s="130"/>
      <c r="C701" s="130"/>
      <c r="D701" s="130"/>
      <c r="E701" s="130"/>
      <c r="F701" s="130"/>
      <c r="G701" s="130"/>
      <c r="H701" s="130"/>
      <c r="I701" s="130"/>
      <c r="J701" s="130"/>
      <c r="K701" s="130"/>
      <c r="L701" s="130"/>
      <c r="M701" s="130"/>
      <c r="N701" s="130"/>
      <c r="O701" s="130"/>
      <c r="P701" s="132"/>
      <c r="Q701" s="134"/>
      <c r="R701" s="134"/>
      <c r="S701" s="134"/>
      <c r="T701" s="135"/>
      <c r="U701" s="135"/>
      <c r="V701" s="135" t="str">
        <f>IFERROR(IF(AA701="SEGURIDAD",OFFSET('PARÁMETROS'!$K$2,MATCH(U701,JC_SE,0),MATCH(T701,CC_SE,0)),
IF(OR(AA701="DSRC/Estratégico",AA701="DSRC/Operativo"),OFFSET('PARÁMETROS'!$K$11,MATCH(U701,JC_DS,0),MATCH(T701,CC_DS,0)),
IF(AA701="SALUD",OFFSET('PARÁMETROS'!$K$29,MATCH(U701,JC_SA,0),MATCH(T701,CC_SA,0)),
IF(AA701="MEDIO AMBIENTE",OFFSET('PARÁMETROS'!$K$20,MATCH(U701,JC_MA,0),MATCH(T701,CC_MA,0)),
IF(AA701="Rel. Gubernamentales",OFFSET('PARÁMETROS'!$K$48,MATCH(U701,JC_G,0),MATCH(T701,CC_G,0)),
IF(AA701="OPERACIONAL",OFFSET('PARÁMETROS'!$K$56,MATCH(U701,JC_OP,0),MATCH(T701,CC_OP,0)),
IF(AA701="FINANCIERO",OFFSET('PARÁMETROS'!$K$56,MATCH(U701,JC_FI,0),MATCH(T701,CC_FI,0)),
OFFSET('PARÁMETROS'!$K$38,MATCH(U701,JC_L,0),MATCH(T701,CC_L,0))))))))),"")</f>
        <v/>
      </c>
      <c r="W701" s="130"/>
      <c r="X701" s="135"/>
      <c r="Y701" s="136"/>
      <c r="Z701" s="30"/>
      <c r="AA701" s="31" t="str">
        <f>E699</f>
        <v/>
      </c>
    </row>
    <row r="702" ht="87.0" customHeight="1">
      <c r="A702" s="129"/>
      <c r="B702" s="130"/>
      <c r="C702" s="130"/>
      <c r="D702" s="130"/>
      <c r="E702" s="130"/>
      <c r="F702" s="130"/>
      <c r="G702" s="130"/>
      <c r="H702" s="130"/>
      <c r="I702" s="130"/>
      <c r="J702" s="130"/>
      <c r="K702" s="130"/>
      <c r="L702" s="130"/>
      <c r="M702" s="130"/>
      <c r="N702" s="130"/>
      <c r="O702" s="130"/>
      <c r="P702" s="132"/>
      <c r="Q702" s="134"/>
      <c r="R702" s="134"/>
      <c r="S702" s="134"/>
      <c r="T702" s="135"/>
      <c r="U702" s="135"/>
      <c r="V702" s="135" t="str">
        <f>IFERROR(IF(AA702="SEGURIDAD",OFFSET('PARÁMETROS'!$K$2,MATCH(U702,JC_SE,0),MATCH(T702,CC_SE,0)),
IF(OR(AA702="DSRC/Estratégico",AA702="DSRC/Operativo"),OFFSET('PARÁMETROS'!$K$11,MATCH(U702,JC_DS,0),MATCH(T702,CC_DS,0)),
IF(AA702="SALUD",OFFSET('PARÁMETROS'!$K$29,MATCH(U702,JC_SA,0),MATCH(T702,CC_SA,0)),
IF(AA702="MEDIO AMBIENTE",OFFSET('PARÁMETROS'!$K$20,MATCH(U702,JC_MA,0),MATCH(T702,CC_MA,0)),
IF(AA702="Rel. Gubernamentales",OFFSET('PARÁMETROS'!$K$48,MATCH(U702,JC_G,0),MATCH(T702,CC_G,0)),
IF(AA702="OPERACIONAL",OFFSET('PARÁMETROS'!$K$56,MATCH(U702,JC_OP,0),MATCH(T702,CC_OP,0)),
IF(AA702="FINANCIERO",OFFSET('PARÁMETROS'!$K$56,MATCH(U702,JC_FI,0),MATCH(T702,CC_FI,0)),
OFFSET('PARÁMETROS'!$K$38,MATCH(U702,JC_L,0),MATCH(T702,CC_L,0))))))))),"")</f>
        <v/>
      </c>
      <c r="W702" s="130"/>
      <c r="X702" s="135"/>
      <c r="Y702" s="136"/>
      <c r="Z702" s="30"/>
      <c r="AA702" s="31" t="str">
        <f>E699</f>
        <v/>
      </c>
    </row>
    <row r="703" ht="87.0" customHeight="1">
      <c r="A703" s="129"/>
      <c r="B703" s="130"/>
      <c r="C703" s="130"/>
      <c r="D703" s="130"/>
      <c r="E703" s="130"/>
      <c r="F703" s="130"/>
      <c r="G703" s="130"/>
      <c r="H703" s="130"/>
      <c r="I703" s="130"/>
      <c r="J703" s="130"/>
      <c r="K703" s="130"/>
      <c r="L703" s="130"/>
      <c r="M703" s="130"/>
      <c r="N703" s="130"/>
      <c r="O703" s="130"/>
      <c r="P703" s="132"/>
      <c r="Q703" s="134"/>
      <c r="R703" s="134"/>
      <c r="S703" s="134"/>
      <c r="T703" s="135"/>
      <c r="U703" s="135"/>
      <c r="V703" s="135" t="str">
        <f>IFERROR(IF(AA703="SEGURIDAD",OFFSET('PARÁMETROS'!$K$2,MATCH(U703,JC_SE,0),MATCH(T703,CC_SE,0)),
IF(OR(AA703="DSRC/Estratégico",AA703="DSRC/Operativo"),OFFSET('PARÁMETROS'!$K$11,MATCH(U703,JC_DS,0),MATCH(T703,CC_DS,0)),
IF(AA703="SALUD",OFFSET('PARÁMETROS'!$K$29,MATCH(U703,JC_SA,0),MATCH(T703,CC_SA,0)),
IF(AA703="MEDIO AMBIENTE",OFFSET('PARÁMETROS'!$K$20,MATCH(U703,JC_MA,0),MATCH(T703,CC_MA,0)),
IF(AA703="Rel. Gubernamentales",OFFSET('PARÁMETROS'!$K$48,MATCH(U703,JC_G,0),MATCH(T703,CC_G,0)),
IF(AA703="OPERACIONAL",OFFSET('PARÁMETROS'!$K$56,MATCH(U703,JC_OP,0),MATCH(T703,CC_OP,0)),
IF(AA703="FINANCIERO",OFFSET('PARÁMETROS'!$K$56,MATCH(U703,JC_FI,0),MATCH(T703,CC_FI,0)),
OFFSET('PARÁMETROS'!$K$38,MATCH(U703,JC_L,0),MATCH(T703,CC_L,0))))))))),"")</f>
        <v/>
      </c>
      <c r="W703" s="130"/>
      <c r="X703" s="135"/>
      <c r="Y703" s="136"/>
      <c r="Z703" s="30"/>
      <c r="AA703" s="31" t="str">
        <f>E699</f>
        <v/>
      </c>
    </row>
    <row r="704" ht="87.0" customHeight="1">
      <c r="A704" s="129"/>
      <c r="B704" s="130"/>
      <c r="C704" s="130"/>
      <c r="D704" s="130"/>
      <c r="E704" s="130"/>
      <c r="F704" s="130"/>
      <c r="G704" s="130"/>
      <c r="H704" s="130"/>
      <c r="I704" s="130"/>
      <c r="J704" s="130"/>
      <c r="K704" s="130"/>
      <c r="L704" s="130"/>
      <c r="M704" s="130"/>
      <c r="N704" s="130"/>
      <c r="O704" s="130"/>
      <c r="P704" s="132"/>
      <c r="Q704" s="134"/>
      <c r="R704" s="134"/>
      <c r="S704" s="134"/>
      <c r="T704" s="135"/>
      <c r="U704" s="135"/>
      <c r="V704" s="135" t="str">
        <f>IFERROR(IF(AA704="SEGURIDAD",OFFSET('PARÁMETROS'!$K$2,MATCH(U704,JC_SE,0),MATCH(T704,CC_SE,0)),
IF(OR(AA704="DSRC/Estratégico",AA704="DSRC/Operativo"),OFFSET('PARÁMETROS'!$K$11,MATCH(U704,JC_DS,0),MATCH(T704,CC_DS,0)),
IF(AA704="SALUD",OFFSET('PARÁMETROS'!$K$29,MATCH(U704,JC_SA,0),MATCH(T704,CC_SA,0)),
IF(AA704="MEDIO AMBIENTE",OFFSET('PARÁMETROS'!$K$20,MATCH(U704,JC_MA,0),MATCH(T704,CC_MA,0)),
IF(AA704="Rel. Gubernamentales",OFFSET('PARÁMETROS'!$K$48,MATCH(U704,JC_G,0),MATCH(T704,CC_G,0)),
IF(AA704="OPERACIONAL",OFFSET('PARÁMETROS'!$K$56,MATCH(U704,JC_OP,0),MATCH(T704,CC_OP,0)),
IF(AA704="FINANCIERO",OFFSET('PARÁMETROS'!$K$56,MATCH(U704,JC_FI,0),MATCH(T704,CC_FI,0)),
OFFSET('PARÁMETROS'!$K$38,MATCH(U704,JC_L,0),MATCH(T704,CC_L,0))))))))),"")</f>
        <v/>
      </c>
      <c r="W704" s="130"/>
      <c r="X704" s="135"/>
      <c r="Y704" s="136"/>
      <c r="Z704" s="30"/>
      <c r="AA704" s="31" t="str">
        <f>E699</f>
        <v/>
      </c>
    </row>
    <row r="705" ht="87.0" customHeight="1">
      <c r="A705" s="129"/>
      <c r="B705" s="130"/>
      <c r="C705" s="130"/>
      <c r="D705" s="130"/>
      <c r="E705" s="130"/>
      <c r="F705" s="130"/>
      <c r="G705" s="130"/>
      <c r="H705" s="130"/>
      <c r="I705" s="130"/>
      <c r="J705" s="130"/>
      <c r="K705" s="130"/>
      <c r="L705" s="130"/>
      <c r="M705" s="130"/>
      <c r="N705" s="130"/>
      <c r="O705" s="130"/>
      <c r="P705" s="132"/>
      <c r="Q705" s="134"/>
      <c r="R705" s="134"/>
      <c r="S705" s="134"/>
      <c r="T705" s="135"/>
      <c r="U705" s="135"/>
      <c r="V705" s="135" t="str">
        <f>IFERROR(IF(AA705="SEGURIDAD",OFFSET('PARÁMETROS'!$K$2,MATCH(U705,JC_SE,0),MATCH(T705,CC_SE,0)),
IF(OR(AA705="DSRC/Estratégico",AA705="DSRC/Operativo"),OFFSET('PARÁMETROS'!$K$11,MATCH(U705,JC_DS,0),MATCH(T705,CC_DS,0)),
IF(AA705="SALUD",OFFSET('PARÁMETROS'!$K$29,MATCH(U705,JC_SA,0),MATCH(T705,CC_SA,0)),
IF(AA705="MEDIO AMBIENTE",OFFSET('PARÁMETROS'!$K$20,MATCH(U705,JC_MA,0),MATCH(T705,CC_MA,0)),
IF(AA705="Rel. Gubernamentales",OFFSET('PARÁMETROS'!$K$48,MATCH(U705,JC_G,0),MATCH(T705,CC_G,0)),
IF(AA705="OPERACIONAL",OFFSET('PARÁMETROS'!$K$56,MATCH(U705,JC_OP,0),MATCH(T705,CC_OP,0)),
IF(AA705="FINANCIERO",OFFSET('PARÁMETROS'!$K$56,MATCH(U705,JC_FI,0),MATCH(T705,CC_FI,0)),
OFFSET('PARÁMETROS'!$K$38,MATCH(U705,JC_L,0),MATCH(T705,CC_L,0))))))))),"")</f>
        <v/>
      </c>
      <c r="W705" s="130"/>
      <c r="X705" s="135"/>
      <c r="Y705" s="136"/>
      <c r="Z705" s="30"/>
      <c r="AA705" s="31" t="str">
        <f>E699</f>
        <v/>
      </c>
    </row>
    <row r="706" ht="87.0" customHeight="1">
      <c r="A706" s="129"/>
      <c r="B706" s="130"/>
      <c r="C706" s="130"/>
      <c r="D706" s="130"/>
      <c r="E706" s="130"/>
      <c r="F706" s="130"/>
      <c r="G706" s="130"/>
      <c r="H706" s="130"/>
      <c r="I706" s="130"/>
      <c r="J706" s="130"/>
      <c r="K706" s="130"/>
      <c r="L706" s="130"/>
      <c r="M706" s="130"/>
      <c r="N706" s="130"/>
      <c r="O706" s="130"/>
      <c r="P706" s="132"/>
      <c r="Q706" s="134"/>
      <c r="R706" s="134"/>
      <c r="S706" s="134"/>
      <c r="T706" s="135"/>
      <c r="U706" s="135"/>
      <c r="V706" s="135" t="str">
        <f>IFERROR(IF(AA706="SEGURIDAD",OFFSET('PARÁMETROS'!$K$2,MATCH(U706,JC_SE,0),MATCH(T706,CC_SE,0)),
IF(OR(AA706="DSRC/Estratégico",AA706="DSRC/Operativo"),OFFSET('PARÁMETROS'!$K$11,MATCH(U706,JC_DS,0),MATCH(T706,CC_DS,0)),
IF(AA706="SALUD",OFFSET('PARÁMETROS'!$K$29,MATCH(U706,JC_SA,0),MATCH(T706,CC_SA,0)),
IF(AA706="MEDIO AMBIENTE",OFFSET('PARÁMETROS'!$K$20,MATCH(U706,JC_MA,0),MATCH(T706,CC_MA,0)),
IF(AA706="Rel. Gubernamentales",OFFSET('PARÁMETROS'!$K$48,MATCH(U706,JC_G,0),MATCH(T706,CC_G,0)),
IF(AA706="OPERACIONAL",OFFSET('PARÁMETROS'!$K$56,MATCH(U706,JC_OP,0),MATCH(T706,CC_OP,0)),
IF(AA706="FINANCIERO",OFFSET('PARÁMETROS'!$K$56,MATCH(U706,JC_FI,0),MATCH(T706,CC_FI,0)),
OFFSET('PARÁMETROS'!$K$38,MATCH(U706,JC_L,0),MATCH(T706,CC_L,0))))))))),"")</f>
        <v/>
      </c>
      <c r="W706" s="130"/>
      <c r="X706" s="135"/>
      <c r="Y706" s="136"/>
      <c r="Z706" s="30"/>
      <c r="AA706" s="31" t="str">
        <f>E699</f>
        <v/>
      </c>
    </row>
    <row r="707" ht="87.0" customHeight="1">
      <c r="A707" s="129"/>
      <c r="B707" s="130"/>
      <c r="C707" s="130"/>
      <c r="D707" s="130"/>
      <c r="E707" s="130"/>
      <c r="F707" s="130"/>
      <c r="G707" s="130"/>
      <c r="H707" s="130"/>
      <c r="I707" s="130"/>
      <c r="J707" s="130"/>
      <c r="K707" s="130"/>
      <c r="L707" s="130"/>
      <c r="M707" s="130"/>
      <c r="N707" s="130"/>
      <c r="O707" s="130"/>
      <c r="P707" s="132"/>
      <c r="Q707" s="134"/>
      <c r="R707" s="134"/>
      <c r="S707" s="134"/>
      <c r="T707" s="135"/>
      <c r="U707" s="135"/>
      <c r="V707" s="135" t="str">
        <f>IFERROR(IF(AA707="SEGURIDAD",OFFSET('PARÁMETROS'!$K$2,MATCH(U707,JC_SE,0),MATCH(T707,CC_SE,0)),
IF(OR(AA707="DSRC/Estratégico",AA707="DSRC/Operativo"),OFFSET('PARÁMETROS'!$K$11,MATCH(U707,JC_DS,0),MATCH(T707,CC_DS,0)),
IF(AA707="SALUD",OFFSET('PARÁMETROS'!$K$29,MATCH(U707,JC_SA,0),MATCH(T707,CC_SA,0)),
IF(AA707="MEDIO AMBIENTE",OFFSET('PARÁMETROS'!$K$20,MATCH(U707,JC_MA,0),MATCH(T707,CC_MA,0)),
IF(AA707="Rel. Gubernamentales",OFFSET('PARÁMETROS'!$K$48,MATCH(U707,JC_G,0),MATCH(T707,CC_G,0)),
IF(AA707="OPERACIONAL",OFFSET('PARÁMETROS'!$K$56,MATCH(U707,JC_OP,0),MATCH(T707,CC_OP,0)),
IF(AA707="FINANCIERO",OFFSET('PARÁMETROS'!$K$56,MATCH(U707,JC_FI,0),MATCH(T707,CC_FI,0)),
OFFSET('PARÁMETROS'!$K$38,MATCH(U707,JC_L,0),MATCH(T707,CC_L,0))))))))),"")</f>
        <v/>
      </c>
      <c r="W707" s="130"/>
      <c r="X707" s="135"/>
      <c r="Y707" s="136"/>
      <c r="Z707" s="30"/>
      <c r="AA707" s="31" t="str">
        <f>E699</f>
        <v/>
      </c>
    </row>
    <row r="708" ht="87.0" customHeight="1">
      <c r="A708" s="129"/>
      <c r="B708" s="130"/>
      <c r="C708" s="130"/>
      <c r="D708" s="130"/>
      <c r="E708" s="130"/>
      <c r="F708" s="130"/>
      <c r="G708" s="130"/>
      <c r="H708" s="130"/>
      <c r="I708" s="130"/>
      <c r="J708" s="130"/>
      <c r="K708" s="130"/>
      <c r="L708" s="130"/>
      <c r="M708" s="130"/>
      <c r="N708" s="130"/>
      <c r="O708" s="130"/>
      <c r="P708" s="132"/>
      <c r="Q708" s="134"/>
      <c r="R708" s="134"/>
      <c r="S708" s="134"/>
      <c r="T708" s="135"/>
      <c r="U708" s="135"/>
      <c r="V708" s="135" t="str">
        <f>IFERROR(IF(AA708="SEGURIDAD",OFFSET('PARÁMETROS'!$K$2,MATCH(U708,JC_SE,0),MATCH(T708,CC_SE,0)),
IF(OR(AA708="DSRC/Estratégico",AA708="DSRC/Operativo"),OFFSET('PARÁMETROS'!$K$11,MATCH(U708,JC_DS,0),MATCH(T708,CC_DS,0)),
IF(AA708="SALUD",OFFSET('PARÁMETROS'!$K$29,MATCH(U708,JC_SA,0),MATCH(T708,CC_SA,0)),
IF(AA708="MEDIO AMBIENTE",OFFSET('PARÁMETROS'!$K$20,MATCH(U708,JC_MA,0),MATCH(T708,CC_MA,0)),
IF(AA708="Rel. Gubernamentales",OFFSET('PARÁMETROS'!$K$48,MATCH(U708,JC_G,0),MATCH(T708,CC_G,0)),
IF(AA708="OPERACIONAL",OFFSET('PARÁMETROS'!$K$56,MATCH(U708,JC_OP,0),MATCH(T708,CC_OP,0)),
IF(AA708="FINANCIERO",OFFSET('PARÁMETROS'!$K$56,MATCH(U708,JC_FI,0),MATCH(T708,CC_FI,0)),
OFFSET('PARÁMETROS'!$K$38,MATCH(U708,JC_L,0),MATCH(T708,CC_L,0))))))))),"")</f>
        <v/>
      </c>
      <c r="W708" s="130"/>
      <c r="X708" s="135"/>
      <c r="Y708" s="136"/>
      <c r="Z708" s="30"/>
      <c r="AA708" s="31" t="str">
        <f>E699</f>
        <v/>
      </c>
    </row>
    <row r="709" ht="87.0" customHeight="1">
      <c r="A709" s="129"/>
      <c r="B709" s="130"/>
      <c r="C709" s="130"/>
      <c r="D709" s="130"/>
      <c r="E709" s="130"/>
      <c r="F709" s="130"/>
      <c r="G709" s="130"/>
      <c r="H709" s="130"/>
      <c r="I709" s="130"/>
      <c r="J709" s="130"/>
      <c r="K709" s="130"/>
      <c r="L709" s="130"/>
      <c r="M709" s="130"/>
      <c r="N709" s="130"/>
      <c r="O709" s="130"/>
      <c r="P709" s="132"/>
      <c r="Q709" s="134"/>
      <c r="R709" s="134"/>
      <c r="S709" s="134"/>
      <c r="T709" s="135"/>
      <c r="U709" s="135"/>
      <c r="V709" s="135" t="str">
        <f>IFERROR(IF(AA709="SEGURIDAD",OFFSET('PARÁMETROS'!$K$2,MATCH(U709,JC_SE,0),MATCH(T709,CC_SE,0)),
IF(OR(AA709="DSRC/Estratégico",AA709="DSRC/Operativo"),OFFSET('PARÁMETROS'!$K$11,MATCH(U709,JC_DS,0),MATCH(T709,CC_DS,0)),
IF(AA709="SALUD",OFFSET('PARÁMETROS'!$K$29,MATCH(U709,JC_SA,0),MATCH(T709,CC_SA,0)),
IF(AA709="MEDIO AMBIENTE",OFFSET('PARÁMETROS'!$K$20,MATCH(U709,JC_MA,0),MATCH(T709,CC_MA,0)),
IF(AA709="Rel. Gubernamentales",OFFSET('PARÁMETROS'!$K$48,MATCH(U709,JC_G,0),MATCH(T709,CC_G,0)),
IF(AA709="OPERACIONAL",OFFSET('PARÁMETROS'!$K$56,MATCH(U709,JC_OP,0),MATCH(T709,CC_OP,0)),
IF(AA709="FINANCIERO",OFFSET('PARÁMETROS'!$K$56,MATCH(U709,JC_FI,0),MATCH(T709,CC_FI,0)),
OFFSET('PARÁMETROS'!$K$38,MATCH(U709,JC_L,0),MATCH(T709,CC_L,0))))))))),"")</f>
        <v/>
      </c>
      <c r="W709" s="130"/>
      <c r="X709" s="135"/>
      <c r="Y709" s="136"/>
      <c r="Z709" s="30"/>
      <c r="AA709" s="31" t="str">
        <f>E699</f>
        <v/>
      </c>
    </row>
    <row r="710" ht="87.0" customHeight="1">
      <c r="A710" s="129"/>
      <c r="B710" s="130"/>
      <c r="C710" s="130"/>
      <c r="D710" s="130"/>
      <c r="E710" s="130"/>
      <c r="F710" s="130"/>
      <c r="G710" s="130"/>
      <c r="H710" s="130"/>
      <c r="I710" s="130"/>
      <c r="J710" s="130"/>
      <c r="K710" s="130"/>
      <c r="L710" s="130"/>
      <c r="M710" s="130"/>
      <c r="N710" s="130"/>
      <c r="O710" s="130"/>
      <c r="P710" s="132"/>
      <c r="Q710" s="134"/>
      <c r="R710" s="134"/>
      <c r="S710" s="134"/>
      <c r="T710" s="135"/>
      <c r="U710" s="135"/>
      <c r="V710" s="135" t="str">
        <f>IFERROR(IF(AA710="SEGURIDAD",OFFSET('PARÁMETROS'!$K$2,MATCH(U710,JC_SE,0),MATCH(T710,CC_SE,0)),
IF(OR(AA710="DSRC/Estratégico",AA710="DSRC/Operativo"),OFFSET('PARÁMETROS'!$K$11,MATCH(U710,JC_DS,0),MATCH(T710,CC_DS,0)),
IF(AA710="SALUD",OFFSET('PARÁMETROS'!$K$29,MATCH(U710,JC_SA,0),MATCH(T710,CC_SA,0)),
IF(AA710="MEDIO AMBIENTE",OFFSET('PARÁMETROS'!$K$20,MATCH(U710,JC_MA,0),MATCH(T710,CC_MA,0)),
IF(AA710="Rel. Gubernamentales",OFFSET('PARÁMETROS'!$K$48,MATCH(U710,JC_G,0),MATCH(T710,CC_G,0)),
IF(AA710="OPERACIONAL",OFFSET('PARÁMETROS'!$K$56,MATCH(U710,JC_OP,0),MATCH(T710,CC_OP,0)),
IF(AA710="FINANCIERO",OFFSET('PARÁMETROS'!$K$56,MATCH(U710,JC_FI,0),MATCH(T710,CC_FI,0)),
OFFSET('PARÁMETROS'!$K$38,MATCH(U710,JC_L,0),MATCH(T710,CC_L,0))))))))),"")</f>
        <v/>
      </c>
      <c r="W710" s="130"/>
      <c r="X710" s="135"/>
      <c r="Y710" s="136"/>
      <c r="Z710" s="30"/>
      <c r="AA710" s="31" t="str">
        <f>E699</f>
        <v/>
      </c>
    </row>
    <row r="711" ht="87.0" customHeight="1">
      <c r="A711" s="129"/>
      <c r="B711" s="130"/>
      <c r="C711" s="130"/>
      <c r="D711" s="130"/>
      <c r="E711" s="130"/>
      <c r="F711" s="130"/>
      <c r="G711" s="130"/>
      <c r="H711" s="130"/>
      <c r="I711" s="130"/>
      <c r="J711" s="130"/>
      <c r="K711" s="130"/>
      <c r="L711" s="130"/>
      <c r="M711" s="130"/>
      <c r="N711" s="130"/>
      <c r="O711" s="130"/>
      <c r="P711" s="132"/>
      <c r="Q711" s="134"/>
      <c r="R711" s="134"/>
      <c r="S711" s="134"/>
      <c r="T711" s="135"/>
      <c r="U711" s="135"/>
      <c r="V711" s="135" t="str">
        <f>IFERROR(IF(AA711="SEGURIDAD",OFFSET('PARÁMETROS'!$K$2,MATCH(U711,JC_SE,0),MATCH(T711,CC_SE,0)),
IF(OR(AA711="DSRC/Estratégico",AA711="DSRC/Operativo"),OFFSET('PARÁMETROS'!$K$11,MATCH(U711,JC_DS,0),MATCH(T711,CC_DS,0)),
IF(AA711="SALUD",OFFSET('PARÁMETROS'!$K$29,MATCH(U711,JC_SA,0),MATCH(T711,CC_SA,0)),
IF(AA711="MEDIO AMBIENTE",OFFSET('PARÁMETROS'!$K$20,MATCH(U711,JC_MA,0),MATCH(T711,CC_MA,0)),
IF(AA711="Rel. Gubernamentales",OFFSET('PARÁMETROS'!$K$48,MATCH(U711,JC_G,0),MATCH(T711,CC_G,0)),
IF(AA711="OPERACIONAL",OFFSET('PARÁMETROS'!$K$56,MATCH(U711,JC_OP,0),MATCH(T711,CC_OP,0)),
IF(AA711="FINANCIERO",OFFSET('PARÁMETROS'!$K$56,MATCH(U711,JC_FI,0),MATCH(T711,CC_FI,0)),
OFFSET('PARÁMETROS'!$K$38,MATCH(U711,JC_L,0),MATCH(T711,CC_L,0))))))))),"")</f>
        <v/>
      </c>
      <c r="W711" s="130"/>
      <c r="X711" s="135"/>
      <c r="Y711" s="136"/>
      <c r="Z711" s="30"/>
      <c r="AA711" s="31" t="str">
        <f>E699</f>
        <v/>
      </c>
    </row>
    <row r="712" ht="87.0" customHeight="1">
      <c r="A712" s="129"/>
      <c r="B712" s="130"/>
      <c r="C712" s="130"/>
      <c r="D712" s="130"/>
      <c r="E712" s="130"/>
      <c r="F712" s="130"/>
      <c r="G712" s="130"/>
      <c r="H712" s="130"/>
      <c r="I712" s="130"/>
      <c r="J712" s="130"/>
      <c r="K712" s="130"/>
      <c r="L712" s="130"/>
      <c r="M712" s="130"/>
      <c r="N712" s="130"/>
      <c r="O712" s="130"/>
      <c r="P712" s="132"/>
      <c r="Q712" s="134"/>
      <c r="R712" s="134"/>
      <c r="S712" s="134"/>
      <c r="T712" s="135"/>
      <c r="U712" s="135"/>
      <c r="V712" s="135" t="str">
        <f>IFERROR(IF(AA712="SEGURIDAD",OFFSET('PARÁMETROS'!$K$2,MATCH(U712,JC_SE,0),MATCH(T712,CC_SE,0)),
IF(OR(AA712="DSRC/Estratégico",AA712="DSRC/Operativo"),OFFSET('PARÁMETROS'!$K$11,MATCH(U712,JC_DS,0),MATCH(T712,CC_DS,0)),
IF(AA712="SALUD",OFFSET('PARÁMETROS'!$K$29,MATCH(U712,JC_SA,0),MATCH(T712,CC_SA,0)),
IF(AA712="MEDIO AMBIENTE",OFFSET('PARÁMETROS'!$K$20,MATCH(U712,JC_MA,0),MATCH(T712,CC_MA,0)),
IF(AA712="Rel. Gubernamentales",OFFSET('PARÁMETROS'!$K$48,MATCH(U712,JC_G,0),MATCH(T712,CC_G,0)),
IF(AA712="OPERACIONAL",OFFSET('PARÁMETROS'!$K$56,MATCH(U712,JC_OP,0),MATCH(T712,CC_OP,0)),
IF(AA712="FINANCIERO",OFFSET('PARÁMETROS'!$K$56,MATCH(U712,JC_FI,0),MATCH(T712,CC_FI,0)),
OFFSET('PARÁMETROS'!$K$38,MATCH(U712,JC_L,0),MATCH(T712,CC_L,0))))))))),"")</f>
        <v/>
      </c>
      <c r="W712" s="130"/>
      <c r="X712" s="135"/>
      <c r="Y712" s="136"/>
      <c r="Z712" s="30"/>
      <c r="AA712" s="31" t="str">
        <f>E699</f>
        <v/>
      </c>
    </row>
    <row r="713" ht="87.0" customHeight="1">
      <c r="A713" s="129"/>
      <c r="B713" s="130"/>
      <c r="C713" s="130"/>
      <c r="D713" s="130"/>
      <c r="E713" s="130"/>
      <c r="F713" s="130"/>
      <c r="G713" s="130"/>
      <c r="H713" s="130"/>
      <c r="I713" s="130"/>
      <c r="J713" s="130"/>
      <c r="K713" s="130"/>
      <c r="L713" s="130"/>
      <c r="M713" s="130"/>
      <c r="N713" s="130"/>
      <c r="O713" s="130"/>
      <c r="P713" s="132"/>
      <c r="Q713" s="134"/>
      <c r="R713" s="134"/>
      <c r="S713" s="134"/>
      <c r="T713" s="135"/>
      <c r="U713" s="135"/>
      <c r="V713" s="135" t="str">
        <f>IFERROR(IF(AA713="SEGURIDAD",OFFSET('PARÁMETROS'!$K$2,MATCH(U713,JC_SE,0),MATCH(T713,CC_SE,0)),
IF(OR(AA713="DSRC/Estratégico",AA713="DSRC/Operativo"),OFFSET('PARÁMETROS'!$K$11,MATCH(U713,JC_DS,0),MATCH(T713,CC_DS,0)),
IF(AA713="SALUD",OFFSET('PARÁMETROS'!$K$29,MATCH(U713,JC_SA,0),MATCH(T713,CC_SA,0)),
IF(AA713="MEDIO AMBIENTE",OFFSET('PARÁMETROS'!$K$20,MATCH(U713,JC_MA,0),MATCH(T713,CC_MA,0)),
IF(AA713="Rel. Gubernamentales",OFFSET('PARÁMETROS'!$K$48,MATCH(U713,JC_G,0),MATCH(T713,CC_G,0)),
IF(AA713="OPERACIONAL",OFFSET('PARÁMETROS'!$K$56,MATCH(U713,JC_OP,0),MATCH(T713,CC_OP,0)),
IF(AA713="FINANCIERO",OFFSET('PARÁMETROS'!$K$56,MATCH(U713,JC_FI,0),MATCH(T713,CC_FI,0)),
OFFSET('PARÁMETROS'!$K$38,MATCH(U713,JC_L,0),MATCH(T713,CC_L,0))))))))),"")</f>
        <v/>
      </c>
      <c r="W713" s="130"/>
      <c r="X713" s="135"/>
      <c r="Y713" s="136"/>
      <c r="Z713" s="30"/>
      <c r="AA713" s="31" t="str">
        <f>E699</f>
        <v/>
      </c>
    </row>
    <row r="714" ht="87.0" customHeight="1">
      <c r="A714" s="89"/>
      <c r="B714" s="90"/>
      <c r="C714" s="90"/>
      <c r="D714" s="157"/>
      <c r="E714" s="157"/>
      <c r="F714" s="157"/>
      <c r="G714" s="157"/>
      <c r="H714" s="157"/>
      <c r="I714" s="90"/>
      <c r="J714" s="90"/>
      <c r="K714" s="90"/>
      <c r="L714" s="90"/>
      <c r="M714" s="90"/>
      <c r="N714" s="90"/>
      <c r="O714" s="90"/>
      <c r="P714" s="132"/>
      <c r="Q714" s="134"/>
      <c r="R714" s="145"/>
      <c r="S714" s="145"/>
      <c r="T714" s="135"/>
      <c r="U714" s="135"/>
      <c r="V714" s="135" t="str">
        <f>IFERROR(IF(AA714="SEGURIDAD",OFFSET('PARÁMETROS'!$K$2,MATCH(U714,JC_SE,0),MATCH(T714,CC_SE,0)),
IF(OR(AA714="DSRC/Estratégico",AA714="DSRC/Operativo"),OFFSET('PARÁMETROS'!$K$11,MATCH(U714,JC_DS,0),MATCH(T714,CC_DS,0)),
IF(AA714="SALUD",OFFSET('PARÁMETROS'!$K$29,MATCH(U714,JC_SA,0),MATCH(T714,CC_SA,0)),
IF(AA714="MEDIO AMBIENTE",OFFSET('PARÁMETROS'!$K$20,MATCH(U714,JC_MA,0),MATCH(T714,CC_MA,0)),
IF(AA714="Rel. Gubernamentales",OFFSET('PARÁMETROS'!$K$48,MATCH(U714,JC_G,0),MATCH(T714,CC_G,0)),
IF(AA714="OPERACIONAL",OFFSET('PARÁMETROS'!$K$56,MATCH(U714,JC_OP,0),MATCH(T714,CC_OP,0)),
IF(AA714="FINANCIERO",OFFSET('PARÁMETROS'!$K$56,MATCH(U714,JC_FI,0),MATCH(T714,CC_FI,0)),
OFFSET('PARÁMETROS'!$K$38,MATCH(U714,JC_L,0),MATCH(T714,CC_L,0))))))))),"")</f>
        <v/>
      </c>
      <c r="W714" s="90"/>
      <c r="X714" s="135"/>
      <c r="Y714" s="136"/>
      <c r="Z714" s="30"/>
      <c r="AA714" s="31" t="str">
        <f>E699</f>
        <v/>
      </c>
    </row>
    <row r="715" ht="87.0" customHeight="1">
      <c r="A715" s="102"/>
      <c r="B715" s="103"/>
      <c r="C715" s="103"/>
      <c r="D715" s="103"/>
      <c r="E715" s="103"/>
      <c r="F715" s="103"/>
      <c r="G715" s="105"/>
      <c r="H715" s="103"/>
      <c r="I715" s="105"/>
      <c r="J715" s="103"/>
      <c r="K715" s="103"/>
      <c r="L715" s="103" t="str">
        <f>IF(OR(J715&lt;&gt;"",K715&lt;&gt;""),OFFSET('PARÁMETROS'!$B$2,K715,J715),"")</f>
        <v/>
      </c>
      <c r="M715" s="103"/>
      <c r="N715" s="103">
        <f>IFERROR(L715*M715,"")</f>
        <v>0</v>
      </c>
      <c r="O715" s="108" t="str">
        <f>IF(N715="","",IFERROR(IF(N715&lt;=2,"ACEPTABLE",IF(N715&lt;=6,"BAJA",IF(N715&lt;=10,"ACEPTABLE CON REVISIÓN",IF(N715&lt;=15,"SUSTANCIAL","INACEPTABLE")))),""))</f>
        <v>ACEPTABLE</v>
      </c>
      <c r="P715" s="113"/>
      <c r="Q715" s="114"/>
      <c r="R715" s="114"/>
      <c r="S715" s="114"/>
      <c r="T715" s="115"/>
      <c r="U715" s="115"/>
      <c r="V715" s="115" t="str">
        <f>IFERROR(IF(AA715="SEGURIDAD",OFFSET('PARÁMETROS'!$K$2,MATCH(U715,JC_SE,0),MATCH(T715,CC_SE,0)),
IF(OR(AA715="DSRC/Estratégico",AA715="DSRC/Operativo"),OFFSET('PARÁMETROS'!$K$11,MATCH(U715,JC_DS,0),MATCH(T715,CC_DS,0)),
IF(AA715="SALUD",OFFSET('PARÁMETROS'!$K$29,MATCH(U715,JC_SA,0),MATCH(T715,CC_SA,0)),
IF(AA715="MEDIO AMBIENTE",OFFSET('PARÁMETROS'!$K$20,MATCH(U715,JC_MA,0),MATCH(T715,CC_MA,0)),
IF(AA715="Rel. Gubernamentales",OFFSET('PARÁMETROS'!$K$48,MATCH(U715,JC_G,0),MATCH(T715,CC_G,0)),
IF(AA715="OPERACIONAL",OFFSET('PARÁMETROS'!$K$56,MATCH(U715,JC_OP,0),MATCH(T715,CC_OP,0)),
IF(AA715="FINANCIERO",OFFSET('PARÁMETROS'!$K$56,MATCH(U715,JC_FI,0),MATCH(T715,CC_FI,0)),
OFFSET('PARÁMETROS'!$K$38,MATCH(U715,JC_L,0),MATCH(T715,CC_L,0))))))))),"")</f>
        <v/>
      </c>
      <c r="W715" s="108" t="str">
        <f>IF(E715="","",
IF(COUNTA(V715:V730)-COUNTBLANK(V715:V730)=1,
IF(O715="INACEPTABLE",IF(COUNTIF(V715:V730,"Control/Acción Eficaz")&gt;=1,"SUSTANCIAL","INACEPTABLE"),
IF(O715="SUSTANCIAL",IF(COUNTIF(V715:V730,"Control/Acción Eficaz")&gt;=1,"ACEPTABLE CON REVISIÓN","SUSTANCIAL"),
IF(O715="ACEPTABLE CON REVISIÓN",IF(COUNTIF(V715:V730,"Control/Acción Eficaz")&gt;=1,"BAJA","ACEPTABLE CON REVISIÓN"),
IF(O715="BAJA",IF(COUNTIF(V715:V730,"Control/Acción Eficaz")&gt;=1,"ACEPTABLE","BAJA"),)))),
IF(COUNTA(V715:V730)-COUNTBLANK(V715:V730)=2,
IF(O715="INACEPTABLE",IF(COUNTIF(V715:V730,"Control/Acción Eficaz")=2,"ACEPTABLE CON REVISIÓN",
IF(OR(AND(COUNTIF(V715:V730,"Control/Acción Eficaz")=1,COUNTIF(V715:V730,"Control/Acción Satisfactorio")=1),
AND(COUNTIF(V715:V730,"Control/Acción Eficaz")=1,COUNTIF(V715:V730,"Control/Acción No Eficaz")=1)),"SUSTANCIAL","INACEPTABLE")),
IF(O715="SUSTANCIAL",IF(COUNTIF(V715:V730,"Control/Acción Eficaz")=2,"BAJA",
IF(OR(AND(COUNTIF(V715:V730,"Control/Acción Eficaz")=1,COUNTIF(V715:V730,"Control/Acción Satisfactorio")=1),
AND(COUNTIF(V715:V730,"Control/Acción Eficaz")=1,COUNTIF(V715:V730,"Control/Acción No Eficaz")=1)),"ACEPTABLE CON REVISIÓN ","SUSTANCIAL")),
IF(O715="ACEPTABLE CON REVISIÓN",IF(COUNTIF(V715:V730,"Control/Acción Eficaz")=2,"ACEPTABLE",
IF(OR(AND(COUNTIF(V715:V730,"Control/Acción Eficaz")=1,COUNTIF(V715:V730,"Control/Acción Satisfactorio")=1),
AND(COUNTIF(V715:V730,"Control/Acción Eficaz")=1,COUNTIF(V715:V730,"Control/Acción No Eficaz")=1)),"BAJA","ACEPTABLE CON REVISIÓN")),
IF(O715="BAJA",IF(COUNTIF(V715:V730,"Control/Acción Eficaz")&gt;=2,"ACEPTABLE","BAJA"),)))),
IF(COUNTA(V715:V730)-COUNTBLANK(V715:V730)&gt;=3,
IF(O715="INACEPTABLE",
IF(COUNTBLANK(V715:V730)=COUNTA(V715:V730),"",
IF(COUNTIF(V715:V730,"Control/Acción No Eficaz")&gt;=2,"INACEPTABLE",
IF(AND(COUNTIF(V715:V730,"Control/Acción No Eficaz")=0,COUNTIF(V715:V730,"Control/Acción Eficaz")&gt;=2),"ACEPTABLE CON REVISIÓN ","SUSTANCIAL"))),
IF(O715="SUSTANCIAL",
IF(COUNTBLANK(V715:V730)=COUNTA(V715:V730),"",
IF(COUNTIF(V715:V730,"Control/Acción No Eficaz")&gt;=2,"SUSTANCIAL",
IF(AND(COUNTIF(V715:V730,"Control/Acción No Eficaz")=0,COUNTIF(V715:V730,"Control/Acción Eficaz")&gt;=2),"BAJA","ACEPTABLE CON REVISIÓN"))),
IF(O715="ACEPTABLE CON REVISIÓN",
IF(COUNTBLANK(V715:V730)=COUNTA(V715:V730),"",
IF(COUNTIF(V715:V730,"Control/Acción No Eficaz")&gt;=2,"ACEPTABLE CON REVISIÓN",
IF(AND(COUNTIF(V715:V730,"Control/Acción No Eficaz")=0,COUNTIF(V715:V730,"Control/Acción Eficaz")&gt;=2),"ACEPTABLE","BAJA"))),
IF(O715="BAJA",
IF(COUNTBLANK(V715:V730)=COUNTA(V715:V730),"",
IF(AND(COUNTBLANK(V715:V730)&lt;1,COUNTA(V715:V730)=1),
IF(COUNTIF(V715:V730,"Control/Acción No Eficaz")&gt;=2,"BAJA",
IF(AND(COUNTIF(V715:V730,"Control/Acción No Eficaz")=0,COUNTIF(V715:V730,"Control/Acción Eficaz")&gt;=2),"ACEPTABLE","BAJA")),
IF(COUNTIF(V715:V730,"Control/Acción No Eficaz")&gt;=2,"BAJA",
IF(AND(COUNTIF(V715:V730,"Control/Acción No Eficaz")=0,COUNTIF(V715:V730,"Control/Acción Eficaz")&gt;=2),"ACEPTABLE","BAJA")))),
IF(COUNTIF(V715:V730,"")&gt;=5,"",O715))))),
""))))</f>
        <v/>
      </c>
      <c r="X715" s="115"/>
      <c r="Y715" s="128"/>
      <c r="Z715" s="30"/>
      <c r="AA715" s="31" t="str">
        <f>E715</f>
        <v/>
      </c>
    </row>
    <row r="716" ht="87.0" customHeight="1">
      <c r="A716" s="129"/>
      <c r="B716" s="130"/>
      <c r="C716" s="130"/>
      <c r="D716" s="130"/>
      <c r="E716" s="130"/>
      <c r="F716" s="130"/>
      <c r="G716" s="130"/>
      <c r="H716" s="130"/>
      <c r="I716" s="130"/>
      <c r="J716" s="130"/>
      <c r="K716" s="130"/>
      <c r="L716" s="130"/>
      <c r="M716" s="130"/>
      <c r="N716" s="130"/>
      <c r="O716" s="130"/>
      <c r="P716" s="132"/>
      <c r="Q716" s="134"/>
      <c r="R716" s="134"/>
      <c r="S716" s="134"/>
      <c r="T716" s="135"/>
      <c r="U716" s="135"/>
      <c r="V716" s="135" t="str">
        <f>IFERROR(IF(AA716="SEGURIDAD",OFFSET('PARÁMETROS'!$K$2,MATCH(U716,JC_SE,0),MATCH(T716,CC_SE,0)),
IF(OR(AA716="DSRC/Estratégico",AA716="DSRC/Operativo"),OFFSET('PARÁMETROS'!$K$11,MATCH(U716,JC_DS,0),MATCH(T716,CC_DS,0)),
IF(AA716="SALUD",OFFSET('PARÁMETROS'!$K$29,MATCH(U716,JC_SA,0),MATCH(T716,CC_SA,0)),
IF(AA716="MEDIO AMBIENTE",OFFSET('PARÁMETROS'!$K$20,MATCH(U716,JC_MA,0),MATCH(T716,CC_MA,0)),
IF(AA716="Rel. Gubernamentales",OFFSET('PARÁMETROS'!$K$48,MATCH(U716,JC_G,0),MATCH(T716,CC_G,0)),
IF(AA716="OPERACIONAL",OFFSET('PARÁMETROS'!$K$56,MATCH(U716,JC_OP,0),MATCH(T716,CC_OP,0)),
IF(AA716="FINANCIERO",OFFSET('PARÁMETROS'!$K$56,MATCH(U716,JC_FI,0),MATCH(T716,CC_FI,0)),
OFFSET('PARÁMETROS'!$K$38,MATCH(U716,JC_L,0),MATCH(T716,CC_L,0))))))))),"")</f>
        <v/>
      </c>
      <c r="W716" s="130"/>
      <c r="X716" s="135"/>
      <c r="Y716" s="136"/>
      <c r="Z716" s="30"/>
      <c r="AA716" s="31" t="str">
        <f>E715</f>
        <v/>
      </c>
    </row>
    <row r="717" ht="87.0" customHeight="1">
      <c r="A717" s="129"/>
      <c r="B717" s="130"/>
      <c r="C717" s="130"/>
      <c r="D717" s="130"/>
      <c r="E717" s="130"/>
      <c r="F717" s="130"/>
      <c r="G717" s="130"/>
      <c r="H717" s="130"/>
      <c r="I717" s="130"/>
      <c r="J717" s="130"/>
      <c r="K717" s="130"/>
      <c r="L717" s="130"/>
      <c r="M717" s="130"/>
      <c r="N717" s="130"/>
      <c r="O717" s="130"/>
      <c r="P717" s="132"/>
      <c r="Q717" s="134"/>
      <c r="R717" s="134"/>
      <c r="S717" s="134"/>
      <c r="T717" s="135"/>
      <c r="U717" s="135"/>
      <c r="V717" s="135" t="str">
        <f>IFERROR(IF(AA717="SEGURIDAD",OFFSET('PARÁMETROS'!$K$2,MATCH(U717,JC_SE,0),MATCH(T717,CC_SE,0)),
IF(OR(AA717="DSRC/Estratégico",AA717="DSRC/Operativo"),OFFSET('PARÁMETROS'!$K$11,MATCH(U717,JC_DS,0),MATCH(T717,CC_DS,0)),
IF(AA717="SALUD",OFFSET('PARÁMETROS'!$K$29,MATCH(U717,JC_SA,0),MATCH(T717,CC_SA,0)),
IF(AA717="MEDIO AMBIENTE",OFFSET('PARÁMETROS'!$K$20,MATCH(U717,JC_MA,0),MATCH(T717,CC_MA,0)),
IF(AA717="Rel. Gubernamentales",OFFSET('PARÁMETROS'!$K$48,MATCH(U717,JC_G,0),MATCH(T717,CC_G,0)),
IF(AA717="OPERACIONAL",OFFSET('PARÁMETROS'!$K$56,MATCH(U717,JC_OP,0),MATCH(T717,CC_OP,0)),
IF(AA717="FINANCIERO",OFFSET('PARÁMETROS'!$K$56,MATCH(U717,JC_FI,0),MATCH(T717,CC_FI,0)),
OFFSET('PARÁMETROS'!$K$38,MATCH(U717,JC_L,0),MATCH(T717,CC_L,0))))))))),"")</f>
        <v/>
      </c>
      <c r="W717" s="130"/>
      <c r="X717" s="135"/>
      <c r="Y717" s="136"/>
      <c r="Z717" s="30"/>
      <c r="AA717" s="31" t="str">
        <f>E715</f>
        <v/>
      </c>
    </row>
    <row r="718" ht="87.0" customHeight="1">
      <c r="A718" s="129"/>
      <c r="B718" s="130"/>
      <c r="C718" s="130"/>
      <c r="D718" s="130"/>
      <c r="E718" s="130"/>
      <c r="F718" s="130"/>
      <c r="G718" s="130"/>
      <c r="H718" s="130"/>
      <c r="I718" s="130"/>
      <c r="J718" s="130"/>
      <c r="K718" s="130"/>
      <c r="L718" s="130"/>
      <c r="M718" s="130"/>
      <c r="N718" s="130"/>
      <c r="O718" s="130"/>
      <c r="P718" s="132"/>
      <c r="Q718" s="134"/>
      <c r="R718" s="134"/>
      <c r="S718" s="134"/>
      <c r="T718" s="135"/>
      <c r="U718" s="135"/>
      <c r="V718" s="135" t="str">
        <f>IFERROR(IF(AA718="SEGURIDAD",OFFSET('PARÁMETROS'!$K$2,MATCH(U718,JC_SE,0),MATCH(T718,CC_SE,0)),
IF(OR(AA718="DSRC/Estratégico",AA718="DSRC/Operativo"),OFFSET('PARÁMETROS'!$K$11,MATCH(U718,JC_DS,0),MATCH(T718,CC_DS,0)),
IF(AA718="SALUD",OFFSET('PARÁMETROS'!$K$29,MATCH(U718,JC_SA,0),MATCH(T718,CC_SA,0)),
IF(AA718="MEDIO AMBIENTE",OFFSET('PARÁMETROS'!$K$20,MATCH(U718,JC_MA,0),MATCH(T718,CC_MA,0)),
IF(AA718="Rel. Gubernamentales",OFFSET('PARÁMETROS'!$K$48,MATCH(U718,JC_G,0),MATCH(T718,CC_G,0)),
IF(AA718="OPERACIONAL",OFFSET('PARÁMETROS'!$K$56,MATCH(U718,JC_OP,0),MATCH(T718,CC_OP,0)),
IF(AA718="FINANCIERO",OFFSET('PARÁMETROS'!$K$56,MATCH(U718,JC_FI,0),MATCH(T718,CC_FI,0)),
OFFSET('PARÁMETROS'!$K$38,MATCH(U718,JC_L,0),MATCH(T718,CC_L,0))))))))),"")</f>
        <v/>
      </c>
      <c r="W718" s="130"/>
      <c r="X718" s="135"/>
      <c r="Y718" s="136"/>
      <c r="Z718" s="30"/>
      <c r="AA718" s="31" t="str">
        <f>E715</f>
        <v/>
      </c>
    </row>
    <row r="719" ht="87.0" customHeight="1">
      <c r="A719" s="129"/>
      <c r="B719" s="130"/>
      <c r="C719" s="130"/>
      <c r="D719" s="130"/>
      <c r="E719" s="130"/>
      <c r="F719" s="130"/>
      <c r="G719" s="130"/>
      <c r="H719" s="130"/>
      <c r="I719" s="130"/>
      <c r="J719" s="130"/>
      <c r="K719" s="130"/>
      <c r="L719" s="130"/>
      <c r="M719" s="130"/>
      <c r="N719" s="130"/>
      <c r="O719" s="130"/>
      <c r="P719" s="132"/>
      <c r="Q719" s="134"/>
      <c r="R719" s="134"/>
      <c r="S719" s="134"/>
      <c r="T719" s="135"/>
      <c r="U719" s="135"/>
      <c r="V719" s="135" t="str">
        <f>IFERROR(IF(AA719="SEGURIDAD",OFFSET('PARÁMETROS'!$K$2,MATCH(U719,JC_SE,0),MATCH(T719,CC_SE,0)),
IF(OR(AA719="DSRC/Estratégico",AA719="DSRC/Operativo"),OFFSET('PARÁMETROS'!$K$11,MATCH(U719,JC_DS,0),MATCH(T719,CC_DS,0)),
IF(AA719="SALUD",OFFSET('PARÁMETROS'!$K$29,MATCH(U719,JC_SA,0),MATCH(T719,CC_SA,0)),
IF(AA719="MEDIO AMBIENTE",OFFSET('PARÁMETROS'!$K$20,MATCH(U719,JC_MA,0),MATCH(T719,CC_MA,0)),
IF(AA719="Rel. Gubernamentales",OFFSET('PARÁMETROS'!$K$48,MATCH(U719,JC_G,0),MATCH(T719,CC_G,0)),
IF(AA719="OPERACIONAL",OFFSET('PARÁMETROS'!$K$56,MATCH(U719,JC_OP,0),MATCH(T719,CC_OP,0)),
IF(AA719="FINANCIERO",OFFSET('PARÁMETROS'!$K$56,MATCH(U719,JC_FI,0),MATCH(T719,CC_FI,0)),
OFFSET('PARÁMETROS'!$K$38,MATCH(U719,JC_L,0),MATCH(T719,CC_L,0))))))))),"")</f>
        <v/>
      </c>
      <c r="W719" s="130"/>
      <c r="X719" s="135"/>
      <c r="Y719" s="136"/>
      <c r="Z719" s="30"/>
      <c r="AA719" s="31" t="str">
        <f>E715</f>
        <v/>
      </c>
    </row>
    <row r="720" ht="87.0" customHeight="1">
      <c r="A720" s="129"/>
      <c r="B720" s="130"/>
      <c r="C720" s="130"/>
      <c r="D720" s="130"/>
      <c r="E720" s="130"/>
      <c r="F720" s="130"/>
      <c r="G720" s="130"/>
      <c r="H720" s="130"/>
      <c r="I720" s="130"/>
      <c r="J720" s="130"/>
      <c r="K720" s="130"/>
      <c r="L720" s="130"/>
      <c r="M720" s="130"/>
      <c r="N720" s="130"/>
      <c r="O720" s="130"/>
      <c r="P720" s="132"/>
      <c r="Q720" s="134"/>
      <c r="R720" s="134"/>
      <c r="S720" s="134"/>
      <c r="T720" s="135"/>
      <c r="U720" s="135"/>
      <c r="V720" s="135" t="str">
        <f>IFERROR(IF(AA720="SEGURIDAD",OFFSET('PARÁMETROS'!$K$2,MATCH(U720,JC_SE,0),MATCH(T720,CC_SE,0)),
IF(OR(AA720="DSRC/Estratégico",AA720="DSRC/Operativo"),OFFSET('PARÁMETROS'!$K$11,MATCH(U720,JC_DS,0),MATCH(T720,CC_DS,0)),
IF(AA720="SALUD",OFFSET('PARÁMETROS'!$K$29,MATCH(U720,JC_SA,0),MATCH(T720,CC_SA,0)),
IF(AA720="MEDIO AMBIENTE",OFFSET('PARÁMETROS'!$K$20,MATCH(U720,JC_MA,0),MATCH(T720,CC_MA,0)),
IF(AA720="Rel. Gubernamentales",OFFSET('PARÁMETROS'!$K$48,MATCH(U720,JC_G,0),MATCH(T720,CC_G,0)),
IF(AA720="OPERACIONAL",OFFSET('PARÁMETROS'!$K$56,MATCH(U720,JC_OP,0),MATCH(T720,CC_OP,0)),
IF(AA720="FINANCIERO",OFFSET('PARÁMETROS'!$K$56,MATCH(U720,JC_FI,0),MATCH(T720,CC_FI,0)),
OFFSET('PARÁMETROS'!$K$38,MATCH(U720,JC_L,0),MATCH(T720,CC_L,0))))))))),"")</f>
        <v/>
      </c>
      <c r="W720" s="130"/>
      <c r="X720" s="135"/>
      <c r="Y720" s="136"/>
      <c r="Z720" s="30"/>
      <c r="AA720" s="31" t="str">
        <f>E715</f>
        <v/>
      </c>
    </row>
    <row r="721" ht="87.0" customHeight="1">
      <c r="A721" s="129"/>
      <c r="B721" s="130"/>
      <c r="C721" s="130"/>
      <c r="D721" s="130"/>
      <c r="E721" s="130"/>
      <c r="F721" s="130"/>
      <c r="G721" s="130"/>
      <c r="H721" s="130"/>
      <c r="I721" s="130"/>
      <c r="J721" s="130"/>
      <c r="K721" s="130"/>
      <c r="L721" s="130"/>
      <c r="M721" s="130"/>
      <c r="N721" s="130"/>
      <c r="O721" s="130"/>
      <c r="P721" s="132"/>
      <c r="Q721" s="134"/>
      <c r="R721" s="134"/>
      <c r="S721" s="134"/>
      <c r="T721" s="135"/>
      <c r="U721" s="135"/>
      <c r="V721" s="135" t="str">
        <f>IFERROR(IF(AA721="SEGURIDAD",OFFSET('PARÁMETROS'!$K$2,MATCH(U721,JC_SE,0),MATCH(T721,CC_SE,0)),
IF(OR(AA721="DSRC/Estratégico",AA721="DSRC/Operativo"),OFFSET('PARÁMETROS'!$K$11,MATCH(U721,JC_DS,0),MATCH(T721,CC_DS,0)),
IF(AA721="SALUD",OFFSET('PARÁMETROS'!$K$29,MATCH(U721,JC_SA,0),MATCH(T721,CC_SA,0)),
IF(AA721="MEDIO AMBIENTE",OFFSET('PARÁMETROS'!$K$20,MATCH(U721,JC_MA,0),MATCH(T721,CC_MA,0)),
IF(AA721="Rel. Gubernamentales",OFFSET('PARÁMETROS'!$K$48,MATCH(U721,JC_G,0),MATCH(T721,CC_G,0)),
IF(AA721="OPERACIONAL",OFFSET('PARÁMETROS'!$K$56,MATCH(U721,JC_OP,0),MATCH(T721,CC_OP,0)),
IF(AA721="FINANCIERO",OFFSET('PARÁMETROS'!$K$56,MATCH(U721,JC_FI,0),MATCH(T721,CC_FI,0)),
OFFSET('PARÁMETROS'!$K$38,MATCH(U721,JC_L,0),MATCH(T721,CC_L,0))))))))),"")</f>
        <v/>
      </c>
      <c r="W721" s="130"/>
      <c r="X721" s="135"/>
      <c r="Y721" s="136"/>
      <c r="Z721" s="30"/>
      <c r="AA721" s="31" t="str">
        <f>E715</f>
        <v/>
      </c>
    </row>
    <row r="722" ht="87.0" customHeight="1">
      <c r="A722" s="129"/>
      <c r="B722" s="130"/>
      <c r="C722" s="130"/>
      <c r="D722" s="130"/>
      <c r="E722" s="130"/>
      <c r="F722" s="130"/>
      <c r="G722" s="130"/>
      <c r="H722" s="130"/>
      <c r="I722" s="130"/>
      <c r="J722" s="130"/>
      <c r="K722" s="130"/>
      <c r="L722" s="130"/>
      <c r="M722" s="130"/>
      <c r="N722" s="130"/>
      <c r="O722" s="130"/>
      <c r="P722" s="132"/>
      <c r="Q722" s="134"/>
      <c r="R722" s="134"/>
      <c r="S722" s="134"/>
      <c r="T722" s="135"/>
      <c r="U722" s="135"/>
      <c r="V722" s="135" t="str">
        <f>IFERROR(IF(AA722="SEGURIDAD",OFFSET('PARÁMETROS'!$K$2,MATCH(U722,JC_SE,0),MATCH(T722,CC_SE,0)),
IF(OR(AA722="DSRC/Estratégico",AA722="DSRC/Operativo"),OFFSET('PARÁMETROS'!$K$11,MATCH(U722,JC_DS,0),MATCH(T722,CC_DS,0)),
IF(AA722="SALUD",OFFSET('PARÁMETROS'!$K$29,MATCH(U722,JC_SA,0),MATCH(T722,CC_SA,0)),
IF(AA722="MEDIO AMBIENTE",OFFSET('PARÁMETROS'!$K$20,MATCH(U722,JC_MA,0),MATCH(T722,CC_MA,0)),
IF(AA722="Rel. Gubernamentales",OFFSET('PARÁMETROS'!$K$48,MATCH(U722,JC_G,0),MATCH(T722,CC_G,0)),
IF(AA722="OPERACIONAL",OFFSET('PARÁMETROS'!$K$56,MATCH(U722,JC_OP,0),MATCH(T722,CC_OP,0)),
IF(AA722="FINANCIERO",OFFSET('PARÁMETROS'!$K$56,MATCH(U722,JC_FI,0),MATCH(T722,CC_FI,0)),
OFFSET('PARÁMETROS'!$K$38,MATCH(U722,JC_L,0),MATCH(T722,CC_L,0))))))))),"")</f>
        <v/>
      </c>
      <c r="W722" s="130"/>
      <c r="X722" s="135"/>
      <c r="Y722" s="136"/>
      <c r="Z722" s="30"/>
      <c r="AA722" s="31" t="str">
        <f>E715</f>
        <v/>
      </c>
    </row>
    <row r="723" ht="87.0" customHeight="1">
      <c r="A723" s="129"/>
      <c r="B723" s="130"/>
      <c r="C723" s="130"/>
      <c r="D723" s="130"/>
      <c r="E723" s="130"/>
      <c r="F723" s="130"/>
      <c r="G723" s="130"/>
      <c r="H723" s="130"/>
      <c r="I723" s="130"/>
      <c r="J723" s="130"/>
      <c r="K723" s="130"/>
      <c r="L723" s="130"/>
      <c r="M723" s="130"/>
      <c r="N723" s="130"/>
      <c r="O723" s="130"/>
      <c r="P723" s="132"/>
      <c r="Q723" s="134"/>
      <c r="R723" s="134"/>
      <c r="S723" s="134"/>
      <c r="T723" s="135"/>
      <c r="U723" s="135"/>
      <c r="V723" s="135" t="str">
        <f>IFERROR(IF(AA723="SEGURIDAD",OFFSET('PARÁMETROS'!$K$2,MATCH(U723,JC_SE,0),MATCH(T723,CC_SE,0)),
IF(OR(AA723="DSRC/Estratégico",AA723="DSRC/Operativo"),OFFSET('PARÁMETROS'!$K$11,MATCH(U723,JC_DS,0),MATCH(T723,CC_DS,0)),
IF(AA723="SALUD",OFFSET('PARÁMETROS'!$K$29,MATCH(U723,JC_SA,0),MATCH(T723,CC_SA,0)),
IF(AA723="MEDIO AMBIENTE",OFFSET('PARÁMETROS'!$K$20,MATCH(U723,JC_MA,0),MATCH(T723,CC_MA,0)),
IF(AA723="Rel. Gubernamentales",OFFSET('PARÁMETROS'!$K$48,MATCH(U723,JC_G,0),MATCH(T723,CC_G,0)),
IF(AA723="OPERACIONAL",OFFSET('PARÁMETROS'!$K$56,MATCH(U723,JC_OP,0),MATCH(T723,CC_OP,0)),
IF(AA723="FINANCIERO",OFFSET('PARÁMETROS'!$K$56,MATCH(U723,JC_FI,0),MATCH(T723,CC_FI,0)),
OFFSET('PARÁMETROS'!$K$38,MATCH(U723,JC_L,0),MATCH(T723,CC_L,0))))))))),"")</f>
        <v/>
      </c>
      <c r="W723" s="130"/>
      <c r="X723" s="135"/>
      <c r="Y723" s="136"/>
      <c r="Z723" s="30"/>
      <c r="AA723" s="31" t="str">
        <f>E715</f>
        <v/>
      </c>
    </row>
    <row r="724" ht="87.0" customHeight="1">
      <c r="A724" s="129"/>
      <c r="B724" s="130"/>
      <c r="C724" s="130"/>
      <c r="D724" s="130"/>
      <c r="E724" s="130"/>
      <c r="F724" s="130"/>
      <c r="G724" s="130"/>
      <c r="H724" s="130"/>
      <c r="I724" s="130"/>
      <c r="J724" s="130"/>
      <c r="K724" s="130"/>
      <c r="L724" s="130"/>
      <c r="M724" s="130"/>
      <c r="N724" s="130"/>
      <c r="O724" s="130"/>
      <c r="P724" s="132"/>
      <c r="Q724" s="134"/>
      <c r="R724" s="134"/>
      <c r="S724" s="134"/>
      <c r="T724" s="135"/>
      <c r="U724" s="135"/>
      <c r="V724" s="135" t="str">
        <f>IFERROR(IF(AA724="SEGURIDAD",OFFSET('PARÁMETROS'!$K$2,MATCH(U724,JC_SE,0),MATCH(T724,CC_SE,0)),
IF(OR(AA724="DSRC/Estratégico",AA724="DSRC/Operativo"),OFFSET('PARÁMETROS'!$K$11,MATCH(U724,JC_DS,0),MATCH(T724,CC_DS,0)),
IF(AA724="SALUD",OFFSET('PARÁMETROS'!$K$29,MATCH(U724,JC_SA,0),MATCH(T724,CC_SA,0)),
IF(AA724="MEDIO AMBIENTE",OFFSET('PARÁMETROS'!$K$20,MATCH(U724,JC_MA,0),MATCH(T724,CC_MA,0)),
IF(AA724="Rel. Gubernamentales",OFFSET('PARÁMETROS'!$K$48,MATCH(U724,JC_G,0),MATCH(T724,CC_G,0)),
IF(AA724="OPERACIONAL",OFFSET('PARÁMETROS'!$K$56,MATCH(U724,JC_OP,0),MATCH(T724,CC_OP,0)),
IF(AA724="FINANCIERO",OFFSET('PARÁMETROS'!$K$56,MATCH(U724,JC_FI,0),MATCH(T724,CC_FI,0)),
OFFSET('PARÁMETROS'!$K$38,MATCH(U724,JC_L,0),MATCH(T724,CC_L,0))))))))),"")</f>
        <v/>
      </c>
      <c r="W724" s="130"/>
      <c r="X724" s="135"/>
      <c r="Y724" s="136"/>
      <c r="Z724" s="30"/>
      <c r="AA724" s="31" t="str">
        <f>E715</f>
        <v/>
      </c>
    </row>
    <row r="725" ht="87.0" customHeight="1">
      <c r="A725" s="129"/>
      <c r="B725" s="130"/>
      <c r="C725" s="130"/>
      <c r="D725" s="130"/>
      <c r="E725" s="130"/>
      <c r="F725" s="130"/>
      <c r="G725" s="130"/>
      <c r="H725" s="130"/>
      <c r="I725" s="130"/>
      <c r="J725" s="130"/>
      <c r="K725" s="130"/>
      <c r="L725" s="130"/>
      <c r="M725" s="130"/>
      <c r="N725" s="130"/>
      <c r="O725" s="130"/>
      <c r="P725" s="132"/>
      <c r="Q725" s="134"/>
      <c r="R725" s="134"/>
      <c r="S725" s="134"/>
      <c r="T725" s="135"/>
      <c r="U725" s="135"/>
      <c r="V725" s="135" t="str">
        <f>IFERROR(IF(AA725="SEGURIDAD",OFFSET('PARÁMETROS'!$K$2,MATCH(U725,JC_SE,0),MATCH(T725,CC_SE,0)),
IF(OR(AA725="DSRC/Estratégico",AA725="DSRC/Operativo"),OFFSET('PARÁMETROS'!$K$11,MATCH(U725,JC_DS,0),MATCH(T725,CC_DS,0)),
IF(AA725="SALUD",OFFSET('PARÁMETROS'!$K$29,MATCH(U725,JC_SA,0),MATCH(T725,CC_SA,0)),
IF(AA725="MEDIO AMBIENTE",OFFSET('PARÁMETROS'!$K$20,MATCH(U725,JC_MA,0),MATCH(T725,CC_MA,0)),
IF(AA725="Rel. Gubernamentales",OFFSET('PARÁMETROS'!$K$48,MATCH(U725,JC_G,0),MATCH(T725,CC_G,0)),
IF(AA725="OPERACIONAL",OFFSET('PARÁMETROS'!$K$56,MATCH(U725,JC_OP,0),MATCH(T725,CC_OP,0)),
IF(AA725="FINANCIERO",OFFSET('PARÁMETROS'!$K$56,MATCH(U725,JC_FI,0),MATCH(T725,CC_FI,0)),
OFFSET('PARÁMETROS'!$K$38,MATCH(U725,JC_L,0),MATCH(T725,CC_L,0))))))))),"")</f>
        <v/>
      </c>
      <c r="W725" s="130"/>
      <c r="X725" s="135"/>
      <c r="Y725" s="136"/>
      <c r="Z725" s="30"/>
      <c r="AA725" s="31" t="str">
        <f>E715</f>
        <v/>
      </c>
    </row>
    <row r="726" ht="87.0" customHeight="1">
      <c r="A726" s="129"/>
      <c r="B726" s="130"/>
      <c r="C726" s="130"/>
      <c r="D726" s="130"/>
      <c r="E726" s="130"/>
      <c r="F726" s="130"/>
      <c r="G726" s="130"/>
      <c r="H726" s="130"/>
      <c r="I726" s="130"/>
      <c r="J726" s="130"/>
      <c r="K726" s="130"/>
      <c r="L726" s="130"/>
      <c r="M726" s="130"/>
      <c r="N726" s="130"/>
      <c r="O726" s="130"/>
      <c r="P726" s="132"/>
      <c r="Q726" s="134"/>
      <c r="R726" s="134"/>
      <c r="S726" s="134"/>
      <c r="T726" s="135"/>
      <c r="U726" s="135"/>
      <c r="V726" s="135" t="str">
        <f>IFERROR(IF(AA726="SEGURIDAD",OFFSET('PARÁMETROS'!$K$2,MATCH(U726,JC_SE,0),MATCH(T726,CC_SE,0)),
IF(OR(AA726="DSRC/Estratégico",AA726="DSRC/Operativo"),OFFSET('PARÁMETROS'!$K$11,MATCH(U726,JC_DS,0),MATCH(T726,CC_DS,0)),
IF(AA726="SALUD",OFFSET('PARÁMETROS'!$K$29,MATCH(U726,JC_SA,0),MATCH(T726,CC_SA,0)),
IF(AA726="MEDIO AMBIENTE",OFFSET('PARÁMETROS'!$K$20,MATCH(U726,JC_MA,0),MATCH(T726,CC_MA,0)),
IF(AA726="Rel. Gubernamentales",OFFSET('PARÁMETROS'!$K$48,MATCH(U726,JC_G,0),MATCH(T726,CC_G,0)),
IF(AA726="OPERACIONAL",OFFSET('PARÁMETROS'!$K$56,MATCH(U726,JC_OP,0),MATCH(T726,CC_OP,0)),
IF(AA726="FINANCIERO",OFFSET('PARÁMETROS'!$K$56,MATCH(U726,JC_FI,0),MATCH(T726,CC_FI,0)),
OFFSET('PARÁMETROS'!$K$38,MATCH(U726,JC_L,0),MATCH(T726,CC_L,0))))))))),"")</f>
        <v/>
      </c>
      <c r="W726" s="130"/>
      <c r="X726" s="135"/>
      <c r="Y726" s="136"/>
      <c r="Z726" s="30"/>
      <c r="AA726" s="31" t="str">
        <f>E715</f>
        <v/>
      </c>
    </row>
    <row r="727" ht="87.0" customHeight="1">
      <c r="A727" s="129"/>
      <c r="B727" s="130"/>
      <c r="C727" s="130"/>
      <c r="D727" s="130"/>
      <c r="E727" s="130"/>
      <c r="F727" s="130"/>
      <c r="G727" s="130"/>
      <c r="H727" s="130"/>
      <c r="I727" s="130"/>
      <c r="J727" s="130"/>
      <c r="K727" s="130"/>
      <c r="L727" s="130"/>
      <c r="M727" s="130"/>
      <c r="N727" s="130"/>
      <c r="O727" s="130"/>
      <c r="P727" s="132"/>
      <c r="Q727" s="134"/>
      <c r="R727" s="134"/>
      <c r="S727" s="134"/>
      <c r="T727" s="135"/>
      <c r="U727" s="135"/>
      <c r="V727" s="135" t="str">
        <f>IFERROR(IF(AA727="SEGURIDAD",OFFSET('PARÁMETROS'!$K$2,MATCH(U727,JC_SE,0),MATCH(T727,CC_SE,0)),
IF(OR(AA727="DSRC/Estratégico",AA727="DSRC/Operativo"),OFFSET('PARÁMETROS'!$K$11,MATCH(U727,JC_DS,0),MATCH(T727,CC_DS,0)),
IF(AA727="SALUD",OFFSET('PARÁMETROS'!$K$29,MATCH(U727,JC_SA,0),MATCH(T727,CC_SA,0)),
IF(AA727="MEDIO AMBIENTE",OFFSET('PARÁMETROS'!$K$20,MATCH(U727,JC_MA,0),MATCH(T727,CC_MA,0)),
IF(AA727="Rel. Gubernamentales",OFFSET('PARÁMETROS'!$K$48,MATCH(U727,JC_G,0),MATCH(T727,CC_G,0)),
IF(AA727="OPERACIONAL",OFFSET('PARÁMETROS'!$K$56,MATCH(U727,JC_OP,0),MATCH(T727,CC_OP,0)),
IF(AA727="FINANCIERO",OFFSET('PARÁMETROS'!$K$56,MATCH(U727,JC_FI,0),MATCH(T727,CC_FI,0)),
OFFSET('PARÁMETROS'!$K$38,MATCH(U727,JC_L,0),MATCH(T727,CC_L,0))))))))),"")</f>
        <v/>
      </c>
      <c r="W727" s="130"/>
      <c r="X727" s="135"/>
      <c r="Y727" s="136"/>
      <c r="Z727" s="30"/>
      <c r="AA727" s="31" t="str">
        <f>E715</f>
        <v/>
      </c>
    </row>
    <row r="728" ht="87.0" customHeight="1">
      <c r="A728" s="129"/>
      <c r="B728" s="130"/>
      <c r="C728" s="130"/>
      <c r="D728" s="130"/>
      <c r="E728" s="130"/>
      <c r="F728" s="130"/>
      <c r="G728" s="130"/>
      <c r="H728" s="130"/>
      <c r="I728" s="130"/>
      <c r="J728" s="130"/>
      <c r="K728" s="130"/>
      <c r="L728" s="130"/>
      <c r="M728" s="130"/>
      <c r="N728" s="130"/>
      <c r="O728" s="130"/>
      <c r="P728" s="132"/>
      <c r="Q728" s="134"/>
      <c r="R728" s="134"/>
      <c r="S728" s="134"/>
      <c r="T728" s="135"/>
      <c r="U728" s="135"/>
      <c r="V728" s="135" t="str">
        <f>IFERROR(IF(AA728="SEGURIDAD",OFFSET('PARÁMETROS'!$K$2,MATCH(U728,JC_SE,0),MATCH(T728,CC_SE,0)),
IF(OR(AA728="DSRC/Estratégico",AA728="DSRC/Operativo"),OFFSET('PARÁMETROS'!$K$11,MATCH(U728,JC_DS,0),MATCH(T728,CC_DS,0)),
IF(AA728="SALUD",OFFSET('PARÁMETROS'!$K$29,MATCH(U728,JC_SA,0),MATCH(T728,CC_SA,0)),
IF(AA728="MEDIO AMBIENTE",OFFSET('PARÁMETROS'!$K$20,MATCH(U728,JC_MA,0),MATCH(T728,CC_MA,0)),
IF(AA728="Rel. Gubernamentales",OFFSET('PARÁMETROS'!$K$48,MATCH(U728,JC_G,0),MATCH(T728,CC_G,0)),
IF(AA728="OPERACIONAL",OFFSET('PARÁMETROS'!$K$56,MATCH(U728,JC_OP,0),MATCH(T728,CC_OP,0)),
IF(AA728="FINANCIERO",OFFSET('PARÁMETROS'!$K$56,MATCH(U728,JC_FI,0),MATCH(T728,CC_FI,0)),
OFFSET('PARÁMETROS'!$K$38,MATCH(U728,JC_L,0),MATCH(T728,CC_L,0))))))))),"")</f>
        <v/>
      </c>
      <c r="W728" s="130"/>
      <c r="X728" s="135"/>
      <c r="Y728" s="136"/>
      <c r="Z728" s="30"/>
      <c r="AA728" s="31" t="str">
        <f>E715</f>
        <v/>
      </c>
    </row>
    <row r="729" ht="87.0" customHeight="1">
      <c r="A729" s="129"/>
      <c r="B729" s="130"/>
      <c r="C729" s="130"/>
      <c r="D729" s="130"/>
      <c r="E729" s="130"/>
      <c r="F729" s="130"/>
      <c r="G729" s="130"/>
      <c r="H729" s="130"/>
      <c r="I729" s="130"/>
      <c r="J729" s="130"/>
      <c r="K729" s="130"/>
      <c r="L729" s="130"/>
      <c r="M729" s="130"/>
      <c r="N729" s="130"/>
      <c r="O729" s="130"/>
      <c r="P729" s="132"/>
      <c r="Q729" s="134"/>
      <c r="R729" s="134"/>
      <c r="S729" s="134"/>
      <c r="T729" s="135"/>
      <c r="U729" s="135"/>
      <c r="V729" s="135" t="str">
        <f>IFERROR(IF(AA729="SEGURIDAD",OFFSET('PARÁMETROS'!$K$2,MATCH(U729,JC_SE,0),MATCH(T729,CC_SE,0)),
IF(OR(AA729="DSRC/Estratégico",AA729="DSRC/Operativo"),OFFSET('PARÁMETROS'!$K$11,MATCH(U729,JC_DS,0),MATCH(T729,CC_DS,0)),
IF(AA729="SALUD",OFFSET('PARÁMETROS'!$K$29,MATCH(U729,JC_SA,0),MATCH(T729,CC_SA,0)),
IF(AA729="MEDIO AMBIENTE",OFFSET('PARÁMETROS'!$K$20,MATCH(U729,JC_MA,0),MATCH(T729,CC_MA,0)),
IF(AA729="Rel. Gubernamentales",OFFSET('PARÁMETROS'!$K$48,MATCH(U729,JC_G,0),MATCH(T729,CC_G,0)),
IF(AA729="OPERACIONAL",OFFSET('PARÁMETROS'!$K$56,MATCH(U729,JC_OP,0),MATCH(T729,CC_OP,0)),
IF(AA729="FINANCIERO",OFFSET('PARÁMETROS'!$K$56,MATCH(U729,JC_FI,0),MATCH(T729,CC_FI,0)),
OFFSET('PARÁMETROS'!$K$38,MATCH(U729,JC_L,0),MATCH(T729,CC_L,0))))))))),"")</f>
        <v/>
      </c>
      <c r="W729" s="130"/>
      <c r="X729" s="135"/>
      <c r="Y729" s="136"/>
      <c r="Z729" s="30"/>
      <c r="AA729" s="31" t="str">
        <f>E715</f>
        <v/>
      </c>
    </row>
    <row r="730" ht="87.0" customHeight="1">
      <c r="A730" s="89"/>
      <c r="B730" s="90"/>
      <c r="C730" s="90"/>
      <c r="D730" s="157"/>
      <c r="E730" s="157"/>
      <c r="F730" s="157"/>
      <c r="G730" s="157"/>
      <c r="H730" s="157"/>
      <c r="I730" s="90"/>
      <c r="J730" s="90"/>
      <c r="K730" s="90"/>
      <c r="L730" s="90"/>
      <c r="M730" s="90"/>
      <c r="N730" s="90"/>
      <c r="O730" s="90"/>
      <c r="P730" s="132"/>
      <c r="Q730" s="134"/>
      <c r="R730" s="145"/>
      <c r="S730" s="145"/>
      <c r="T730" s="135"/>
      <c r="U730" s="135"/>
      <c r="V730" s="135" t="str">
        <f>IFERROR(IF(AA730="SEGURIDAD",OFFSET('PARÁMETROS'!$K$2,MATCH(U730,JC_SE,0),MATCH(T730,CC_SE,0)),
IF(OR(AA730="DSRC/Estratégico",AA730="DSRC/Operativo"),OFFSET('PARÁMETROS'!$K$11,MATCH(U730,JC_DS,0),MATCH(T730,CC_DS,0)),
IF(AA730="SALUD",OFFSET('PARÁMETROS'!$K$29,MATCH(U730,JC_SA,0),MATCH(T730,CC_SA,0)),
IF(AA730="MEDIO AMBIENTE",OFFSET('PARÁMETROS'!$K$20,MATCH(U730,JC_MA,0),MATCH(T730,CC_MA,0)),
IF(AA730="Rel. Gubernamentales",OFFSET('PARÁMETROS'!$K$48,MATCH(U730,JC_G,0),MATCH(T730,CC_G,0)),
IF(AA730="OPERACIONAL",OFFSET('PARÁMETROS'!$K$56,MATCH(U730,JC_OP,0),MATCH(T730,CC_OP,0)),
IF(AA730="FINANCIERO",OFFSET('PARÁMETROS'!$K$56,MATCH(U730,JC_FI,0),MATCH(T730,CC_FI,0)),
OFFSET('PARÁMETROS'!$K$38,MATCH(U730,JC_L,0),MATCH(T730,CC_L,0))))))))),"")</f>
        <v/>
      </c>
      <c r="W730" s="90"/>
      <c r="X730" s="135"/>
      <c r="Y730" s="136"/>
      <c r="Z730" s="30"/>
      <c r="AA730" s="31" t="str">
        <f>E715</f>
        <v/>
      </c>
    </row>
    <row r="731" ht="87.0" customHeight="1">
      <c r="A731" s="102"/>
      <c r="B731" s="103"/>
      <c r="C731" s="103"/>
      <c r="D731" s="103"/>
      <c r="E731" s="103"/>
      <c r="F731" s="103"/>
      <c r="G731" s="105"/>
      <c r="H731" s="103"/>
      <c r="I731" s="105"/>
      <c r="J731" s="103"/>
      <c r="K731" s="103"/>
      <c r="L731" s="103" t="str">
        <f>IF(OR(J731&lt;&gt;"",K731&lt;&gt;""),OFFSET('PARÁMETROS'!$B$2,K731,J731),"")</f>
        <v/>
      </c>
      <c r="M731" s="103"/>
      <c r="N731" s="103">
        <f>IFERROR(L731*M731,"")</f>
        <v>0</v>
      </c>
      <c r="O731" s="108" t="str">
        <f>IF(N731="","",IFERROR(IF(N731&lt;=2,"ACEPTABLE",IF(N731&lt;=6,"BAJA",IF(N731&lt;=10,"ACEPTABLE CON REVISIÓN",IF(N731&lt;=15,"SUSTANCIAL","INACEPTABLE")))),""))</f>
        <v>ACEPTABLE</v>
      </c>
      <c r="P731" s="113"/>
      <c r="Q731" s="114"/>
      <c r="R731" s="114"/>
      <c r="S731" s="114"/>
      <c r="T731" s="115"/>
      <c r="U731" s="115"/>
      <c r="V731" s="115" t="str">
        <f>IFERROR(IF(AA731="SEGURIDAD",OFFSET('PARÁMETROS'!$K$2,MATCH(U731,JC_SE,0),MATCH(T731,CC_SE,0)),
IF(OR(AA731="DSRC/Estratégico",AA731="DSRC/Operativo"),OFFSET('PARÁMETROS'!$K$11,MATCH(U731,JC_DS,0),MATCH(T731,CC_DS,0)),
IF(AA731="SALUD",OFFSET('PARÁMETROS'!$K$29,MATCH(U731,JC_SA,0),MATCH(T731,CC_SA,0)),
IF(AA731="MEDIO AMBIENTE",OFFSET('PARÁMETROS'!$K$20,MATCH(U731,JC_MA,0),MATCH(T731,CC_MA,0)),
IF(AA731="Rel. Gubernamentales",OFFSET('PARÁMETROS'!$K$48,MATCH(U731,JC_G,0),MATCH(T731,CC_G,0)),
IF(AA731="OPERACIONAL",OFFSET('PARÁMETROS'!$K$56,MATCH(U731,JC_OP,0),MATCH(T731,CC_OP,0)),
IF(AA731="FINANCIERO",OFFSET('PARÁMETROS'!$K$56,MATCH(U731,JC_FI,0),MATCH(T731,CC_FI,0)),
OFFSET('PARÁMETROS'!$K$38,MATCH(U731,JC_L,0),MATCH(T731,CC_L,0))))))))),"")</f>
        <v/>
      </c>
      <c r="W731" s="108" t="str">
        <f>IF(E731="","",
IF(COUNTA(V731:V746)-COUNTBLANK(V731:V746)=1,
IF(O731="INACEPTABLE",IF(COUNTIF(V731:V746,"Control/Acción Eficaz")&gt;=1,"SUSTANCIAL","INACEPTABLE"),
IF(O731="SUSTANCIAL",IF(COUNTIF(V731:V746,"Control/Acción Eficaz")&gt;=1,"ACEPTABLE CON REVISIÓN","SUSTANCIAL"),
IF(O731="ACEPTABLE CON REVISIÓN",IF(COUNTIF(V731:V746,"Control/Acción Eficaz")&gt;=1,"BAJA","ACEPTABLE CON REVISIÓN"),
IF(O731="BAJA",IF(COUNTIF(V731:V746,"Control/Acción Eficaz")&gt;=1,"ACEPTABLE","BAJA"),)))),
IF(COUNTA(V731:V746)-COUNTBLANK(V731:V746)=2,
IF(O731="INACEPTABLE",IF(COUNTIF(V731:V746,"Control/Acción Eficaz")=2,"ACEPTABLE CON REVISIÓN",
IF(OR(AND(COUNTIF(V731:V746,"Control/Acción Eficaz")=1,COUNTIF(V731:V746,"Control/Acción Satisfactorio")=1),
AND(COUNTIF(V731:V746,"Control/Acción Eficaz")=1,COUNTIF(V731:V746,"Control/Acción No Eficaz")=1)),"SUSTANCIAL","INACEPTABLE")),
IF(O731="SUSTANCIAL",IF(COUNTIF(V731:V746,"Control/Acción Eficaz")=2,"BAJA",
IF(OR(AND(COUNTIF(V731:V746,"Control/Acción Eficaz")=1,COUNTIF(V731:V746,"Control/Acción Satisfactorio")=1),
AND(COUNTIF(V731:V746,"Control/Acción Eficaz")=1,COUNTIF(V731:V746,"Control/Acción No Eficaz")=1)),"ACEPTABLE CON REVISIÓN ","SUSTANCIAL")),
IF(O731="ACEPTABLE CON REVISIÓN",IF(COUNTIF(V731:V746,"Control/Acción Eficaz")=2,"ACEPTABLE",
IF(OR(AND(COUNTIF(V731:V746,"Control/Acción Eficaz")=1,COUNTIF(V731:V746,"Control/Acción Satisfactorio")=1),
AND(COUNTIF(V731:V746,"Control/Acción Eficaz")=1,COUNTIF(V731:V746,"Control/Acción No Eficaz")=1)),"BAJA","ACEPTABLE CON REVISIÓN")),
IF(O731="BAJA",IF(COUNTIF(V731:V746,"Control/Acción Eficaz")&gt;=2,"ACEPTABLE","BAJA"),)))),
IF(COUNTA(V731:V746)-COUNTBLANK(V731:V746)&gt;=3,
IF(O731="INACEPTABLE",
IF(COUNTBLANK(V731:V746)=COUNTA(V731:V746),"",
IF(COUNTIF(V731:V746,"Control/Acción No Eficaz")&gt;=2,"INACEPTABLE",
IF(AND(COUNTIF(V731:V746,"Control/Acción No Eficaz")=0,COUNTIF(V731:V746,"Control/Acción Eficaz")&gt;=2),"ACEPTABLE CON REVISIÓN ","SUSTANCIAL"))),
IF(O731="SUSTANCIAL",
IF(COUNTBLANK(V731:V746)=COUNTA(V731:V746),"",
IF(COUNTIF(V731:V746,"Control/Acción No Eficaz")&gt;=2,"SUSTANCIAL",
IF(AND(COUNTIF(V731:V746,"Control/Acción No Eficaz")=0,COUNTIF(V731:V746,"Control/Acción Eficaz")&gt;=2),"BAJA","ACEPTABLE CON REVISIÓN"))),
IF(O731="ACEPTABLE CON REVISIÓN",
IF(COUNTBLANK(V731:V746)=COUNTA(V731:V746),"",
IF(COUNTIF(V731:V746,"Control/Acción No Eficaz")&gt;=2,"ACEPTABLE CON REVISIÓN",
IF(AND(COUNTIF(V731:V746,"Control/Acción No Eficaz")=0,COUNTIF(V731:V746,"Control/Acción Eficaz")&gt;=2),"ACEPTABLE","BAJA"))),
IF(O731="BAJA",
IF(COUNTBLANK(V731:V746)=COUNTA(V731:V746),"",
IF(AND(COUNTBLANK(V731:V746)&lt;1,COUNTA(V731:V746)=1),
IF(COUNTIF(V731:V746,"Control/Acción No Eficaz")&gt;=2,"BAJA",
IF(AND(COUNTIF(V731:V746,"Control/Acción No Eficaz")=0,COUNTIF(V731:V746,"Control/Acción Eficaz")&gt;=2),"ACEPTABLE","BAJA")),
IF(COUNTIF(V731:V746,"Control/Acción No Eficaz")&gt;=2,"BAJA",
IF(AND(COUNTIF(V731:V746,"Control/Acción No Eficaz")=0,COUNTIF(V731:V746,"Control/Acción Eficaz")&gt;=2),"ACEPTABLE","BAJA")))),
IF(COUNTIF(V731:V746,"")&gt;=5,"",O731))))),
""))))</f>
        <v/>
      </c>
      <c r="X731" s="115"/>
      <c r="Y731" s="128"/>
      <c r="Z731" s="30"/>
      <c r="AA731" s="31" t="str">
        <f>E731</f>
        <v/>
      </c>
    </row>
    <row r="732" ht="87.0" customHeight="1">
      <c r="A732" s="129"/>
      <c r="B732" s="130"/>
      <c r="C732" s="130"/>
      <c r="D732" s="130"/>
      <c r="E732" s="130"/>
      <c r="F732" s="130"/>
      <c r="G732" s="130"/>
      <c r="H732" s="130"/>
      <c r="I732" s="130"/>
      <c r="J732" s="130"/>
      <c r="K732" s="130"/>
      <c r="L732" s="130"/>
      <c r="M732" s="130"/>
      <c r="N732" s="130"/>
      <c r="O732" s="130"/>
      <c r="P732" s="132"/>
      <c r="Q732" s="134"/>
      <c r="R732" s="134"/>
      <c r="S732" s="134"/>
      <c r="T732" s="135"/>
      <c r="U732" s="135"/>
      <c r="V732" s="135" t="str">
        <f>IFERROR(IF(AA732="SEGURIDAD",OFFSET('PARÁMETROS'!$K$2,MATCH(U732,JC_SE,0),MATCH(T732,CC_SE,0)),
IF(OR(AA732="DSRC/Estratégico",AA732="DSRC/Operativo"),OFFSET('PARÁMETROS'!$K$11,MATCH(U732,JC_DS,0),MATCH(T732,CC_DS,0)),
IF(AA732="SALUD",OFFSET('PARÁMETROS'!$K$29,MATCH(U732,JC_SA,0),MATCH(T732,CC_SA,0)),
IF(AA732="MEDIO AMBIENTE",OFFSET('PARÁMETROS'!$K$20,MATCH(U732,JC_MA,0),MATCH(T732,CC_MA,0)),
IF(AA732="Rel. Gubernamentales",OFFSET('PARÁMETROS'!$K$48,MATCH(U732,JC_G,0),MATCH(T732,CC_G,0)),
IF(AA732="OPERACIONAL",OFFSET('PARÁMETROS'!$K$56,MATCH(U732,JC_OP,0),MATCH(T732,CC_OP,0)),
IF(AA732="FINANCIERO",OFFSET('PARÁMETROS'!$K$56,MATCH(U732,JC_FI,0),MATCH(T732,CC_FI,0)),
OFFSET('PARÁMETROS'!$K$38,MATCH(U732,JC_L,0),MATCH(T732,CC_L,0))))))))),"")</f>
        <v/>
      </c>
      <c r="W732" s="130"/>
      <c r="X732" s="135"/>
      <c r="Y732" s="136"/>
      <c r="Z732" s="30"/>
      <c r="AA732" s="31" t="str">
        <f>E731</f>
        <v/>
      </c>
    </row>
    <row r="733" ht="87.0" customHeight="1">
      <c r="A733" s="129"/>
      <c r="B733" s="130"/>
      <c r="C733" s="130"/>
      <c r="D733" s="130"/>
      <c r="E733" s="130"/>
      <c r="F733" s="130"/>
      <c r="G733" s="130"/>
      <c r="H733" s="130"/>
      <c r="I733" s="130"/>
      <c r="J733" s="130"/>
      <c r="K733" s="130"/>
      <c r="L733" s="130"/>
      <c r="M733" s="130"/>
      <c r="N733" s="130"/>
      <c r="O733" s="130"/>
      <c r="P733" s="132"/>
      <c r="Q733" s="134"/>
      <c r="R733" s="134"/>
      <c r="S733" s="134"/>
      <c r="T733" s="135"/>
      <c r="U733" s="135"/>
      <c r="V733" s="135" t="str">
        <f>IFERROR(IF(AA733="SEGURIDAD",OFFSET('PARÁMETROS'!$K$2,MATCH(U733,JC_SE,0),MATCH(T733,CC_SE,0)),
IF(OR(AA733="DSRC/Estratégico",AA733="DSRC/Operativo"),OFFSET('PARÁMETROS'!$K$11,MATCH(U733,JC_DS,0),MATCH(T733,CC_DS,0)),
IF(AA733="SALUD",OFFSET('PARÁMETROS'!$K$29,MATCH(U733,JC_SA,0),MATCH(T733,CC_SA,0)),
IF(AA733="MEDIO AMBIENTE",OFFSET('PARÁMETROS'!$K$20,MATCH(U733,JC_MA,0),MATCH(T733,CC_MA,0)),
IF(AA733="Rel. Gubernamentales",OFFSET('PARÁMETROS'!$K$48,MATCH(U733,JC_G,0),MATCH(T733,CC_G,0)),
IF(AA733="OPERACIONAL",OFFSET('PARÁMETROS'!$K$56,MATCH(U733,JC_OP,0),MATCH(T733,CC_OP,0)),
IF(AA733="FINANCIERO",OFFSET('PARÁMETROS'!$K$56,MATCH(U733,JC_FI,0),MATCH(T733,CC_FI,0)),
OFFSET('PARÁMETROS'!$K$38,MATCH(U733,JC_L,0),MATCH(T733,CC_L,0))))))))),"")</f>
        <v/>
      </c>
      <c r="W733" s="130"/>
      <c r="X733" s="135"/>
      <c r="Y733" s="136"/>
      <c r="Z733" s="30"/>
      <c r="AA733" s="31" t="str">
        <f>E731</f>
        <v/>
      </c>
    </row>
    <row r="734" ht="87.0" customHeight="1">
      <c r="A734" s="129"/>
      <c r="B734" s="130"/>
      <c r="C734" s="130"/>
      <c r="D734" s="130"/>
      <c r="E734" s="130"/>
      <c r="F734" s="130"/>
      <c r="G734" s="130"/>
      <c r="H734" s="130"/>
      <c r="I734" s="130"/>
      <c r="J734" s="130"/>
      <c r="K734" s="130"/>
      <c r="L734" s="130"/>
      <c r="M734" s="130"/>
      <c r="N734" s="130"/>
      <c r="O734" s="130"/>
      <c r="P734" s="132"/>
      <c r="Q734" s="134"/>
      <c r="R734" s="134"/>
      <c r="S734" s="134"/>
      <c r="T734" s="135"/>
      <c r="U734" s="135"/>
      <c r="V734" s="135" t="str">
        <f>IFERROR(IF(AA734="SEGURIDAD",OFFSET('PARÁMETROS'!$K$2,MATCH(U734,JC_SE,0),MATCH(T734,CC_SE,0)),
IF(OR(AA734="DSRC/Estratégico",AA734="DSRC/Operativo"),OFFSET('PARÁMETROS'!$K$11,MATCH(U734,JC_DS,0),MATCH(T734,CC_DS,0)),
IF(AA734="SALUD",OFFSET('PARÁMETROS'!$K$29,MATCH(U734,JC_SA,0),MATCH(T734,CC_SA,0)),
IF(AA734="MEDIO AMBIENTE",OFFSET('PARÁMETROS'!$K$20,MATCH(U734,JC_MA,0),MATCH(T734,CC_MA,0)),
IF(AA734="Rel. Gubernamentales",OFFSET('PARÁMETROS'!$K$48,MATCH(U734,JC_G,0),MATCH(T734,CC_G,0)),
IF(AA734="OPERACIONAL",OFFSET('PARÁMETROS'!$K$56,MATCH(U734,JC_OP,0),MATCH(T734,CC_OP,0)),
IF(AA734="FINANCIERO",OFFSET('PARÁMETROS'!$K$56,MATCH(U734,JC_FI,0),MATCH(T734,CC_FI,0)),
OFFSET('PARÁMETROS'!$K$38,MATCH(U734,JC_L,0),MATCH(T734,CC_L,0))))))))),"")</f>
        <v/>
      </c>
      <c r="W734" s="130"/>
      <c r="X734" s="135"/>
      <c r="Y734" s="136"/>
      <c r="Z734" s="30"/>
      <c r="AA734" s="31" t="str">
        <f>E731</f>
        <v/>
      </c>
    </row>
    <row r="735" ht="87.0" customHeight="1">
      <c r="A735" s="129"/>
      <c r="B735" s="130"/>
      <c r="C735" s="130"/>
      <c r="D735" s="130"/>
      <c r="E735" s="130"/>
      <c r="F735" s="130"/>
      <c r="G735" s="130"/>
      <c r="H735" s="130"/>
      <c r="I735" s="130"/>
      <c r="J735" s="130"/>
      <c r="K735" s="130"/>
      <c r="L735" s="130"/>
      <c r="M735" s="130"/>
      <c r="N735" s="130"/>
      <c r="O735" s="130"/>
      <c r="P735" s="132"/>
      <c r="Q735" s="134"/>
      <c r="R735" s="134"/>
      <c r="S735" s="134"/>
      <c r="T735" s="135"/>
      <c r="U735" s="135"/>
      <c r="V735" s="135" t="str">
        <f>IFERROR(IF(AA735="SEGURIDAD",OFFSET('PARÁMETROS'!$K$2,MATCH(U735,JC_SE,0),MATCH(T735,CC_SE,0)),
IF(OR(AA735="DSRC/Estratégico",AA735="DSRC/Operativo"),OFFSET('PARÁMETROS'!$K$11,MATCH(U735,JC_DS,0),MATCH(T735,CC_DS,0)),
IF(AA735="SALUD",OFFSET('PARÁMETROS'!$K$29,MATCH(U735,JC_SA,0),MATCH(T735,CC_SA,0)),
IF(AA735="MEDIO AMBIENTE",OFFSET('PARÁMETROS'!$K$20,MATCH(U735,JC_MA,0),MATCH(T735,CC_MA,0)),
IF(AA735="Rel. Gubernamentales",OFFSET('PARÁMETROS'!$K$48,MATCH(U735,JC_G,0),MATCH(T735,CC_G,0)),
IF(AA735="OPERACIONAL",OFFSET('PARÁMETROS'!$K$56,MATCH(U735,JC_OP,0),MATCH(T735,CC_OP,0)),
IF(AA735="FINANCIERO",OFFSET('PARÁMETROS'!$K$56,MATCH(U735,JC_FI,0),MATCH(T735,CC_FI,0)),
OFFSET('PARÁMETROS'!$K$38,MATCH(U735,JC_L,0),MATCH(T735,CC_L,0))))))))),"")</f>
        <v/>
      </c>
      <c r="W735" s="130"/>
      <c r="X735" s="135"/>
      <c r="Y735" s="136"/>
      <c r="Z735" s="30"/>
      <c r="AA735" s="31" t="str">
        <f>E731</f>
        <v/>
      </c>
    </row>
    <row r="736" ht="87.0" customHeight="1">
      <c r="A736" s="129"/>
      <c r="B736" s="130"/>
      <c r="C736" s="130"/>
      <c r="D736" s="130"/>
      <c r="E736" s="130"/>
      <c r="F736" s="130"/>
      <c r="G736" s="130"/>
      <c r="H736" s="130"/>
      <c r="I736" s="130"/>
      <c r="J736" s="130"/>
      <c r="K736" s="130"/>
      <c r="L736" s="130"/>
      <c r="M736" s="130"/>
      <c r="N736" s="130"/>
      <c r="O736" s="130"/>
      <c r="P736" s="132"/>
      <c r="Q736" s="134"/>
      <c r="R736" s="134"/>
      <c r="S736" s="134"/>
      <c r="T736" s="135"/>
      <c r="U736" s="135"/>
      <c r="V736" s="135" t="str">
        <f>IFERROR(IF(AA736="SEGURIDAD",OFFSET('PARÁMETROS'!$K$2,MATCH(U736,JC_SE,0),MATCH(T736,CC_SE,0)),
IF(OR(AA736="DSRC/Estratégico",AA736="DSRC/Operativo"),OFFSET('PARÁMETROS'!$K$11,MATCH(U736,JC_DS,0),MATCH(T736,CC_DS,0)),
IF(AA736="SALUD",OFFSET('PARÁMETROS'!$K$29,MATCH(U736,JC_SA,0),MATCH(T736,CC_SA,0)),
IF(AA736="MEDIO AMBIENTE",OFFSET('PARÁMETROS'!$K$20,MATCH(U736,JC_MA,0),MATCH(T736,CC_MA,0)),
IF(AA736="Rel. Gubernamentales",OFFSET('PARÁMETROS'!$K$48,MATCH(U736,JC_G,0),MATCH(T736,CC_G,0)),
IF(AA736="OPERACIONAL",OFFSET('PARÁMETROS'!$K$56,MATCH(U736,JC_OP,0),MATCH(T736,CC_OP,0)),
IF(AA736="FINANCIERO",OFFSET('PARÁMETROS'!$K$56,MATCH(U736,JC_FI,0),MATCH(T736,CC_FI,0)),
OFFSET('PARÁMETROS'!$K$38,MATCH(U736,JC_L,0),MATCH(T736,CC_L,0))))))))),"")</f>
        <v/>
      </c>
      <c r="W736" s="130"/>
      <c r="X736" s="135"/>
      <c r="Y736" s="136"/>
      <c r="Z736" s="30"/>
      <c r="AA736" s="31" t="str">
        <f>E731</f>
        <v/>
      </c>
    </row>
    <row r="737" ht="87.0" customHeight="1">
      <c r="A737" s="129"/>
      <c r="B737" s="130"/>
      <c r="C737" s="130"/>
      <c r="D737" s="130"/>
      <c r="E737" s="130"/>
      <c r="F737" s="130"/>
      <c r="G737" s="130"/>
      <c r="H737" s="130"/>
      <c r="I737" s="130"/>
      <c r="J737" s="130"/>
      <c r="K737" s="130"/>
      <c r="L737" s="130"/>
      <c r="M737" s="130"/>
      <c r="N737" s="130"/>
      <c r="O737" s="130"/>
      <c r="P737" s="132"/>
      <c r="Q737" s="134"/>
      <c r="R737" s="134"/>
      <c r="S737" s="134"/>
      <c r="T737" s="135"/>
      <c r="U737" s="135"/>
      <c r="V737" s="135" t="str">
        <f>IFERROR(IF(AA737="SEGURIDAD",OFFSET('PARÁMETROS'!$K$2,MATCH(U737,JC_SE,0),MATCH(T737,CC_SE,0)),
IF(OR(AA737="DSRC/Estratégico",AA737="DSRC/Operativo"),OFFSET('PARÁMETROS'!$K$11,MATCH(U737,JC_DS,0),MATCH(T737,CC_DS,0)),
IF(AA737="SALUD",OFFSET('PARÁMETROS'!$K$29,MATCH(U737,JC_SA,0),MATCH(T737,CC_SA,0)),
IF(AA737="MEDIO AMBIENTE",OFFSET('PARÁMETROS'!$K$20,MATCH(U737,JC_MA,0),MATCH(T737,CC_MA,0)),
IF(AA737="Rel. Gubernamentales",OFFSET('PARÁMETROS'!$K$48,MATCH(U737,JC_G,0),MATCH(T737,CC_G,0)),
IF(AA737="OPERACIONAL",OFFSET('PARÁMETROS'!$K$56,MATCH(U737,JC_OP,0),MATCH(T737,CC_OP,0)),
IF(AA737="FINANCIERO",OFFSET('PARÁMETROS'!$K$56,MATCH(U737,JC_FI,0),MATCH(T737,CC_FI,0)),
OFFSET('PARÁMETROS'!$K$38,MATCH(U737,JC_L,0),MATCH(T737,CC_L,0))))))))),"")</f>
        <v/>
      </c>
      <c r="W737" s="130"/>
      <c r="X737" s="135"/>
      <c r="Y737" s="136"/>
      <c r="Z737" s="30"/>
      <c r="AA737" s="31" t="str">
        <f>E731</f>
        <v/>
      </c>
    </row>
    <row r="738" ht="87.0" customHeight="1">
      <c r="A738" s="129"/>
      <c r="B738" s="130"/>
      <c r="C738" s="130"/>
      <c r="D738" s="130"/>
      <c r="E738" s="130"/>
      <c r="F738" s="130"/>
      <c r="G738" s="130"/>
      <c r="H738" s="130"/>
      <c r="I738" s="130"/>
      <c r="J738" s="130"/>
      <c r="K738" s="130"/>
      <c r="L738" s="130"/>
      <c r="M738" s="130"/>
      <c r="N738" s="130"/>
      <c r="O738" s="130"/>
      <c r="P738" s="132"/>
      <c r="Q738" s="134"/>
      <c r="R738" s="134"/>
      <c r="S738" s="134"/>
      <c r="T738" s="135"/>
      <c r="U738" s="135"/>
      <c r="V738" s="135" t="str">
        <f>IFERROR(IF(AA738="SEGURIDAD",OFFSET('PARÁMETROS'!$K$2,MATCH(U738,JC_SE,0),MATCH(T738,CC_SE,0)),
IF(OR(AA738="DSRC/Estratégico",AA738="DSRC/Operativo"),OFFSET('PARÁMETROS'!$K$11,MATCH(U738,JC_DS,0),MATCH(T738,CC_DS,0)),
IF(AA738="SALUD",OFFSET('PARÁMETROS'!$K$29,MATCH(U738,JC_SA,0),MATCH(T738,CC_SA,0)),
IF(AA738="MEDIO AMBIENTE",OFFSET('PARÁMETROS'!$K$20,MATCH(U738,JC_MA,0),MATCH(T738,CC_MA,0)),
IF(AA738="Rel. Gubernamentales",OFFSET('PARÁMETROS'!$K$48,MATCH(U738,JC_G,0),MATCH(T738,CC_G,0)),
IF(AA738="OPERACIONAL",OFFSET('PARÁMETROS'!$K$56,MATCH(U738,JC_OP,0),MATCH(T738,CC_OP,0)),
IF(AA738="FINANCIERO",OFFSET('PARÁMETROS'!$K$56,MATCH(U738,JC_FI,0),MATCH(T738,CC_FI,0)),
OFFSET('PARÁMETROS'!$K$38,MATCH(U738,JC_L,0),MATCH(T738,CC_L,0))))))))),"")</f>
        <v/>
      </c>
      <c r="W738" s="130"/>
      <c r="X738" s="135"/>
      <c r="Y738" s="136"/>
      <c r="Z738" s="30"/>
      <c r="AA738" s="31" t="str">
        <f>E731</f>
        <v/>
      </c>
    </row>
    <row r="739" ht="87.0" customHeight="1">
      <c r="A739" s="129"/>
      <c r="B739" s="130"/>
      <c r="C739" s="130"/>
      <c r="D739" s="130"/>
      <c r="E739" s="130"/>
      <c r="F739" s="130"/>
      <c r="G739" s="130"/>
      <c r="H739" s="130"/>
      <c r="I739" s="130"/>
      <c r="J739" s="130"/>
      <c r="K739" s="130"/>
      <c r="L739" s="130"/>
      <c r="M739" s="130"/>
      <c r="N739" s="130"/>
      <c r="O739" s="130"/>
      <c r="P739" s="132"/>
      <c r="Q739" s="134"/>
      <c r="R739" s="134"/>
      <c r="S739" s="134"/>
      <c r="T739" s="135"/>
      <c r="U739" s="135"/>
      <c r="V739" s="135" t="str">
        <f>IFERROR(IF(AA739="SEGURIDAD",OFFSET('PARÁMETROS'!$K$2,MATCH(U739,JC_SE,0),MATCH(T739,CC_SE,0)),
IF(OR(AA739="DSRC/Estratégico",AA739="DSRC/Operativo"),OFFSET('PARÁMETROS'!$K$11,MATCH(U739,JC_DS,0),MATCH(T739,CC_DS,0)),
IF(AA739="SALUD",OFFSET('PARÁMETROS'!$K$29,MATCH(U739,JC_SA,0),MATCH(T739,CC_SA,0)),
IF(AA739="MEDIO AMBIENTE",OFFSET('PARÁMETROS'!$K$20,MATCH(U739,JC_MA,0),MATCH(T739,CC_MA,0)),
IF(AA739="Rel. Gubernamentales",OFFSET('PARÁMETROS'!$K$48,MATCH(U739,JC_G,0),MATCH(T739,CC_G,0)),
IF(AA739="OPERACIONAL",OFFSET('PARÁMETROS'!$K$56,MATCH(U739,JC_OP,0),MATCH(T739,CC_OP,0)),
IF(AA739="FINANCIERO",OFFSET('PARÁMETROS'!$K$56,MATCH(U739,JC_FI,0),MATCH(T739,CC_FI,0)),
OFFSET('PARÁMETROS'!$K$38,MATCH(U739,JC_L,0),MATCH(T739,CC_L,0))))))))),"")</f>
        <v/>
      </c>
      <c r="W739" s="130"/>
      <c r="X739" s="135"/>
      <c r="Y739" s="136"/>
      <c r="Z739" s="30"/>
      <c r="AA739" s="31" t="str">
        <f>E731</f>
        <v/>
      </c>
    </row>
    <row r="740" ht="87.0" customHeight="1">
      <c r="A740" s="129"/>
      <c r="B740" s="130"/>
      <c r="C740" s="130"/>
      <c r="D740" s="130"/>
      <c r="E740" s="130"/>
      <c r="F740" s="130"/>
      <c r="G740" s="130"/>
      <c r="H740" s="130"/>
      <c r="I740" s="130"/>
      <c r="J740" s="130"/>
      <c r="K740" s="130"/>
      <c r="L740" s="130"/>
      <c r="M740" s="130"/>
      <c r="N740" s="130"/>
      <c r="O740" s="130"/>
      <c r="P740" s="132"/>
      <c r="Q740" s="134"/>
      <c r="R740" s="134"/>
      <c r="S740" s="134"/>
      <c r="T740" s="135"/>
      <c r="U740" s="135"/>
      <c r="V740" s="135" t="str">
        <f>IFERROR(IF(AA740="SEGURIDAD",OFFSET('PARÁMETROS'!$K$2,MATCH(U740,JC_SE,0),MATCH(T740,CC_SE,0)),
IF(OR(AA740="DSRC/Estratégico",AA740="DSRC/Operativo"),OFFSET('PARÁMETROS'!$K$11,MATCH(U740,JC_DS,0),MATCH(T740,CC_DS,0)),
IF(AA740="SALUD",OFFSET('PARÁMETROS'!$K$29,MATCH(U740,JC_SA,0),MATCH(T740,CC_SA,0)),
IF(AA740="MEDIO AMBIENTE",OFFSET('PARÁMETROS'!$K$20,MATCH(U740,JC_MA,0),MATCH(T740,CC_MA,0)),
IF(AA740="Rel. Gubernamentales",OFFSET('PARÁMETROS'!$K$48,MATCH(U740,JC_G,0),MATCH(T740,CC_G,0)),
IF(AA740="OPERACIONAL",OFFSET('PARÁMETROS'!$K$56,MATCH(U740,JC_OP,0),MATCH(T740,CC_OP,0)),
IF(AA740="FINANCIERO",OFFSET('PARÁMETROS'!$K$56,MATCH(U740,JC_FI,0),MATCH(T740,CC_FI,0)),
OFFSET('PARÁMETROS'!$K$38,MATCH(U740,JC_L,0),MATCH(T740,CC_L,0))))))))),"")</f>
        <v/>
      </c>
      <c r="W740" s="130"/>
      <c r="X740" s="135"/>
      <c r="Y740" s="136"/>
      <c r="Z740" s="30"/>
      <c r="AA740" s="31" t="str">
        <f>E731</f>
        <v/>
      </c>
    </row>
    <row r="741" ht="87.0" customHeight="1">
      <c r="A741" s="129"/>
      <c r="B741" s="130"/>
      <c r="C741" s="130"/>
      <c r="D741" s="130"/>
      <c r="E741" s="130"/>
      <c r="F741" s="130"/>
      <c r="G741" s="130"/>
      <c r="H741" s="130"/>
      <c r="I741" s="130"/>
      <c r="J741" s="130"/>
      <c r="K741" s="130"/>
      <c r="L741" s="130"/>
      <c r="M741" s="130"/>
      <c r="N741" s="130"/>
      <c r="O741" s="130"/>
      <c r="P741" s="132"/>
      <c r="Q741" s="134"/>
      <c r="R741" s="134"/>
      <c r="S741" s="134"/>
      <c r="T741" s="135"/>
      <c r="U741" s="135"/>
      <c r="V741" s="135" t="str">
        <f>IFERROR(IF(AA741="SEGURIDAD",OFFSET('PARÁMETROS'!$K$2,MATCH(U741,JC_SE,0),MATCH(T741,CC_SE,0)),
IF(OR(AA741="DSRC/Estratégico",AA741="DSRC/Operativo"),OFFSET('PARÁMETROS'!$K$11,MATCH(U741,JC_DS,0),MATCH(T741,CC_DS,0)),
IF(AA741="SALUD",OFFSET('PARÁMETROS'!$K$29,MATCH(U741,JC_SA,0),MATCH(T741,CC_SA,0)),
IF(AA741="MEDIO AMBIENTE",OFFSET('PARÁMETROS'!$K$20,MATCH(U741,JC_MA,0),MATCH(T741,CC_MA,0)),
IF(AA741="Rel. Gubernamentales",OFFSET('PARÁMETROS'!$K$48,MATCH(U741,JC_G,0),MATCH(T741,CC_G,0)),
IF(AA741="OPERACIONAL",OFFSET('PARÁMETROS'!$K$56,MATCH(U741,JC_OP,0),MATCH(T741,CC_OP,0)),
IF(AA741="FINANCIERO",OFFSET('PARÁMETROS'!$K$56,MATCH(U741,JC_FI,0),MATCH(T741,CC_FI,0)),
OFFSET('PARÁMETROS'!$K$38,MATCH(U741,JC_L,0),MATCH(T741,CC_L,0))))))))),"")</f>
        <v/>
      </c>
      <c r="W741" s="130"/>
      <c r="X741" s="135"/>
      <c r="Y741" s="136"/>
      <c r="Z741" s="30"/>
      <c r="AA741" s="31" t="str">
        <f>E731</f>
        <v/>
      </c>
    </row>
    <row r="742" ht="87.0" customHeight="1">
      <c r="A742" s="129"/>
      <c r="B742" s="130"/>
      <c r="C742" s="130"/>
      <c r="D742" s="130"/>
      <c r="E742" s="130"/>
      <c r="F742" s="130"/>
      <c r="G742" s="130"/>
      <c r="H742" s="130"/>
      <c r="I742" s="130"/>
      <c r="J742" s="130"/>
      <c r="K742" s="130"/>
      <c r="L742" s="130"/>
      <c r="M742" s="130"/>
      <c r="N742" s="130"/>
      <c r="O742" s="130"/>
      <c r="P742" s="132"/>
      <c r="Q742" s="134"/>
      <c r="R742" s="134"/>
      <c r="S742" s="134"/>
      <c r="T742" s="135"/>
      <c r="U742" s="135"/>
      <c r="V742" s="135" t="str">
        <f>IFERROR(IF(AA742="SEGURIDAD",OFFSET('PARÁMETROS'!$K$2,MATCH(U742,JC_SE,0),MATCH(T742,CC_SE,0)),
IF(OR(AA742="DSRC/Estratégico",AA742="DSRC/Operativo"),OFFSET('PARÁMETROS'!$K$11,MATCH(U742,JC_DS,0),MATCH(T742,CC_DS,0)),
IF(AA742="SALUD",OFFSET('PARÁMETROS'!$K$29,MATCH(U742,JC_SA,0),MATCH(T742,CC_SA,0)),
IF(AA742="MEDIO AMBIENTE",OFFSET('PARÁMETROS'!$K$20,MATCH(U742,JC_MA,0),MATCH(T742,CC_MA,0)),
IF(AA742="Rel. Gubernamentales",OFFSET('PARÁMETROS'!$K$48,MATCH(U742,JC_G,0),MATCH(T742,CC_G,0)),
IF(AA742="OPERACIONAL",OFFSET('PARÁMETROS'!$K$56,MATCH(U742,JC_OP,0),MATCH(T742,CC_OP,0)),
IF(AA742="FINANCIERO",OFFSET('PARÁMETROS'!$K$56,MATCH(U742,JC_FI,0),MATCH(T742,CC_FI,0)),
OFFSET('PARÁMETROS'!$K$38,MATCH(U742,JC_L,0),MATCH(T742,CC_L,0))))))))),"")</f>
        <v/>
      </c>
      <c r="W742" s="130"/>
      <c r="X742" s="135"/>
      <c r="Y742" s="136"/>
      <c r="Z742" s="30"/>
      <c r="AA742" s="31" t="str">
        <f>E731</f>
        <v/>
      </c>
    </row>
    <row r="743" ht="87.0" customHeight="1">
      <c r="A743" s="129"/>
      <c r="B743" s="130"/>
      <c r="C743" s="130"/>
      <c r="D743" s="130"/>
      <c r="E743" s="130"/>
      <c r="F743" s="130"/>
      <c r="G743" s="130"/>
      <c r="H743" s="130"/>
      <c r="I743" s="130"/>
      <c r="J743" s="130"/>
      <c r="K743" s="130"/>
      <c r="L743" s="130"/>
      <c r="M743" s="130"/>
      <c r="N743" s="130"/>
      <c r="O743" s="130"/>
      <c r="P743" s="132"/>
      <c r="Q743" s="134"/>
      <c r="R743" s="134"/>
      <c r="S743" s="134"/>
      <c r="T743" s="135"/>
      <c r="U743" s="135"/>
      <c r="V743" s="135" t="str">
        <f>IFERROR(IF(AA743="SEGURIDAD",OFFSET('PARÁMETROS'!$K$2,MATCH(U743,JC_SE,0),MATCH(T743,CC_SE,0)),
IF(OR(AA743="DSRC/Estratégico",AA743="DSRC/Operativo"),OFFSET('PARÁMETROS'!$K$11,MATCH(U743,JC_DS,0),MATCH(T743,CC_DS,0)),
IF(AA743="SALUD",OFFSET('PARÁMETROS'!$K$29,MATCH(U743,JC_SA,0),MATCH(T743,CC_SA,0)),
IF(AA743="MEDIO AMBIENTE",OFFSET('PARÁMETROS'!$K$20,MATCH(U743,JC_MA,0),MATCH(T743,CC_MA,0)),
IF(AA743="Rel. Gubernamentales",OFFSET('PARÁMETROS'!$K$48,MATCH(U743,JC_G,0),MATCH(T743,CC_G,0)),
IF(AA743="OPERACIONAL",OFFSET('PARÁMETROS'!$K$56,MATCH(U743,JC_OP,0),MATCH(T743,CC_OP,0)),
IF(AA743="FINANCIERO",OFFSET('PARÁMETROS'!$K$56,MATCH(U743,JC_FI,0),MATCH(T743,CC_FI,0)),
OFFSET('PARÁMETROS'!$K$38,MATCH(U743,JC_L,0),MATCH(T743,CC_L,0))))))))),"")</f>
        <v/>
      </c>
      <c r="W743" s="130"/>
      <c r="X743" s="135"/>
      <c r="Y743" s="136"/>
      <c r="Z743" s="30"/>
      <c r="AA743" s="31" t="str">
        <f>E731</f>
        <v/>
      </c>
    </row>
    <row r="744" ht="87.0" customHeight="1">
      <c r="A744" s="129"/>
      <c r="B744" s="130"/>
      <c r="C744" s="130"/>
      <c r="D744" s="130"/>
      <c r="E744" s="130"/>
      <c r="F744" s="130"/>
      <c r="G744" s="130"/>
      <c r="H744" s="130"/>
      <c r="I744" s="130"/>
      <c r="J744" s="130"/>
      <c r="K744" s="130"/>
      <c r="L744" s="130"/>
      <c r="M744" s="130"/>
      <c r="N744" s="130"/>
      <c r="O744" s="130"/>
      <c r="P744" s="132"/>
      <c r="Q744" s="134"/>
      <c r="R744" s="134"/>
      <c r="S744" s="134"/>
      <c r="T744" s="135"/>
      <c r="U744" s="135"/>
      <c r="V744" s="135" t="str">
        <f>IFERROR(IF(AA744="SEGURIDAD",OFFSET('PARÁMETROS'!$K$2,MATCH(U744,JC_SE,0),MATCH(T744,CC_SE,0)),
IF(OR(AA744="DSRC/Estratégico",AA744="DSRC/Operativo"),OFFSET('PARÁMETROS'!$K$11,MATCH(U744,JC_DS,0),MATCH(T744,CC_DS,0)),
IF(AA744="SALUD",OFFSET('PARÁMETROS'!$K$29,MATCH(U744,JC_SA,0),MATCH(T744,CC_SA,0)),
IF(AA744="MEDIO AMBIENTE",OFFSET('PARÁMETROS'!$K$20,MATCH(U744,JC_MA,0),MATCH(T744,CC_MA,0)),
IF(AA744="Rel. Gubernamentales",OFFSET('PARÁMETROS'!$K$48,MATCH(U744,JC_G,0),MATCH(T744,CC_G,0)),
IF(AA744="OPERACIONAL",OFFSET('PARÁMETROS'!$K$56,MATCH(U744,JC_OP,0),MATCH(T744,CC_OP,0)),
IF(AA744="FINANCIERO",OFFSET('PARÁMETROS'!$K$56,MATCH(U744,JC_FI,0),MATCH(T744,CC_FI,0)),
OFFSET('PARÁMETROS'!$K$38,MATCH(U744,JC_L,0),MATCH(T744,CC_L,0))))))))),"")</f>
        <v/>
      </c>
      <c r="W744" s="130"/>
      <c r="X744" s="135"/>
      <c r="Y744" s="136"/>
      <c r="Z744" s="30"/>
      <c r="AA744" s="31" t="str">
        <f>E731</f>
        <v/>
      </c>
    </row>
    <row r="745" ht="87.0" customHeight="1">
      <c r="A745" s="129"/>
      <c r="B745" s="130"/>
      <c r="C745" s="130"/>
      <c r="D745" s="130"/>
      <c r="E745" s="130"/>
      <c r="F745" s="130"/>
      <c r="G745" s="130"/>
      <c r="H745" s="130"/>
      <c r="I745" s="130"/>
      <c r="J745" s="130"/>
      <c r="K745" s="130"/>
      <c r="L745" s="130"/>
      <c r="M745" s="130"/>
      <c r="N745" s="130"/>
      <c r="O745" s="130"/>
      <c r="P745" s="132"/>
      <c r="Q745" s="134"/>
      <c r="R745" s="134"/>
      <c r="S745" s="134"/>
      <c r="T745" s="135"/>
      <c r="U745" s="135"/>
      <c r="V745" s="135" t="str">
        <f>IFERROR(IF(AA745="SEGURIDAD",OFFSET('PARÁMETROS'!$K$2,MATCH(U745,JC_SE,0),MATCH(T745,CC_SE,0)),
IF(OR(AA745="DSRC/Estratégico",AA745="DSRC/Operativo"),OFFSET('PARÁMETROS'!$K$11,MATCH(U745,JC_DS,0),MATCH(T745,CC_DS,0)),
IF(AA745="SALUD",OFFSET('PARÁMETROS'!$K$29,MATCH(U745,JC_SA,0),MATCH(T745,CC_SA,0)),
IF(AA745="MEDIO AMBIENTE",OFFSET('PARÁMETROS'!$K$20,MATCH(U745,JC_MA,0),MATCH(T745,CC_MA,0)),
IF(AA745="Rel. Gubernamentales",OFFSET('PARÁMETROS'!$K$48,MATCH(U745,JC_G,0),MATCH(T745,CC_G,0)),
IF(AA745="OPERACIONAL",OFFSET('PARÁMETROS'!$K$56,MATCH(U745,JC_OP,0),MATCH(T745,CC_OP,0)),
IF(AA745="FINANCIERO",OFFSET('PARÁMETROS'!$K$56,MATCH(U745,JC_FI,0),MATCH(T745,CC_FI,0)),
OFFSET('PARÁMETROS'!$K$38,MATCH(U745,JC_L,0),MATCH(T745,CC_L,0))))))))),"")</f>
        <v/>
      </c>
      <c r="W745" s="130"/>
      <c r="X745" s="135"/>
      <c r="Y745" s="136"/>
      <c r="Z745" s="30"/>
      <c r="AA745" s="31" t="str">
        <f>E731</f>
        <v/>
      </c>
    </row>
    <row r="746" ht="87.0" customHeight="1">
      <c r="A746" s="89"/>
      <c r="B746" s="90"/>
      <c r="C746" s="90"/>
      <c r="D746" s="157"/>
      <c r="E746" s="157"/>
      <c r="F746" s="157"/>
      <c r="G746" s="157"/>
      <c r="H746" s="157"/>
      <c r="I746" s="90"/>
      <c r="J746" s="90"/>
      <c r="K746" s="90"/>
      <c r="L746" s="90"/>
      <c r="M746" s="90"/>
      <c r="N746" s="90"/>
      <c r="O746" s="90"/>
      <c r="P746" s="132"/>
      <c r="Q746" s="134"/>
      <c r="R746" s="145"/>
      <c r="S746" s="145"/>
      <c r="T746" s="135"/>
      <c r="U746" s="135"/>
      <c r="V746" s="135" t="str">
        <f>IFERROR(IF(AA746="SEGURIDAD",OFFSET('PARÁMETROS'!$K$2,MATCH(U746,JC_SE,0),MATCH(T746,CC_SE,0)),
IF(OR(AA746="DSRC/Estratégico",AA746="DSRC/Operativo"),OFFSET('PARÁMETROS'!$K$11,MATCH(U746,JC_DS,0),MATCH(T746,CC_DS,0)),
IF(AA746="SALUD",OFFSET('PARÁMETROS'!$K$29,MATCH(U746,JC_SA,0),MATCH(T746,CC_SA,0)),
IF(AA746="MEDIO AMBIENTE",OFFSET('PARÁMETROS'!$K$20,MATCH(U746,JC_MA,0),MATCH(T746,CC_MA,0)),
IF(AA746="Rel. Gubernamentales",OFFSET('PARÁMETROS'!$K$48,MATCH(U746,JC_G,0),MATCH(T746,CC_G,0)),
IF(AA746="OPERACIONAL",OFFSET('PARÁMETROS'!$K$56,MATCH(U746,JC_OP,0),MATCH(T746,CC_OP,0)),
IF(AA746="FINANCIERO",OFFSET('PARÁMETROS'!$K$56,MATCH(U746,JC_FI,0),MATCH(T746,CC_FI,0)),
OFFSET('PARÁMETROS'!$K$38,MATCH(U746,JC_L,0),MATCH(T746,CC_L,0))))))))),"")</f>
        <v/>
      </c>
      <c r="W746" s="90"/>
      <c r="X746" s="135"/>
      <c r="Y746" s="136"/>
      <c r="Z746" s="30"/>
      <c r="AA746" s="31" t="str">
        <f>E731</f>
        <v/>
      </c>
    </row>
    <row r="747" ht="87.0" customHeight="1">
      <c r="A747" s="102"/>
      <c r="B747" s="103"/>
      <c r="C747" s="103"/>
      <c r="D747" s="103"/>
      <c r="E747" s="103"/>
      <c r="F747" s="103"/>
      <c r="G747" s="105"/>
      <c r="H747" s="103"/>
      <c r="I747" s="105"/>
      <c r="J747" s="103"/>
      <c r="K747" s="103"/>
      <c r="L747" s="103" t="str">
        <f>IF(OR(J747&lt;&gt;"",K747&lt;&gt;""),OFFSET('PARÁMETROS'!$B$2,K747,J747),"")</f>
        <v/>
      </c>
      <c r="M747" s="103"/>
      <c r="N747" s="103">
        <f>IFERROR(L747*M747,"")</f>
        <v>0</v>
      </c>
      <c r="O747" s="108" t="str">
        <f>IF(N747="","",IFERROR(IF(N747&lt;=2,"ACEPTABLE",IF(N747&lt;=6,"BAJA",IF(N747&lt;=10,"ACEPTABLE CON REVISIÓN",IF(N747&lt;=15,"SUSTANCIAL","INACEPTABLE")))),""))</f>
        <v>ACEPTABLE</v>
      </c>
      <c r="P747" s="113"/>
      <c r="Q747" s="114"/>
      <c r="R747" s="114"/>
      <c r="S747" s="114"/>
      <c r="T747" s="115"/>
      <c r="U747" s="115"/>
      <c r="V747" s="115" t="str">
        <f>IFERROR(IF(AA747="SEGURIDAD",OFFSET('PARÁMETROS'!$K$2,MATCH(U747,JC_SE,0),MATCH(T747,CC_SE,0)),
IF(OR(AA747="DSRC/Estratégico",AA747="DSRC/Operativo"),OFFSET('PARÁMETROS'!$K$11,MATCH(U747,JC_DS,0),MATCH(T747,CC_DS,0)),
IF(AA747="SALUD",OFFSET('PARÁMETROS'!$K$29,MATCH(U747,JC_SA,0),MATCH(T747,CC_SA,0)),
IF(AA747="MEDIO AMBIENTE",OFFSET('PARÁMETROS'!$K$20,MATCH(U747,JC_MA,0),MATCH(T747,CC_MA,0)),
IF(AA747="Rel. Gubernamentales",OFFSET('PARÁMETROS'!$K$48,MATCH(U747,JC_G,0),MATCH(T747,CC_G,0)),
IF(AA747="OPERACIONAL",OFFSET('PARÁMETROS'!$K$56,MATCH(U747,JC_OP,0),MATCH(T747,CC_OP,0)),
IF(AA747="FINANCIERO",OFFSET('PARÁMETROS'!$K$56,MATCH(U747,JC_FI,0),MATCH(T747,CC_FI,0)),
OFFSET('PARÁMETROS'!$K$38,MATCH(U747,JC_L,0),MATCH(T747,CC_L,0))))))))),"")</f>
        <v/>
      </c>
      <c r="W747" s="108" t="str">
        <f>IF(E747="","",
IF(COUNTA(V747:V762)-COUNTBLANK(V747:V762)=1,
IF(O747="INACEPTABLE",IF(COUNTIF(V747:V762,"Control/Acción Eficaz")&gt;=1,"SUSTANCIAL","INACEPTABLE"),
IF(O747="SUSTANCIAL",IF(COUNTIF(V747:V762,"Control/Acción Eficaz")&gt;=1,"ACEPTABLE CON REVISIÓN","SUSTANCIAL"),
IF(O747="ACEPTABLE CON REVISIÓN",IF(COUNTIF(V747:V762,"Control/Acción Eficaz")&gt;=1,"BAJA","ACEPTABLE CON REVISIÓN"),
IF(O747="BAJA",IF(COUNTIF(V747:V762,"Control/Acción Eficaz")&gt;=1,"ACEPTABLE","BAJA"),)))),
IF(COUNTA(V747:V762)-COUNTBLANK(V747:V762)=2,
IF(O747="INACEPTABLE",IF(COUNTIF(V747:V762,"Control/Acción Eficaz")=2,"ACEPTABLE CON REVISIÓN",
IF(OR(AND(COUNTIF(V747:V762,"Control/Acción Eficaz")=1,COUNTIF(V747:V762,"Control/Acción Satisfactorio")=1),
AND(COUNTIF(V747:V762,"Control/Acción Eficaz")=1,COUNTIF(V747:V762,"Control/Acción No Eficaz")=1)),"SUSTANCIAL","INACEPTABLE")),
IF(O747="SUSTANCIAL",IF(COUNTIF(V747:V762,"Control/Acción Eficaz")=2,"BAJA",
IF(OR(AND(COUNTIF(V747:V762,"Control/Acción Eficaz")=1,COUNTIF(V747:V762,"Control/Acción Satisfactorio")=1),
AND(COUNTIF(V747:V762,"Control/Acción Eficaz")=1,COUNTIF(V747:V762,"Control/Acción No Eficaz")=1)),"ACEPTABLE CON REVISIÓN ","SUSTANCIAL")),
IF(O747="ACEPTABLE CON REVISIÓN",IF(COUNTIF(V747:V762,"Control/Acción Eficaz")=2,"ACEPTABLE",
IF(OR(AND(COUNTIF(V747:V762,"Control/Acción Eficaz")=1,COUNTIF(V747:V762,"Control/Acción Satisfactorio")=1),
AND(COUNTIF(V747:V762,"Control/Acción Eficaz")=1,COUNTIF(V747:V762,"Control/Acción No Eficaz")=1)),"BAJA","ACEPTABLE CON REVISIÓN")),
IF(O747="BAJA",IF(COUNTIF(V747:V762,"Control/Acción Eficaz")&gt;=2,"ACEPTABLE","BAJA"),)))),
IF(COUNTA(V747:V762)-COUNTBLANK(V747:V762)&gt;=3,
IF(O747="INACEPTABLE",
IF(COUNTBLANK(V747:V762)=COUNTA(V747:V762),"",
IF(COUNTIF(V747:V762,"Control/Acción No Eficaz")&gt;=2,"INACEPTABLE",
IF(AND(COUNTIF(V747:V762,"Control/Acción No Eficaz")=0,COUNTIF(V747:V762,"Control/Acción Eficaz")&gt;=2),"ACEPTABLE CON REVISIÓN ","SUSTANCIAL"))),
IF(O747="SUSTANCIAL",
IF(COUNTBLANK(V747:V762)=COUNTA(V747:V762),"",
IF(COUNTIF(V747:V762,"Control/Acción No Eficaz")&gt;=2,"SUSTANCIAL",
IF(AND(COUNTIF(V747:V762,"Control/Acción No Eficaz")=0,COUNTIF(V747:V762,"Control/Acción Eficaz")&gt;=2),"BAJA","ACEPTABLE CON REVISIÓN"))),
IF(O747="ACEPTABLE CON REVISIÓN",
IF(COUNTBLANK(V747:V762)=COUNTA(V747:V762),"",
IF(COUNTIF(V747:V762,"Control/Acción No Eficaz")&gt;=2,"ACEPTABLE CON REVISIÓN",
IF(AND(COUNTIF(V747:V762,"Control/Acción No Eficaz")=0,COUNTIF(V747:V762,"Control/Acción Eficaz")&gt;=2),"ACEPTABLE","BAJA"))),
IF(O747="BAJA",
IF(COUNTBLANK(V747:V762)=COUNTA(V747:V762),"",
IF(AND(COUNTBLANK(V747:V762)&lt;1,COUNTA(V747:V762)=1),
IF(COUNTIF(V747:V762,"Control/Acción No Eficaz")&gt;=2,"BAJA",
IF(AND(COUNTIF(V747:V762,"Control/Acción No Eficaz")=0,COUNTIF(V747:V762,"Control/Acción Eficaz")&gt;=2),"ACEPTABLE","BAJA")),
IF(COUNTIF(V747:V762,"Control/Acción No Eficaz")&gt;=2,"BAJA",
IF(AND(COUNTIF(V747:V762,"Control/Acción No Eficaz")=0,COUNTIF(V747:V762,"Control/Acción Eficaz")&gt;=2),"ACEPTABLE","BAJA")))),
IF(COUNTIF(V747:V762,"")&gt;=5,"",O747))))),
""))))</f>
        <v/>
      </c>
      <c r="X747" s="115"/>
      <c r="Y747" s="128"/>
      <c r="Z747" s="30"/>
      <c r="AA747" s="31" t="str">
        <f>E747</f>
        <v/>
      </c>
    </row>
    <row r="748" ht="87.0" customHeight="1">
      <c r="A748" s="129"/>
      <c r="B748" s="130"/>
      <c r="C748" s="130"/>
      <c r="D748" s="130"/>
      <c r="E748" s="130"/>
      <c r="F748" s="130"/>
      <c r="G748" s="130"/>
      <c r="H748" s="130"/>
      <c r="I748" s="130"/>
      <c r="J748" s="130"/>
      <c r="K748" s="130"/>
      <c r="L748" s="130"/>
      <c r="M748" s="130"/>
      <c r="N748" s="130"/>
      <c r="O748" s="130"/>
      <c r="P748" s="132"/>
      <c r="Q748" s="134"/>
      <c r="R748" s="134"/>
      <c r="S748" s="134"/>
      <c r="T748" s="135"/>
      <c r="U748" s="135"/>
      <c r="V748" s="135" t="str">
        <f>IFERROR(IF(AA748="SEGURIDAD",OFFSET('PARÁMETROS'!$K$2,MATCH(U748,JC_SE,0),MATCH(T748,CC_SE,0)),
IF(OR(AA748="DSRC/Estratégico",AA748="DSRC/Operativo"),OFFSET('PARÁMETROS'!$K$11,MATCH(U748,JC_DS,0),MATCH(T748,CC_DS,0)),
IF(AA748="SALUD",OFFSET('PARÁMETROS'!$K$29,MATCH(U748,JC_SA,0),MATCH(T748,CC_SA,0)),
IF(AA748="MEDIO AMBIENTE",OFFSET('PARÁMETROS'!$K$20,MATCH(U748,JC_MA,0),MATCH(T748,CC_MA,0)),
IF(AA748="Rel. Gubernamentales",OFFSET('PARÁMETROS'!$K$48,MATCH(U748,JC_G,0),MATCH(T748,CC_G,0)),
IF(AA748="OPERACIONAL",OFFSET('PARÁMETROS'!$K$56,MATCH(U748,JC_OP,0),MATCH(T748,CC_OP,0)),
IF(AA748="FINANCIERO",OFFSET('PARÁMETROS'!$K$56,MATCH(U748,JC_FI,0),MATCH(T748,CC_FI,0)),
OFFSET('PARÁMETROS'!$K$38,MATCH(U748,JC_L,0),MATCH(T748,CC_L,0))))))))),"")</f>
        <v/>
      </c>
      <c r="W748" s="130"/>
      <c r="X748" s="135"/>
      <c r="Y748" s="136"/>
      <c r="Z748" s="30"/>
      <c r="AA748" s="31" t="str">
        <f>E747</f>
        <v/>
      </c>
    </row>
    <row r="749" ht="87.0" customHeight="1">
      <c r="A749" s="129"/>
      <c r="B749" s="130"/>
      <c r="C749" s="130"/>
      <c r="D749" s="130"/>
      <c r="E749" s="130"/>
      <c r="F749" s="130"/>
      <c r="G749" s="130"/>
      <c r="H749" s="130"/>
      <c r="I749" s="130"/>
      <c r="J749" s="130"/>
      <c r="K749" s="130"/>
      <c r="L749" s="130"/>
      <c r="M749" s="130"/>
      <c r="N749" s="130"/>
      <c r="O749" s="130"/>
      <c r="P749" s="132"/>
      <c r="Q749" s="134"/>
      <c r="R749" s="134"/>
      <c r="S749" s="134"/>
      <c r="T749" s="135"/>
      <c r="U749" s="135"/>
      <c r="V749" s="135" t="str">
        <f>IFERROR(IF(AA749="SEGURIDAD",OFFSET('PARÁMETROS'!$K$2,MATCH(U749,JC_SE,0),MATCH(T749,CC_SE,0)),
IF(OR(AA749="DSRC/Estratégico",AA749="DSRC/Operativo"),OFFSET('PARÁMETROS'!$K$11,MATCH(U749,JC_DS,0),MATCH(T749,CC_DS,0)),
IF(AA749="SALUD",OFFSET('PARÁMETROS'!$K$29,MATCH(U749,JC_SA,0),MATCH(T749,CC_SA,0)),
IF(AA749="MEDIO AMBIENTE",OFFSET('PARÁMETROS'!$K$20,MATCH(U749,JC_MA,0),MATCH(T749,CC_MA,0)),
IF(AA749="Rel. Gubernamentales",OFFSET('PARÁMETROS'!$K$48,MATCH(U749,JC_G,0),MATCH(T749,CC_G,0)),
IF(AA749="OPERACIONAL",OFFSET('PARÁMETROS'!$K$56,MATCH(U749,JC_OP,0),MATCH(T749,CC_OP,0)),
IF(AA749="FINANCIERO",OFFSET('PARÁMETROS'!$K$56,MATCH(U749,JC_FI,0),MATCH(T749,CC_FI,0)),
OFFSET('PARÁMETROS'!$K$38,MATCH(U749,JC_L,0),MATCH(T749,CC_L,0))))))))),"")</f>
        <v/>
      </c>
      <c r="W749" s="130"/>
      <c r="X749" s="135"/>
      <c r="Y749" s="136"/>
      <c r="Z749" s="30"/>
      <c r="AA749" s="31" t="str">
        <f>E747</f>
        <v/>
      </c>
    </row>
    <row r="750" ht="87.0" customHeight="1">
      <c r="A750" s="129"/>
      <c r="B750" s="130"/>
      <c r="C750" s="130"/>
      <c r="D750" s="130"/>
      <c r="E750" s="130"/>
      <c r="F750" s="130"/>
      <c r="G750" s="130"/>
      <c r="H750" s="130"/>
      <c r="I750" s="130"/>
      <c r="J750" s="130"/>
      <c r="K750" s="130"/>
      <c r="L750" s="130"/>
      <c r="M750" s="130"/>
      <c r="N750" s="130"/>
      <c r="O750" s="130"/>
      <c r="P750" s="132"/>
      <c r="Q750" s="134"/>
      <c r="R750" s="134"/>
      <c r="S750" s="134"/>
      <c r="T750" s="135"/>
      <c r="U750" s="135"/>
      <c r="V750" s="135" t="str">
        <f>IFERROR(IF(AA750="SEGURIDAD",OFFSET('PARÁMETROS'!$K$2,MATCH(U750,JC_SE,0),MATCH(T750,CC_SE,0)),
IF(OR(AA750="DSRC/Estratégico",AA750="DSRC/Operativo"),OFFSET('PARÁMETROS'!$K$11,MATCH(U750,JC_DS,0),MATCH(T750,CC_DS,0)),
IF(AA750="SALUD",OFFSET('PARÁMETROS'!$K$29,MATCH(U750,JC_SA,0),MATCH(T750,CC_SA,0)),
IF(AA750="MEDIO AMBIENTE",OFFSET('PARÁMETROS'!$K$20,MATCH(U750,JC_MA,0),MATCH(T750,CC_MA,0)),
IF(AA750="Rel. Gubernamentales",OFFSET('PARÁMETROS'!$K$48,MATCH(U750,JC_G,0),MATCH(T750,CC_G,0)),
IF(AA750="OPERACIONAL",OFFSET('PARÁMETROS'!$K$56,MATCH(U750,JC_OP,0),MATCH(T750,CC_OP,0)),
IF(AA750="FINANCIERO",OFFSET('PARÁMETROS'!$K$56,MATCH(U750,JC_FI,0),MATCH(T750,CC_FI,0)),
OFFSET('PARÁMETROS'!$K$38,MATCH(U750,JC_L,0),MATCH(T750,CC_L,0))))))))),"")</f>
        <v/>
      </c>
      <c r="W750" s="130"/>
      <c r="X750" s="135"/>
      <c r="Y750" s="136"/>
      <c r="Z750" s="30"/>
      <c r="AA750" s="31" t="str">
        <f>E747</f>
        <v/>
      </c>
    </row>
    <row r="751" ht="87.0" customHeight="1">
      <c r="A751" s="129"/>
      <c r="B751" s="130"/>
      <c r="C751" s="130"/>
      <c r="D751" s="130"/>
      <c r="E751" s="130"/>
      <c r="F751" s="130"/>
      <c r="G751" s="130"/>
      <c r="H751" s="130"/>
      <c r="I751" s="130"/>
      <c r="J751" s="130"/>
      <c r="K751" s="130"/>
      <c r="L751" s="130"/>
      <c r="M751" s="130"/>
      <c r="N751" s="130"/>
      <c r="O751" s="130"/>
      <c r="P751" s="132"/>
      <c r="Q751" s="134"/>
      <c r="R751" s="134"/>
      <c r="S751" s="134"/>
      <c r="T751" s="135"/>
      <c r="U751" s="135"/>
      <c r="V751" s="135" t="str">
        <f>IFERROR(IF(AA751="SEGURIDAD",OFFSET('PARÁMETROS'!$K$2,MATCH(U751,JC_SE,0),MATCH(T751,CC_SE,0)),
IF(OR(AA751="DSRC/Estratégico",AA751="DSRC/Operativo"),OFFSET('PARÁMETROS'!$K$11,MATCH(U751,JC_DS,0),MATCH(T751,CC_DS,0)),
IF(AA751="SALUD",OFFSET('PARÁMETROS'!$K$29,MATCH(U751,JC_SA,0),MATCH(T751,CC_SA,0)),
IF(AA751="MEDIO AMBIENTE",OFFSET('PARÁMETROS'!$K$20,MATCH(U751,JC_MA,0),MATCH(T751,CC_MA,0)),
IF(AA751="Rel. Gubernamentales",OFFSET('PARÁMETROS'!$K$48,MATCH(U751,JC_G,0),MATCH(T751,CC_G,0)),
IF(AA751="OPERACIONAL",OFFSET('PARÁMETROS'!$K$56,MATCH(U751,JC_OP,0),MATCH(T751,CC_OP,0)),
IF(AA751="FINANCIERO",OFFSET('PARÁMETROS'!$K$56,MATCH(U751,JC_FI,0),MATCH(T751,CC_FI,0)),
OFFSET('PARÁMETROS'!$K$38,MATCH(U751,JC_L,0),MATCH(T751,CC_L,0))))))))),"")</f>
        <v/>
      </c>
      <c r="W751" s="130"/>
      <c r="X751" s="135"/>
      <c r="Y751" s="136"/>
      <c r="Z751" s="30"/>
      <c r="AA751" s="31" t="str">
        <f>E747</f>
        <v/>
      </c>
    </row>
    <row r="752" ht="87.0" customHeight="1">
      <c r="A752" s="129"/>
      <c r="B752" s="130"/>
      <c r="C752" s="130"/>
      <c r="D752" s="130"/>
      <c r="E752" s="130"/>
      <c r="F752" s="130"/>
      <c r="G752" s="130"/>
      <c r="H752" s="130"/>
      <c r="I752" s="130"/>
      <c r="J752" s="130"/>
      <c r="K752" s="130"/>
      <c r="L752" s="130"/>
      <c r="M752" s="130"/>
      <c r="N752" s="130"/>
      <c r="O752" s="130"/>
      <c r="P752" s="132"/>
      <c r="Q752" s="134"/>
      <c r="R752" s="134"/>
      <c r="S752" s="134"/>
      <c r="T752" s="135"/>
      <c r="U752" s="135"/>
      <c r="V752" s="135" t="str">
        <f>IFERROR(IF(AA752="SEGURIDAD",OFFSET('PARÁMETROS'!$K$2,MATCH(U752,JC_SE,0),MATCH(T752,CC_SE,0)),
IF(OR(AA752="DSRC/Estratégico",AA752="DSRC/Operativo"),OFFSET('PARÁMETROS'!$K$11,MATCH(U752,JC_DS,0),MATCH(T752,CC_DS,0)),
IF(AA752="SALUD",OFFSET('PARÁMETROS'!$K$29,MATCH(U752,JC_SA,0),MATCH(T752,CC_SA,0)),
IF(AA752="MEDIO AMBIENTE",OFFSET('PARÁMETROS'!$K$20,MATCH(U752,JC_MA,0),MATCH(T752,CC_MA,0)),
IF(AA752="Rel. Gubernamentales",OFFSET('PARÁMETROS'!$K$48,MATCH(U752,JC_G,0),MATCH(T752,CC_G,0)),
IF(AA752="OPERACIONAL",OFFSET('PARÁMETROS'!$K$56,MATCH(U752,JC_OP,0),MATCH(T752,CC_OP,0)),
IF(AA752="FINANCIERO",OFFSET('PARÁMETROS'!$K$56,MATCH(U752,JC_FI,0),MATCH(T752,CC_FI,0)),
OFFSET('PARÁMETROS'!$K$38,MATCH(U752,JC_L,0),MATCH(T752,CC_L,0))))))))),"")</f>
        <v/>
      </c>
      <c r="W752" s="130"/>
      <c r="X752" s="135"/>
      <c r="Y752" s="136"/>
      <c r="Z752" s="30"/>
      <c r="AA752" s="31" t="str">
        <f>E747</f>
        <v/>
      </c>
    </row>
    <row r="753" ht="87.0" customHeight="1">
      <c r="A753" s="129"/>
      <c r="B753" s="130"/>
      <c r="C753" s="130"/>
      <c r="D753" s="130"/>
      <c r="E753" s="130"/>
      <c r="F753" s="130"/>
      <c r="G753" s="130"/>
      <c r="H753" s="130"/>
      <c r="I753" s="130"/>
      <c r="J753" s="130"/>
      <c r="K753" s="130"/>
      <c r="L753" s="130"/>
      <c r="M753" s="130"/>
      <c r="N753" s="130"/>
      <c r="O753" s="130"/>
      <c r="P753" s="132"/>
      <c r="Q753" s="134"/>
      <c r="R753" s="134"/>
      <c r="S753" s="134"/>
      <c r="T753" s="135"/>
      <c r="U753" s="135"/>
      <c r="V753" s="135" t="str">
        <f>IFERROR(IF(AA753="SEGURIDAD",OFFSET('PARÁMETROS'!$K$2,MATCH(U753,JC_SE,0),MATCH(T753,CC_SE,0)),
IF(OR(AA753="DSRC/Estratégico",AA753="DSRC/Operativo"),OFFSET('PARÁMETROS'!$K$11,MATCH(U753,JC_DS,0),MATCH(T753,CC_DS,0)),
IF(AA753="SALUD",OFFSET('PARÁMETROS'!$K$29,MATCH(U753,JC_SA,0),MATCH(T753,CC_SA,0)),
IF(AA753="MEDIO AMBIENTE",OFFSET('PARÁMETROS'!$K$20,MATCH(U753,JC_MA,0),MATCH(T753,CC_MA,0)),
IF(AA753="Rel. Gubernamentales",OFFSET('PARÁMETROS'!$K$48,MATCH(U753,JC_G,0),MATCH(T753,CC_G,0)),
IF(AA753="OPERACIONAL",OFFSET('PARÁMETROS'!$K$56,MATCH(U753,JC_OP,0),MATCH(T753,CC_OP,0)),
IF(AA753="FINANCIERO",OFFSET('PARÁMETROS'!$K$56,MATCH(U753,JC_FI,0),MATCH(T753,CC_FI,0)),
OFFSET('PARÁMETROS'!$K$38,MATCH(U753,JC_L,0),MATCH(T753,CC_L,0))))))))),"")</f>
        <v/>
      </c>
      <c r="W753" s="130"/>
      <c r="X753" s="135"/>
      <c r="Y753" s="136"/>
      <c r="Z753" s="30"/>
      <c r="AA753" s="31" t="str">
        <f>E747</f>
        <v/>
      </c>
    </row>
    <row r="754" ht="87.0" customHeight="1">
      <c r="A754" s="129"/>
      <c r="B754" s="130"/>
      <c r="C754" s="130"/>
      <c r="D754" s="130"/>
      <c r="E754" s="130"/>
      <c r="F754" s="130"/>
      <c r="G754" s="130"/>
      <c r="H754" s="130"/>
      <c r="I754" s="130"/>
      <c r="J754" s="130"/>
      <c r="K754" s="130"/>
      <c r="L754" s="130"/>
      <c r="M754" s="130"/>
      <c r="N754" s="130"/>
      <c r="O754" s="130"/>
      <c r="P754" s="132"/>
      <c r="Q754" s="134"/>
      <c r="R754" s="134"/>
      <c r="S754" s="134"/>
      <c r="T754" s="135"/>
      <c r="U754" s="135"/>
      <c r="V754" s="135" t="str">
        <f>IFERROR(IF(AA754="SEGURIDAD",OFFSET('PARÁMETROS'!$K$2,MATCH(U754,JC_SE,0),MATCH(T754,CC_SE,0)),
IF(OR(AA754="DSRC/Estratégico",AA754="DSRC/Operativo"),OFFSET('PARÁMETROS'!$K$11,MATCH(U754,JC_DS,0),MATCH(T754,CC_DS,0)),
IF(AA754="SALUD",OFFSET('PARÁMETROS'!$K$29,MATCH(U754,JC_SA,0),MATCH(T754,CC_SA,0)),
IF(AA754="MEDIO AMBIENTE",OFFSET('PARÁMETROS'!$K$20,MATCH(U754,JC_MA,0),MATCH(T754,CC_MA,0)),
IF(AA754="Rel. Gubernamentales",OFFSET('PARÁMETROS'!$K$48,MATCH(U754,JC_G,0),MATCH(T754,CC_G,0)),
IF(AA754="OPERACIONAL",OFFSET('PARÁMETROS'!$K$56,MATCH(U754,JC_OP,0),MATCH(T754,CC_OP,0)),
IF(AA754="FINANCIERO",OFFSET('PARÁMETROS'!$K$56,MATCH(U754,JC_FI,0),MATCH(T754,CC_FI,0)),
OFFSET('PARÁMETROS'!$K$38,MATCH(U754,JC_L,0),MATCH(T754,CC_L,0))))))))),"")</f>
        <v/>
      </c>
      <c r="W754" s="130"/>
      <c r="X754" s="135"/>
      <c r="Y754" s="136"/>
      <c r="Z754" s="30"/>
      <c r="AA754" s="31" t="str">
        <f>E747</f>
        <v/>
      </c>
    </row>
    <row r="755" ht="87.0" customHeight="1">
      <c r="A755" s="129"/>
      <c r="B755" s="130"/>
      <c r="C755" s="130"/>
      <c r="D755" s="130"/>
      <c r="E755" s="130"/>
      <c r="F755" s="130"/>
      <c r="G755" s="130"/>
      <c r="H755" s="130"/>
      <c r="I755" s="130"/>
      <c r="J755" s="130"/>
      <c r="K755" s="130"/>
      <c r="L755" s="130"/>
      <c r="M755" s="130"/>
      <c r="N755" s="130"/>
      <c r="O755" s="130"/>
      <c r="P755" s="132"/>
      <c r="Q755" s="134"/>
      <c r="R755" s="134"/>
      <c r="S755" s="134"/>
      <c r="T755" s="135"/>
      <c r="U755" s="135"/>
      <c r="V755" s="135" t="str">
        <f>IFERROR(IF(AA755="SEGURIDAD",OFFSET('PARÁMETROS'!$K$2,MATCH(U755,JC_SE,0),MATCH(T755,CC_SE,0)),
IF(OR(AA755="DSRC/Estratégico",AA755="DSRC/Operativo"),OFFSET('PARÁMETROS'!$K$11,MATCH(U755,JC_DS,0),MATCH(T755,CC_DS,0)),
IF(AA755="SALUD",OFFSET('PARÁMETROS'!$K$29,MATCH(U755,JC_SA,0),MATCH(T755,CC_SA,0)),
IF(AA755="MEDIO AMBIENTE",OFFSET('PARÁMETROS'!$K$20,MATCH(U755,JC_MA,0),MATCH(T755,CC_MA,0)),
IF(AA755="Rel. Gubernamentales",OFFSET('PARÁMETROS'!$K$48,MATCH(U755,JC_G,0),MATCH(T755,CC_G,0)),
IF(AA755="OPERACIONAL",OFFSET('PARÁMETROS'!$K$56,MATCH(U755,JC_OP,0),MATCH(T755,CC_OP,0)),
IF(AA755="FINANCIERO",OFFSET('PARÁMETROS'!$K$56,MATCH(U755,JC_FI,0),MATCH(T755,CC_FI,0)),
OFFSET('PARÁMETROS'!$K$38,MATCH(U755,JC_L,0),MATCH(T755,CC_L,0))))))))),"")</f>
        <v/>
      </c>
      <c r="W755" s="130"/>
      <c r="X755" s="135"/>
      <c r="Y755" s="136"/>
      <c r="Z755" s="30"/>
      <c r="AA755" s="31" t="str">
        <f>E747</f>
        <v/>
      </c>
    </row>
    <row r="756" ht="87.0" customHeight="1">
      <c r="A756" s="129"/>
      <c r="B756" s="130"/>
      <c r="C756" s="130"/>
      <c r="D756" s="130"/>
      <c r="E756" s="130"/>
      <c r="F756" s="130"/>
      <c r="G756" s="130"/>
      <c r="H756" s="130"/>
      <c r="I756" s="130"/>
      <c r="J756" s="130"/>
      <c r="K756" s="130"/>
      <c r="L756" s="130"/>
      <c r="M756" s="130"/>
      <c r="N756" s="130"/>
      <c r="O756" s="130"/>
      <c r="P756" s="132"/>
      <c r="Q756" s="134"/>
      <c r="R756" s="134"/>
      <c r="S756" s="134"/>
      <c r="T756" s="135"/>
      <c r="U756" s="135"/>
      <c r="V756" s="135" t="str">
        <f>IFERROR(IF(AA756="SEGURIDAD",OFFSET('PARÁMETROS'!$K$2,MATCH(U756,JC_SE,0),MATCH(T756,CC_SE,0)),
IF(OR(AA756="DSRC/Estratégico",AA756="DSRC/Operativo"),OFFSET('PARÁMETROS'!$K$11,MATCH(U756,JC_DS,0),MATCH(T756,CC_DS,0)),
IF(AA756="SALUD",OFFSET('PARÁMETROS'!$K$29,MATCH(U756,JC_SA,0),MATCH(T756,CC_SA,0)),
IF(AA756="MEDIO AMBIENTE",OFFSET('PARÁMETROS'!$K$20,MATCH(U756,JC_MA,0),MATCH(T756,CC_MA,0)),
IF(AA756="Rel. Gubernamentales",OFFSET('PARÁMETROS'!$K$48,MATCH(U756,JC_G,0),MATCH(T756,CC_G,0)),
IF(AA756="OPERACIONAL",OFFSET('PARÁMETROS'!$K$56,MATCH(U756,JC_OP,0),MATCH(T756,CC_OP,0)),
IF(AA756="FINANCIERO",OFFSET('PARÁMETROS'!$K$56,MATCH(U756,JC_FI,0),MATCH(T756,CC_FI,0)),
OFFSET('PARÁMETROS'!$K$38,MATCH(U756,JC_L,0),MATCH(T756,CC_L,0))))))))),"")</f>
        <v/>
      </c>
      <c r="W756" s="130"/>
      <c r="X756" s="135"/>
      <c r="Y756" s="136"/>
      <c r="Z756" s="30"/>
      <c r="AA756" s="31" t="str">
        <f>E747</f>
        <v/>
      </c>
    </row>
    <row r="757" ht="87.0" customHeight="1">
      <c r="A757" s="129"/>
      <c r="B757" s="130"/>
      <c r="C757" s="130"/>
      <c r="D757" s="130"/>
      <c r="E757" s="130"/>
      <c r="F757" s="130"/>
      <c r="G757" s="130"/>
      <c r="H757" s="130"/>
      <c r="I757" s="130"/>
      <c r="J757" s="130"/>
      <c r="K757" s="130"/>
      <c r="L757" s="130"/>
      <c r="M757" s="130"/>
      <c r="N757" s="130"/>
      <c r="O757" s="130"/>
      <c r="P757" s="132"/>
      <c r="Q757" s="134"/>
      <c r="R757" s="134"/>
      <c r="S757" s="134"/>
      <c r="T757" s="135"/>
      <c r="U757" s="135"/>
      <c r="V757" s="135" t="str">
        <f>IFERROR(IF(AA757="SEGURIDAD",OFFSET('PARÁMETROS'!$K$2,MATCH(U757,JC_SE,0),MATCH(T757,CC_SE,0)),
IF(OR(AA757="DSRC/Estratégico",AA757="DSRC/Operativo"),OFFSET('PARÁMETROS'!$K$11,MATCH(U757,JC_DS,0),MATCH(T757,CC_DS,0)),
IF(AA757="SALUD",OFFSET('PARÁMETROS'!$K$29,MATCH(U757,JC_SA,0),MATCH(T757,CC_SA,0)),
IF(AA757="MEDIO AMBIENTE",OFFSET('PARÁMETROS'!$K$20,MATCH(U757,JC_MA,0),MATCH(T757,CC_MA,0)),
IF(AA757="Rel. Gubernamentales",OFFSET('PARÁMETROS'!$K$48,MATCH(U757,JC_G,0),MATCH(T757,CC_G,0)),
IF(AA757="OPERACIONAL",OFFSET('PARÁMETROS'!$K$56,MATCH(U757,JC_OP,0),MATCH(T757,CC_OP,0)),
IF(AA757="FINANCIERO",OFFSET('PARÁMETROS'!$K$56,MATCH(U757,JC_FI,0),MATCH(T757,CC_FI,0)),
OFFSET('PARÁMETROS'!$K$38,MATCH(U757,JC_L,0),MATCH(T757,CC_L,0))))))))),"")</f>
        <v/>
      </c>
      <c r="W757" s="130"/>
      <c r="X757" s="135"/>
      <c r="Y757" s="136"/>
      <c r="Z757" s="30"/>
      <c r="AA757" s="31" t="str">
        <f>E747</f>
        <v/>
      </c>
    </row>
    <row r="758" ht="87.0" customHeight="1">
      <c r="A758" s="129"/>
      <c r="B758" s="130"/>
      <c r="C758" s="130"/>
      <c r="D758" s="130"/>
      <c r="E758" s="130"/>
      <c r="F758" s="130"/>
      <c r="G758" s="130"/>
      <c r="H758" s="130"/>
      <c r="I758" s="130"/>
      <c r="J758" s="130"/>
      <c r="K758" s="130"/>
      <c r="L758" s="130"/>
      <c r="M758" s="130"/>
      <c r="N758" s="130"/>
      <c r="O758" s="130"/>
      <c r="P758" s="132"/>
      <c r="Q758" s="134"/>
      <c r="R758" s="134"/>
      <c r="S758" s="134"/>
      <c r="T758" s="135"/>
      <c r="U758" s="135"/>
      <c r="V758" s="135" t="str">
        <f>IFERROR(IF(AA758="SEGURIDAD",OFFSET('PARÁMETROS'!$K$2,MATCH(U758,JC_SE,0),MATCH(T758,CC_SE,0)),
IF(OR(AA758="DSRC/Estratégico",AA758="DSRC/Operativo"),OFFSET('PARÁMETROS'!$K$11,MATCH(U758,JC_DS,0),MATCH(T758,CC_DS,0)),
IF(AA758="SALUD",OFFSET('PARÁMETROS'!$K$29,MATCH(U758,JC_SA,0),MATCH(T758,CC_SA,0)),
IF(AA758="MEDIO AMBIENTE",OFFSET('PARÁMETROS'!$K$20,MATCH(U758,JC_MA,0),MATCH(T758,CC_MA,0)),
IF(AA758="Rel. Gubernamentales",OFFSET('PARÁMETROS'!$K$48,MATCH(U758,JC_G,0),MATCH(T758,CC_G,0)),
IF(AA758="OPERACIONAL",OFFSET('PARÁMETROS'!$K$56,MATCH(U758,JC_OP,0),MATCH(T758,CC_OP,0)),
IF(AA758="FINANCIERO",OFFSET('PARÁMETROS'!$K$56,MATCH(U758,JC_FI,0),MATCH(T758,CC_FI,0)),
OFFSET('PARÁMETROS'!$K$38,MATCH(U758,JC_L,0),MATCH(T758,CC_L,0))))))))),"")</f>
        <v/>
      </c>
      <c r="W758" s="130"/>
      <c r="X758" s="135"/>
      <c r="Y758" s="136"/>
      <c r="Z758" s="30"/>
      <c r="AA758" s="31" t="str">
        <f>E747</f>
        <v/>
      </c>
    </row>
    <row r="759" ht="87.0" customHeight="1">
      <c r="A759" s="129"/>
      <c r="B759" s="130"/>
      <c r="C759" s="130"/>
      <c r="D759" s="130"/>
      <c r="E759" s="130"/>
      <c r="F759" s="130"/>
      <c r="G759" s="130"/>
      <c r="H759" s="130"/>
      <c r="I759" s="130"/>
      <c r="J759" s="130"/>
      <c r="K759" s="130"/>
      <c r="L759" s="130"/>
      <c r="M759" s="130"/>
      <c r="N759" s="130"/>
      <c r="O759" s="130"/>
      <c r="P759" s="132"/>
      <c r="Q759" s="134"/>
      <c r="R759" s="134"/>
      <c r="S759" s="134"/>
      <c r="T759" s="135"/>
      <c r="U759" s="135"/>
      <c r="V759" s="135" t="str">
        <f>IFERROR(IF(AA759="SEGURIDAD",OFFSET('PARÁMETROS'!$K$2,MATCH(U759,JC_SE,0),MATCH(T759,CC_SE,0)),
IF(OR(AA759="DSRC/Estratégico",AA759="DSRC/Operativo"),OFFSET('PARÁMETROS'!$K$11,MATCH(U759,JC_DS,0),MATCH(T759,CC_DS,0)),
IF(AA759="SALUD",OFFSET('PARÁMETROS'!$K$29,MATCH(U759,JC_SA,0),MATCH(T759,CC_SA,0)),
IF(AA759="MEDIO AMBIENTE",OFFSET('PARÁMETROS'!$K$20,MATCH(U759,JC_MA,0),MATCH(T759,CC_MA,0)),
IF(AA759="Rel. Gubernamentales",OFFSET('PARÁMETROS'!$K$48,MATCH(U759,JC_G,0),MATCH(T759,CC_G,0)),
IF(AA759="OPERACIONAL",OFFSET('PARÁMETROS'!$K$56,MATCH(U759,JC_OP,0),MATCH(T759,CC_OP,0)),
IF(AA759="FINANCIERO",OFFSET('PARÁMETROS'!$K$56,MATCH(U759,JC_FI,0),MATCH(T759,CC_FI,0)),
OFFSET('PARÁMETROS'!$K$38,MATCH(U759,JC_L,0),MATCH(T759,CC_L,0))))))))),"")</f>
        <v/>
      </c>
      <c r="W759" s="130"/>
      <c r="X759" s="135"/>
      <c r="Y759" s="136"/>
      <c r="Z759" s="30"/>
      <c r="AA759" s="31" t="str">
        <f>E747</f>
        <v/>
      </c>
    </row>
    <row r="760" ht="87.0" customHeight="1">
      <c r="A760" s="129"/>
      <c r="B760" s="130"/>
      <c r="C760" s="130"/>
      <c r="D760" s="130"/>
      <c r="E760" s="130"/>
      <c r="F760" s="130"/>
      <c r="G760" s="130"/>
      <c r="H760" s="130"/>
      <c r="I760" s="130"/>
      <c r="J760" s="130"/>
      <c r="K760" s="130"/>
      <c r="L760" s="130"/>
      <c r="M760" s="130"/>
      <c r="N760" s="130"/>
      <c r="O760" s="130"/>
      <c r="P760" s="132"/>
      <c r="Q760" s="134"/>
      <c r="R760" s="134"/>
      <c r="S760" s="134"/>
      <c r="T760" s="135"/>
      <c r="U760" s="135"/>
      <c r="V760" s="135" t="str">
        <f>IFERROR(IF(AA760="SEGURIDAD",OFFSET('PARÁMETROS'!$K$2,MATCH(U760,JC_SE,0),MATCH(T760,CC_SE,0)),
IF(OR(AA760="DSRC/Estratégico",AA760="DSRC/Operativo"),OFFSET('PARÁMETROS'!$K$11,MATCH(U760,JC_DS,0),MATCH(T760,CC_DS,0)),
IF(AA760="SALUD",OFFSET('PARÁMETROS'!$K$29,MATCH(U760,JC_SA,0),MATCH(T760,CC_SA,0)),
IF(AA760="MEDIO AMBIENTE",OFFSET('PARÁMETROS'!$K$20,MATCH(U760,JC_MA,0),MATCH(T760,CC_MA,0)),
IF(AA760="Rel. Gubernamentales",OFFSET('PARÁMETROS'!$K$48,MATCH(U760,JC_G,0),MATCH(T760,CC_G,0)),
IF(AA760="OPERACIONAL",OFFSET('PARÁMETROS'!$K$56,MATCH(U760,JC_OP,0),MATCH(T760,CC_OP,0)),
IF(AA760="FINANCIERO",OFFSET('PARÁMETROS'!$K$56,MATCH(U760,JC_FI,0),MATCH(T760,CC_FI,0)),
OFFSET('PARÁMETROS'!$K$38,MATCH(U760,JC_L,0),MATCH(T760,CC_L,0))))))))),"")</f>
        <v/>
      </c>
      <c r="W760" s="130"/>
      <c r="X760" s="135"/>
      <c r="Y760" s="136"/>
      <c r="Z760" s="30"/>
      <c r="AA760" s="31" t="str">
        <f>E747</f>
        <v/>
      </c>
    </row>
    <row r="761" ht="87.0" customHeight="1">
      <c r="A761" s="129"/>
      <c r="B761" s="130"/>
      <c r="C761" s="130"/>
      <c r="D761" s="130"/>
      <c r="E761" s="130"/>
      <c r="F761" s="130"/>
      <c r="G761" s="130"/>
      <c r="H761" s="130"/>
      <c r="I761" s="130"/>
      <c r="J761" s="130"/>
      <c r="K761" s="130"/>
      <c r="L761" s="130"/>
      <c r="M761" s="130"/>
      <c r="N761" s="130"/>
      <c r="O761" s="130"/>
      <c r="P761" s="132"/>
      <c r="Q761" s="134"/>
      <c r="R761" s="134"/>
      <c r="S761" s="134"/>
      <c r="T761" s="135"/>
      <c r="U761" s="135"/>
      <c r="V761" s="135" t="str">
        <f>IFERROR(IF(AA761="SEGURIDAD",OFFSET('PARÁMETROS'!$K$2,MATCH(U761,JC_SE,0),MATCH(T761,CC_SE,0)),
IF(OR(AA761="DSRC/Estratégico",AA761="DSRC/Operativo"),OFFSET('PARÁMETROS'!$K$11,MATCH(U761,JC_DS,0),MATCH(T761,CC_DS,0)),
IF(AA761="SALUD",OFFSET('PARÁMETROS'!$K$29,MATCH(U761,JC_SA,0),MATCH(T761,CC_SA,0)),
IF(AA761="MEDIO AMBIENTE",OFFSET('PARÁMETROS'!$K$20,MATCH(U761,JC_MA,0),MATCH(T761,CC_MA,0)),
IF(AA761="Rel. Gubernamentales",OFFSET('PARÁMETROS'!$K$48,MATCH(U761,JC_G,0),MATCH(T761,CC_G,0)),
IF(AA761="OPERACIONAL",OFFSET('PARÁMETROS'!$K$56,MATCH(U761,JC_OP,0),MATCH(T761,CC_OP,0)),
IF(AA761="FINANCIERO",OFFSET('PARÁMETROS'!$K$56,MATCH(U761,JC_FI,0),MATCH(T761,CC_FI,0)),
OFFSET('PARÁMETROS'!$K$38,MATCH(U761,JC_L,0),MATCH(T761,CC_L,0))))))))),"")</f>
        <v/>
      </c>
      <c r="W761" s="130"/>
      <c r="X761" s="135"/>
      <c r="Y761" s="136"/>
      <c r="Z761" s="30"/>
      <c r="AA761" s="31" t="str">
        <f>E747</f>
        <v/>
      </c>
    </row>
    <row r="762" ht="87.0" customHeight="1">
      <c r="A762" s="89"/>
      <c r="B762" s="90"/>
      <c r="C762" s="90"/>
      <c r="D762" s="157"/>
      <c r="E762" s="157"/>
      <c r="F762" s="157"/>
      <c r="G762" s="157"/>
      <c r="H762" s="157"/>
      <c r="I762" s="90"/>
      <c r="J762" s="90"/>
      <c r="K762" s="90"/>
      <c r="L762" s="90"/>
      <c r="M762" s="90"/>
      <c r="N762" s="90"/>
      <c r="O762" s="90"/>
      <c r="P762" s="132"/>
      <c r="Q762" s="134"/>
      <c r="R762" s="145"/>
      <c r="S762" s="145"/>
      <c r="T762" s="135"/>
      <c r="U762" s="135"/>
      <c r="V762" s="135" t="str">
        <f>IFERROR(IF(AA762="SEGURIDAD",OFFSET('PARÁMETROS'!$K$2,MATCH(U762,JC_SE,0),MATCH(T762,CC_SE,0)),
IF(OR(AA762="DSRC/Estratégico",AA762="DSRC/Operativo"),OFFSET('PARÁMETROS'!$K$11,MATCH(U762,JC_DS,0),MATCH(T762,CC_DS,0)),
IF(AA762="SALUD",OFFSET('PARÁMETROS'!$K$29,MATCH(U762,JC_SA,0),MATCH(T762,CC_SA,0)),
IF(AA762="MEDIO AMBIENTE",OFFSET('PARÁMETROS'!$K$20,MATCH(U762,JC_MA,0),MATCH(T762,CC_MA,0)),
IF(AA762="Rel. Gubernamentales",OFFSET('PARÁMETROS'!$K$48,MATCH(U762,JC_G,0),MATCH(T762,CC_G,0)),
IF(AA762="OPERACIONAL",OFFSET('PARÁMETROS'!$K$56,MATCH(U762,JC_OP,0),MATCH(T762,CC_OP,0)),
IF(AA762="FINANCIERO",OFFSET('PARÁMETROS'!$K$56,MATCH(U762,JC_FI,0),MATCH(T762,CC_FI,0)),
OFFSET('PARÁMETROS'!$K$38,MATCH(U762,JC_L,0),MATCH(T762,CC_L,0))))))))),"")</f>
        <v/>
      </c>
      <c r="W762" s="90"/>
      <c r="X762" s="135"/>
      <c r="Y762" s="136"/>
      <c r="Z762" s="30"/>
      <c r="AA762" s="31" t="str">
        <f>E747</f>
        <v/>
      </c>
    </row>
    <row r="763" ht="87.0" customHeight="1">
      <c r="A763" s="102"/>
      <c r="B763" s="103"/>
      <c r="C763" s="103"/>
      <c r="D763" s="103"/>
      <c r="E763" s="103"/>
      <c r="F763" s="103"/>
      <c r="G763" s="105"/>
      <c r="H763" s="103"/>
      <c r="I763" s="105"/>
      <c r="J763" s="103"/>
      <c r="K763" s="103"/>
      <c r="L763" s="103" t="str">
        <f>IF(OR(J763&lt;&gt;"",K763&lt;&gt;""),OFFSET('PARÁMETROS'!$B$2,K763,J763),"")</f>
        <v/>
      </c>
      <c r="M763" s="103"/>
      <c r="N763" s="103">
        <f>IFERROR(L763*M763,"")</f>
        <v>0</v>
      </c>
      <c r="O763" s="108" t="str">
        <f>IF(N763="","",IFERROR(IF(N763&lt;=2,"ACEPTABLE",IF(N763&lt;=6,"BAJA",IF(N763&lt;=10,"ACEPTABLE CON REVISIÓN",IF(N763&lt;=15,"SUSTANCIAL","INACEPTABLE")))),""))</f>
        <v>ACEPTABLE</v>
      </c>
      <c r="P763" s="113"/>
      <c r="Q763" s="114"/>
      <c r="R763" s="114"/>
      <c r="S763" s="114"/>
      <c r="T763" s="115"/>
      <c r="U763" s="115"/>
      <c r="V763" s="115" t="str">
        <f>IFERROR(IF(AA763="SEGURIDAD",OFFSET('PARÁMETROS'!$K$2,MATCH(U763,JC_SE,0),MATCH(T763,CC_SE,0)),
IF(OR(AA763="DSRC/Estratégico",AA763="DSRC/Operativo"),OFFSET('PARÁMETROS'!$K$11,MATCH(U763,JC_DS,0),MATCH(T763,CC_DS,0)),
IF(AA763="SALUD",OFFSET('PARÁMETROS'!$K$29,MATCH(U763,JC_SA,0),MATCH(T763,CC_SA,0)),
IF(AA763="MEDIO AMBIENTE",OFFSET('PARÁMETROS'!$K$20,MATCH(U763,JC_MA,0),MATCH(T763,CC_MA,0)),
IF(AA763="Rel. Gubernamentales",OFFSET('PARÁMETROS'!$K$48,MATCH(U763,JC_G,0),MATCH(T763,CC_G,0)),
IF(AA763="OPERACIONAL",OFFSET('PARÁMETROS'!$K$56,MATCH(U763,JC_OP,0),MATCH(T763,CC_OP,0)),
IF(AA763="FINANCIERO",OFFSET('PARÁMETROS'!$K$56,MATCH(U763,JC_FI,0),MATCH(T763,CC_FI,0)),
OFFSET('PARÁMETROS'!$K$38,MATCH(U763,JC_L,0),MATCH(T763,CC_L,0))))))))),"")</f>
        <v/>
      </c>
      <c r="W763" s="108" t="str">
        <f>IF(E763="","",
IF(COUNTA(V763:V778)-COUNTBLANK(V763:V778)=1,
IF(O763="INACEPTABLE",IF(COUNTIF(V763:V778,"Control/Acción Eficaz")&gt;=1,"SUSTANCIAL","INACEPTABLE"),
IF(O763="SUSTANCIAL",IF(COUNTIF(V763:V778,"Control/Acción Eficaz")&gt;=1,"ACEPTABLE CON REVISIÓN","SUSTANCIAL"),
IF(O763="ACEPTABLE CON REVISIÓN",IF(COUNTIF(V763:V778,"Control/Acción Eficaz")&gt;=1,"BAJA","ACEPTABLE CON REVISIÓN"),
IF(O763="BAJA",IF(COUNTIF(V763:V778,"Control/Acción Eficaz")&gt;=1,"ACEPTABLE","BAJA"),)))),
IF(COUNTA(V763:V778)-COUNTBLANK(V763:V778)=2,
IF(O763="INACEPTABLE",IF(COUNTIF(V763:V778,"Control/Acción Eficaz")=2,"ACEPTABLE CON REVISIÓN",
IF(OR(AND(COUNTIF(V763:V778,"Control/Acción Eficaz")=1,COUNTIF(V763:V778,"Control/Acción Satisfactorio")=1),
AND(COUNTIF(V763:V778,"Control/Acción Eficaz")=1,COUNTIF(V763:V778,"Control/Acción No Eficaz")=1)),"SUSTANCIAL","INACEPTABLE")),
IF(O763="SUSTANCIAL",IF(COUNTIF(V763:V778,"Control/Acción Eficaz")=2,"BAJA",
IF(OR(AND(COUNTIF(V763:V778,"Control/Acción Eficaz")=1,COUNTIF(V763:V778,"Control/Acción Satisfactorio")=1),
AND(COUNTIF(V763:V778,"Control/Acción Eficaz")=1,COUNTIF(V763:V778,"Control/Acción No Eficaz")=1)),"ACEPTABLE CON REVISIÓN ","SUSTANCIAL")),
IF(O763="ACEPTABLE CON REVISIÓN",IF(COUNTIF(V763:V778,"Control/Acción Eficaz")=2,"ACEPTABLE",
IF(OR(AND(COUNTIF(V763:V778,"Control/Acción Eficaz")=1,COUNTIF(V763:V778,"Control/Acción Satisfactorio")=1),
AND(COUNTIF(V763:V778,"Control/Acción Eficaz")=1,COUNTIF(V763:V778,"Control/Acción No Eficaz")=1)),"BAJA","ACEPTABLE CON REVISIÓN")),
IF(O763="BAJA",IF(COUNTIF(V763:V778,"Control/Acción Eficaz")&gt;=2,"ACEPTABLE","BAJA"),)))),
IF(COUNTA(V763:V778)-COUNTBLANK(V763:V778)&gt;=3,
IF(O763="INACEPTABLE",
IF(COUNTBLANK(V763:V778)=COUNTA(V763:V778),"",
IF(COUNTIF(V763:V778,"Control/Acción No Eficaz")&gt;=2,"INACEPTABLE",
IF(AND(COUNTIF(V763:V778,"Control/Acción No Eficaz")=0,COUNTIF(V763:V778,"Control/Acción Eficaz")&gt;=2),"ACEPTABLE CON REVISIÓN ","SUSTANCIAL"))),
IF(O763="SUSTANCIAL",
IF(COUNTBLANK(V763:V778)=COUNTA(V763:V778),"",
IF(COUNTIF(V763:V778,"Control/Acción No Eficaz")&gt;=2,"SUSTANCIAL",
IF(AND(COUNTIF(V763:V778,"Control/Acción No Eficaz")=0,COUNTIF(V763:V778,"Control/Acción Eficaz")&gt;=2),"BAJA","ACEPTABLE CON REVISIÓN"))),
IF(O763="ACEPTABLE CON REVISIÓN",
IF(COUNTBLANK(V763:V778)=COUNTA(V763:V778),"",
IF(COUNTIF(V763:V778,"Control/Acción No Eficaz")&gt;=2,"ACEPTABLE CON REVISIÓN",
IF(AND(COUNTIF(V763:V778,"Control/Acción No Eficaz")=0,COUNTIF(V763:V778,"Control/Acción Eficaz")&gt;=2),"ACEPTABLE","BAJA"))),
IF(O763="BAJA",
IF(COUNTBLANK(V763:V778)=COUNTA(V763:V778),"",
IF(AND(COUNTBLANK(V763:V778)&lt;1,COUNTA(V763:V778)=1),
IF(COUNTIF(V763:V778,"Control/Acción No Eficaz")&gt;=2,"BAJA",
IF(AND(COUNTIF(V763:V778,"Control/Acción No Eficaz")=0,COUNTIF(V763:V778,"Control/Acción Eficaz")&gt;=2),"ACEPTABLE","BAJA")),
IF(COUNTIF(V763:V778,"Control/Acción No Eficaz")&gt;=2,"BAJA",
IF(AND(COUNTIF(V763:V778,"Control/Acción No Eficaz")=0,COUNTIF(V763:V778,"Control/Acción Eficaz")&gt;=2),"ACEPTABLE","BAJA")))),
IF(COUNTIF(V763:V778,"")&gt;=5,"",O763))))),
""))))</f>
        <v/>
      </c>
      <c r="X763" s="115"/>
      <c r="Y763" s="128"/>
      <c r="Z763" s="30"/>
      <c r="AA763" s="31" t="str">
        <f>E763</f>
        <v/>
      </c>
    </row>
    <row r="764" ht="87.0" customHeight="1">
      <c r="A764" s="129"/>
      <c r="B764" s="130"/>
      <c r="C764" s="130"/>
      <c r="D764" s="130"/>
      <c r="E764" s="130"/>
      <c r="F764" s="130"/>
      <c r="G764" s="130"/>
      <c r="H764" s="130"/>
      <c r="I764" s="130"/>
      <c r="J764" s="130"/>
      <c r="K764" s="130"/>
      <c r="L764" s="130"/>
      <c r="M764" s="130"/>
      <c r="N764" s="130"/>
      <c r="O764" s="130"/>
      <c r="P764" s="132"/>
      <c r="Q764" s="134"/>
      <c r="R764" s="134"/>
      <c r="S764" s="134"/>
      <c r="T764" s="135"/>
      <c r="U764" s="135"/>
      <c r="V764" s="135" t="str">
        <f>IFERROR(IF(AA764="SEGURIDAD",OFFSET('PARÁMETROS'!$K$2,MATCH(U764,JC_SE,0),MATCH(T764,CC_SE,0)),
IF(OR(AA764="DSRC/Estratégico",AA764="DSRC/Operativo"),OFFSET('PARÁMETROS'!$K$11,MATCH(U764,JC_DS,0),MATCH(T764,CC_DS,0)),
IF(AA764="SALUD",OFFSET('PARÁMETROS'!$K$29,MATCH(U764,JC_SA,0),MATCH(T764,CC_SA,0)),
IF(AA764="MEDIO AMBIENTE",OFFSET('PARÁMETROS'!$K$20,MATCH(U764,JC_MA,0),MATCH(T764,CC_MA,0)),
IF(AA764="Rel. Gubernamentales",OFFSET('PARÁMETROS'!$K$48,MATCH(U764,JC_G,0),MATCH(T764,CC_G,0)),
IF(AA764="OPERACIONAL",OFFSET('PARÁMETROS'!$K$56,MATCH(U764,JC_OP,0),MATCH(T764,CC_OP,0)),
IF(AA764="FINANCIERO",OFFSET('PARÁMETROS'!$K$56,MATCH(U764,JC_FI,0),MATCH(T764,CC_FI,0)),
OFFSET('PARÁMETROS'!$K$38,MATCH(U764,JC_L,0),MATCH(T764,CC_L,0))))))))),"")</f>
        <v/>
      </c>
      <c r="W764" s="130"/>
      <c r="X764" s="135"/>
      <c r="Y764" s="136"/>
      <c r="Z764" s="30"/>
      <c r="AA764" s="31" t="str">
        <f>E763</f>
        <v/>
      </c>
    </row>
    <row r="765" ht="87.0" customHeight="1">
      <c r="A765" s="129"/>
      <c r="B765" s="130"/>
      <c r="C765" s="130"/>
      <c r="D765" s="130"/>
      <c r="E765" s="130"/>
      <c r="F765" s="130"/>
      <c r="G765" s="130"/>
      <c r="H765" s="130"/>
      <c r="I765" s="130"/>
      <c r="J765" s="130"/>
      <c r="K765" s="130"/>
      <c r="L765" s="130"/>
      <c r="M765" s="130"/>
      <c r="N765" s="130"/>
      <c r="O765" s="130"/>
      <c r="P765" s="132"/>
      <c r="Q765" s="134"/>
      <c r="R765" s="134"/>
      <c r="S765" s="134"/>
      <c r="T765" s="135"/>
      <c r="U765" s="135"/>
      <c r="V765" s="135" t="str">
        <f>IFERROR(IF(AA765="SEGURIDAD",OFFSET('PARÁMETROS'!$K$2,MATCH(U765,JC_SE,0),MATCH(T765,CC_SE,0)),
IF(OR(AA765="DSRC/Estratégico",AA765="DSRC/Operativo"),OFFSET('PARÁMETROS'!$K$11,MATCH(U765,JC_DS,0),MATCH(T765,CC_DS,0)),
IF(AA765="SALUD",OFFSET('PARÁMETROS'!$K$29,MATCH(U765,JC_SA,0),MATCH(T765,CC_SA,0)),
IF(AA765="MEDIO AMBIENTE",OFFSET('PARÁMETROS'!$K$20,MATCH(U765,JC_MA,0),MATCH(T765,CC_MA,0)),
IF(AA765="Rel. Gubernamentales",OFFSET('PARÁMETROS'!$K$48,MATCH(U765,JC_G,0),MATCH(T765,CC_G,0)),
IF(AA765="OPERACIONAL",OFFSET('PARÁMETROS'!$K$56,MATCH(U765,JC_OP,0),MATCH(T765,CC_OP,0)),
IF(AA765="FINANCIERO",OFFSET('PARÁMETROS'!$K$56,MATCH(U765,JC_FI,0),MATCH(T765,CC_FI,0)),
OFFSET('PARÁMETROS'!$K$38,MATCH(U765,JC_L,0),MATCH(T765,CC_L,0))))))))),"")</f>
        <v/>
      </c>
      <c r="W765" s="130"/>
      <c r="X765" s="135"/>
      <c r="Y765" s="136"/>
      <c r="Z765" s="30"/>
      <c r="AA765" s="31" t="str">
        <f>E763</f>
        <v/>
      </c>
    </row>
    <row r="766" ht="87.0" customHeight="1">
      <c r="A766" s="129"/>
      <c r="B766" s="130"/>
      <c r="C766" s="130"/>
      <c r="D766" s="130"/>
      <c r="E766" s="130"/>
      <c r="F766" s="130"/>
      <c r="G766" s="130"/>
      <c r="H766" s="130"/>
      <c r="I766" s="130"/>
      <c r="J766" s="130"/>
      <c r="K766" s="130"/>
      <c r="L766" s="130"/>
      <c r="M766" s="130"/>
      <c r="N766" s="130"/>
      <c r="O766" s="130"/>
      <c r="P766" s="132"/>
      <c r="Q766" s="134"/>
      <c r="R766" s="134"/>
      <c r="S766" s="134"/>
      <c r="T766" s="135"/>
      <c r="U766" s="135"/>
      <c r="V766" s="135" t="str">
        <f>IFERROR(IF(AA766="SEGURIDAD",OFFSET('PARÁMETROS'!$K$2,MATCH(U766,JC_SE,0),MATCH(T766,CC_SE,0)),
IF(OR(AA766="DSRC/Estratégico",AA766="DSRC/Operativo"),OFFSET('PARÁMETROS'!$K$11,MATCH(U766,JC_DS,0),MATCH(T766,CC_DS,0)),
IF(AA766="SALUD",OFFSET('PARÁMETROS'!$K$29,MATCH(U766,JC_SA,0),MATCH(T766,CC_SA,0)),
IF(AA766="MEDIO AMBIENTE",OFFSET('PARÁMETROS'!$K$20,MATCH(U766,JC_MA,0),MATCH(T766,CC_MA,0)),
IF(AA766="Rel. Gubernamentales",OFFSET('PARÁMETROS'!$K$48,MATCH(U766,JC_G,0),MATCH(T766,CC_G,0)),
IF(AA766="OPERACIONAL",OFFSET('PARÁMETROS'!$K$56,MATCH(U766,JC_OP,0),MATCH(T766,CC_OP,0)),
IF(AA766="FINANCIERO",OFFSET('PARÁMETROS'!$K$56,MATCH(U766,JC_FI,0),MATCH(T766,CC_FI,0)),
OFFSET('PARÁMETROS'!$K$38,MATCH(U766,JC_L,0),MATCH(T766,CC_L,0))))))))),"")</f>
        <v/>
      </c>
      <c r="W766" s="130"/>
      <c r="X766" s="135"/>
      <c r="Y766" s="136"/>
      <c r="Z766" s="30"/>
      <c r="AA766" s="31" t="str">
        <f>E763</f>
        <v/>
      </c>
    </row>
    <row r="767" ht="87.0" customHeight="1">
      <c r="A767" s="129"/>
      <c r="B767" s="130"/>
      <c r="C767" s="130"/>
      <c r="D767" s="130"/>
      <c r="E767" s="130"/>
      <c r="F767" s="130"/>
      <c r="G767" s="130"/>
      <c r="H767" s="130"/>
      <c r="I767" s="130"/>
      <c r="J767" s="130"/>
      <c r="K767" s="130"/>
      <c r="L767" s="130"/>
      <c r="M767" s="130"/>
      <c r="N767" s="130"/>
      <c r="O767" s="130"/>
      <c r="P767" s="132"/>
      <c r="Q767" s="134"/>
      <c r="R767" s="134"/>
      <c r="S767" s="134"/>
      <c r="T767" s="135"/>
      <c r="U767" s="135"/>
      <c r="V767" s="135" t="str">
        <f>IFERROR(IF(AA767="SEGURIDAD",OFFSET('PARÁMETROS'!$K$2,MATCH(U767,JC_SE,0),MATCH(T767,CC_SE,0)),
IF(OR(AA767="DSRC/Estratégico",AA767="DSRC/Operativo"),OFFSET('PARÁMETROS'!$K$11,MATCH(U767,JC_DS,0),MATCH(T767,CC_DS,0)),
IF(AA767="SALUD",OFFSET('PARÁMETROS'!$K$29,MATCH(U767,JC_SA,0),MATCH(T767,CC_SA,0)),
IF(AA767="MEDIO AMBIENTE",OFFSET('PARÁMETROS'!$K$20,MATCH(U767,JC_MA,0),MATCH(T767,CC_MA,0)),
IF(AA767="Rel. Gubernamentales",OFFSET('PARÁMETROS'!$K$48,MATCH(U767,JC_G,0),MATCH(T767,CC_G,0)),
IF(AA767="OPERACIONAL",OFFSET('PARÁMETROS'!$K$56,MATCH(U767,JC_OP,0),MATCH(T767,CC_OP,0)),
IF(AA767="FINANCIERO",OFFSET('PARÁMETROS'!$K$56,MATCH(U767,JC_FI,0),MATCH(T767,CC_FI,0)),
OFFSET('PARÁMETROS'!$K$38,MATCH(U767,JC_L,0),MATCH(T767,CC_L,0))))))))),"")</f>
        <v/>
      </c>
      <c r="W767" s="130"/>
      <c r="X767" s="135"/>
      <c r="Y767" s="136"/>
      <c r="Z767" s="30"/>
      <c r="AA767" s="31" t="str">
        <f>E763</f>
        <v/>
      </c>
    </row>
    <row r="768" ht="87.0" customHeight="1">
      <c r="A768" s="129"/>
      <c r="B768" s="130"/>
      <c r="C768" s="130"/>
      <c r="D768" s="130"/>
      <c r="E768" s="130"/>
      <c r="F768" s="130"/>
      <c r="G768" s="130"/>
      <c r="H768" s="130"/>
      <c r="I768" s="130"/>
      <c r="J768" s="130"/>
      <c r="K768" s="130"/>
      <c r="L768" s="130"/>
      <c r="M768" s="130"/>
      <c r="N768" s="130"/>
      <c r="O768" s="130"/>
      <c r="P768" s="132"/>
      <c r="Q768" s="134"/>
      <c r="R768" s="134"/>
      <c r="S768" s="134"/>
      <c r="T768" s="135"/>
      <c r="U768" s="135"/>
      <c r="V768" s="135" t="str">
        <f>IFERROR(IF(AA768="SEGURIDAD",OFFSET('PARÁMETROS'!$K$2,MATCH(U768,JC_SE,0),MATCH(T768,CC_SE,0)),
IF(OR(AA768="DSRC/Estratégico",AA768="DSRC/Operativo"),OFFSET('PARÁMETROS'!$K$11,MATCH(U768,JC_DS,0),MATCH(T768,CC_DS,0)),
IF(AA768="SALUD",OFFSET('PARÁMETROS'!$K$29,MATCH(U768,JC_SA,0),MATCH(T768,CC_SA,0)),
IF(AA768="MEDIO AMBIENTE",OFFSET('PARÁMETROS'!$K$20,MATCH(U768,JC_MA,0),MATCH(T768,CC_MA,0)),
IF(AA768="Rel. Gubernamentales",OFFSET('PARÁMETROS'!$K$48,MATCH(U768,JC_G,0),MATCH(T768,CC_G,0)),
IF(AA768="OPERACIONAL",OFFSET('PARÁMETROS'!$K$56,MATCH(U768,JC_OP,0),MATCH(T768,CC_OP,0)),
IF(AA768="FINANCIERO",OFFSET('PARÁMETROS'!$K$56,MATCH(U768,JC_FI,0),MATCH(T768,CC_FI,0)),
OFFSET('PARÁMETROS'!$K$38,MATCH(U768,JC_L,0),MATCH(T768,CC_L,0))))))))),"")</f>
        <v/>
      </c>
      <c r="W768" s="130"/>
      <c r="X768" s="135"/>
      <c r="Y768" s="136"/>
      <c r="Z768" s="30"/>
      <c r="AA768" s="31" t="str">
        <f>E763</f>
        <v/>
      </c>
    </row>
    <row r="769" ht="87.0" customHeight="1">
      <c r="A769" s="129"/>
      <c r="B769" s="130"/>
      <c r="C769" s="130"/>
      <c r="D769" s="130"/>
      <c r="E769" s="130"/>
      <c r="F769" s="130"/>
      <c r="G769" s="130"/>
      <c r="H769" s="130"/>
      <c r="I769" s="130"/>
      <c r="J769" s="130"/>
      <c r="K769" s="130"/>
      <c r="L769" s="130"/>
      <c r="M769" s="130"/>
      <c r="N769" s="130"/>
      <c r="O769" s="130"/>
      <c r="P769" s="132"/>
      <c r="Q769" s="134"/>
      <c r="R769" s="134"/>
      <c r="S769" s="134"/>
      <c r="T769" s="135"/>
      <c r="U769" s="135"/>
      <c r="V769" s="135" t="str">
        <f>IFERROR(IF(AA769="SEGURIDAD",OFFSET('PARÁMETROS'!$K$2,MATCH(U769,JC_SE,0),MATCH(T769,CC_SE,0)),
IF(OR(AA769="DSRC/Estratégico",AA769="DSRC/Operativo"),OFFSET('PARÁMETROS'!$K$11,MATCH(U769,JC_DS,0),MATCH(T769,CC_DS,0)),
IF(AA769="SALUD",OFFSET('PARÁMETROS'!$K$29,MATCH(U769,JC_SA,0),MATCH(T769,CC_SA,0)),
IF(AA769="MEDIO AMBIENTE",OFFSET('PARÁMETROS'!$K$20,MATCH(U769,JC_MA,0),MATCH(T769,CC_MA,0)),
IF(AA769="Rel. Gubernamentales",OFFSET('PARÁMETROS'!$K$48,MATCH(U769,JC_G,0),MATCH(T769,CC_G,0)),
IF(AA769="OPERACIONAL",OFFSET('PARÁMETROS'!$K$56,MATCH(U769,JC_OP,0),MATCH(T769,CC_OP,0)),
IF(AA769="FINANCIERO",OFFSET('PARÁMETROS'!$K$56,MATCH(U769,JC_FI,0),MATCH(T769,CC_FI,0)),
OFFSET('PARÁMETROS'!$K$38,MATCH(U769,JC_L,0),MATCH(T769,CC_L,0))))))))),"")</f>
        <v/>
      </c>
      <c r="W769" s="130"/>
      <c r="X769" s="135"/>
      <c r="Y769" s="136"/>
      <c r="Z769" s="30"/>
      <c r="AA769" s="31" t="str">
        <f>E763</f>
        <v/>
      </c>
    </row>
    <row r="770" ht="87.0" customHeight="1">
      <c r="A770" s="129"/>
      <c r="B770" s="130"/>
      <c r="C770" s="130"/>
      <c r="D770" s="130"/>
      <c r="E770" s="130"/>
      <c r="F770" s="130"/>
      <c r="G770" s="130"/>
      <c r="H770" s="130"/>
      <c r="I770" s="130"/>
      <c r="J770" s="130"/>
      <c r="K770" s="130"/>
      <c r="L770" s="130"/>
      <c r="M770" s="130"/>
      <c r="N770" s="130"/>
      <c r="O770" s="130"/>
      <c r="P770" s="132"/>
      <c r="Q770" s="134"/>
      <c r="R770" s="134"/>
      <c r="S770" s="134"/>
      <c r="T770" s="135"/>
      <c r="U770" s="135"/>
      <c r="V770" s="135" t="str">
        <f>IFERROR(IF(AA770="SEGURIDAD",OFFSET('PARÁMETROS'!$K$2,MATCH(U770,JC_SE,0),MATCH(T770,CC_SE,0)),
IF(OR(AA770="DSRC/Estratégico",AA770="DSRC/Operativo"),OFFSET('PARÁMETROS'!$K$11,MATCH(U770,JC_DS,0),MATCH(T770,CC_DS,0)),
IF(AA770="SALUD",OFFSET('PARÁMETROS'!$K$29,MATCH(U770,JC_SA,0),MATCH(T770,CC_SA,0)),
IF(AA770="MEDIO AMBIENTE",OFFSET('PARÁMETROS'!$K$20,MATCH(U770,JC_MA,0),MATCH(T770,CC_MA,0)),
IF(AA770="Rel. Gubernamentales",OFFSET('PARÁMETROS'!$K$48,MATCH(U770,JC_G,0),MATCH(T770,CC_G,0)),
IF(AA770="OPERACIONAL",OFFSET('PARÁMETROS'!$K$56,MATCH(U770,JC_OP,0),MATCH(T770,CC_OP,0)),
IF(AA770="FINANCIERO",OFFSET('PARÁMETROS'!$K$56,MATCH(U770,JC_FI,0),MATCH(T770,CC_FI,0)),
OFFSET('PARÁMETROS'!$K$38,MATCH(U770,JC_L,0),MATCH(T770,CC_L,0))))))))),"")</f>
        <v/>
      </c>
      <c r="W770" s="130"/>
      <c r="X770" s="135"/>
      <c r="Y770" s="136"/>
      <c r="Z770" s="30"/>
      <c r="AA770" s="31" t="str">
        <f>E763</f>
        <v/>
      </c>
    </row>
    <row r="771" ht="87.0" customHeight="1">
      <c r="A771" s="129"/>
      <c r="B771" s="130"/>
      <c r="C771" s="130"/>
      <c r="D771" s="130"/>
      <c r="E771" s="130"/>
      <c r="F771" s="130"/>
      <c r="G771" s="130"/>
      <c r="H771" s="130"/>
      <c r="I771" s="130"/>
      <c r="J771" s="130"/>
      <c r="K771" s="130"/>
      <c r="L771" s="130"/>
      <c r="M771" s="130"/>
      <c r="N771" s="130"/>
      <c r="O771" s="130"/>
      <c r="P771" s="132"/>
      <c r="Q771" s="134"/>
      <c r="R771" s="134"/>
      <c r="S771" s="134"/>
      <c r="T771" s="135"/>
      <c r="U771" s="135"/>
      <c r="V771" s="135" t="str">
        <f>IFERROR(IF(AA771="SEGURIDAD",OFFSET('PARÁMETROS'!$K$2,MATCH(U771,JC_SE,0),MATCH(T771,CC_SE,0)),
IF(OR(AA771="DSRC/Estratégico",AA771="DSRC/Operativo"),OFFSET('PARÁMETROS'!$K$11,MATCH(U771,JC_DS,0),MATCH(T771,CC_DS,0)),
IF(AA771="SALUD",OFFSET('PARÁMETROS'!$K$29,MATCH(U771,JC_SA,0),MATCH(T771,CC_SA,0)),
IF(AA771="MEDIO AMBIENTE",OFFSET('PARÁMETROS'!$K$20,MATCH(U771,JC_MA,0),MATCH(T771,CC_MA,0)),
IF(AA771="Rel. Gubernamentales",OFFSET('PARÁMETROS'!$K$48,MATCH(U771,JC_G,0),MATCH(T771,CC_G,0)),
IF(AA771="OPERACIONAL",OFFSET('PARÁMETROS'!$K$56,MATCH(U771,JC_OP,0),MATCH(T771,CC_OP,0)),
IF(AA771="FINANCIERO",OFFSET('PARÁMETROS'!$K$56,MATCH(U771,JC_FI,0),MATCH(T771,CC_FI,0)),
OFFSET('PARÁMETROS'!$K$38,MATCH(U771,JC_L,0),MATCH(T771,CC_L,0))))))))),"")</f>
        <v/>
      </c>
      <c r="W771" s="130"/>
      <c r="X771" s="135"/>
      <c r="Y771" s="136"/>
      <c r="Z771" s="30"/>
      <c r="AA771" s="31" t="str">
        <f>E763</f>
        <v/>
      </c>
    </row>
    <row r="772" ht="87.0" customHeight="1">
      <c r="A772" s="129"/>
      <c r="B772" s="130"/>
      <c r="C772" s="130"/>
      <c r="D772" s="130"/>
      <c r="E772" s="130"/>
      <c r="F772" s="130"/>
      <c r="G772" s="130"/>
      <c r="H772" s="130"/>
      <c r="I772" s="130"/>
      <c r="J772" s="130"/>
      <c r="K772" s="130"/>
      <c r="L772" s="130"/>
      <c r="M772" s="130"/>
      <c r="N772" s="130"/>
      <c r="O772" s="130"/>
      <c r="P772" s="132"/>
      <c r="Q772" s="134"/>
      <c r="R772" s="134"/>
      <c r="S772" s="134"/>
      <c r="T772" s="135"/>
      <c r="U772" s="135"/>
      <c r="V772" s="135" t="str">
        <f>IFERROR(IF(AA772="SEGURIDAD",OFFSET('PARÁMETROS'!$K$2,MATCH(U772,JC_SE,0),MATCH(T772,CC_SE,0)),
IF(OR(AA772="DSRC/Estratégico",AA772="DSRC/Operativo"),OFFSET('PARÁMETROS'!$K$11,MATCH(U772,JC_DS,0),MATCH(T772,CC_DS,0)),
IF(AA772="SALUD",OFFSET('PARÁMETROS'!$K$29,MATCH(U772,JC_SA,0),MATCH(T772,CC_SA,0)),
IF(AA772="MEDIO AMBIENTE",OFFSET('PARÁMETROS'!$K$20,MATCH(U772,JC_MA,0),MATCH(T772,CC_MA,0)),
IF(AA772="Rel. Gubernamentales",OFFSET('PARÁMETROS'!$K$48,MATCH(U772,JC_G,0),MATCH(T772,CC_G,0)),
IF(AA772="OPERACIONAL",OFFSET('PARÁMETROS'!$K$56,MATCH(U772,JC_OP,0),MATCH(T772,CC_OP,0)),
IF(AA772="FINANCIERO",OFFSET('PARÁMETROS'!$K$56,MATCH(U772,JC_FI,0),MATCH(T772,CC_FI,0)),
OFFSET('PARÁMETROS'!$K$38,MATCH(U772,JC_L,0),MATCH(T772,CC_L,0))))))))),"")</f>
        <v/>
      </c>
      <c r="W772" s="130"/>
      <c r="X772" s="135"/>
      <c r="Y772" s="136"/>
      <c r="Z772" s="30"/>
      <c r="AA772" s="31" t="str">
        <f>E763</f>
        <v/>
      </c>
    </row>
    <row r="773" ht="87.0" customHeight="1">
      <c r="A773" s="129"/>
      <c r="B773" s="130"/>
      <c r="C773" s="130"/>
      <c r="D773" s="130"/>
      <c r="E773" s="130"/>
      <c r="F773" s="130"/>
      <c r="G773" s="130"/>
      <c r="H773" s="130"/>
      <c r="I773" s="130"/>
      <c r="J773" s="130"/>
      <c r="K773" s="130"/>
      <c r="L773" s="130"/>
      <c r="M773" s="130"/>
      <c r="N773" s="130"/>
      <c r="O773" s="130"/>
      <c r="P773" s="132"/>
      <c r="Q773" s="134"/>
      <c r="R773" s="134"/>
      <c r="S773" s="134"/>
      <c r="T773" s="135"/>
      <c r="U773" s="135"/>
      <c r="V773" s="135" t="str">
        <f>IFERROR(IF(AA773="SEGURIDAD",OFFSET('PARÁMETROS'!$K$2,MATCH(U773,JC_SE,0),MATCH(T773,CC_SE,0)),
IF(OR(AA773="DSRC/Estratégico",AA773="DSRC/Operativo"),OFFSET('PARÁMETROS'!$K$11,MATCH(U773,JC_DS,0),MATCH(T773,CC_DS,0)),
IF(AA773="SALUD",OFFSET('PARÁMETROS'!$K$29,MATCH(U773,JC_SA,0),MATCH(T773,CC_SA,0)),
IF(AA773="MEDIO AMBIENTE",OFFSET('PARÁMETROS'!$K$20,MATCH(U773,JC_MA,0),MATCH(T773,CC_MA,0)),
IF(AA773="Rel. Gubernamentales",OFFSET('PARÁMETROS'!$K$48,MATCH(U773,JC_G,0),MATCH(T773,CC_G,0)),
IF(AA773="OPERACIONAL",OFFSET('PARÁMETROS'!$K$56,MATCH(U773,JC_OP,0),MATCH(T773,CC_OP,0)),
IF(AA773="FINANCIERO",OFFSET('PARÁMETROS'!$K$56,MATCH(U773,JC_FI,0),MATCH(T773,CC_FI,0)),
OFFSET('PARÁMETROS'!$K$38,MATCH(U773,JC_L,0),MATCH(T773,CC_L,0))))))))),"")</f>
        <v/>
      </c>
      <c r="W773" s="130"/>
      <c r="X773" s="135"/>
      <c r="Y773" s="136"/>
      <c r="Z773" s="30"/>
      <c r="AA773" s="31" t="str">
        <f>E763</f>
        <v/>
      </c>
    </row>
    <row r="774" ht="87.0" customHeight="1">
      <c r="A774" s="129"/>
      <c r="B774" s="130"/>
      <c r="C774" s="130"/>
      <c r="D774" s="130"/>
      <c r="E774" s="130"/>
      <c r="F774" s="130"/>
      <c r="G774" s="130"/>
      <c r="H774" s="130"/>
      <c r="I774" s="130"/>
      <c r="J774" s="130"/>
      <c r="K774" s="130"/>
      <c r="L774" s="130"/>
      <c r="M774" s="130"/>
      <c r="N774" s="130"/>
      <c r="O774" s="130"/>
      <c r="P774" s="132"/>
      <c r="Q774" s="134"/>
      <c r="R774" s="134"/>
      <c r="S774" s="134"/>
      <c r="T774" s="135"/>
      <c r="U774" s="135"/>
      <c r="V774" s="135" t="str">
        <f>IFERROR(IF(AA774="SEGURIDAD",OFFSET('PARÁMETROS'!$K$2,MATCH(U774,JC_SE,0),MATCH(T774,CC_SE,0)),
IF(OR(AA774="DSRC/Estratégico",AA774="DSRC/Operativo"),OFFSET('PARÁMETROS'!$K$11,MATCH(U774,JC_DS,0),MATCH(T774,CC_DS,0)),
IF(AA774="SALUD",OFFSET('PARÁMETROS'!$K$29,MATCH(U774,JC_SA,0),MATCH(T774,CC_SA,0)),
IF(AA774="MEDIO AMBIENTE",OFFSET('PARÁMETROS'!$K$20,MATCH(U774,JC_MA,0),MATCH(T774,CC_MA,0)),
IF(AA774="Rel. Gubernamentales",OFFSET('PARÁMETROS'!$K$48,MATCH(U774,JC_G,0),MATCH(T774,CC_G,0)),
IF(AA774="OPERACIONAL",OFFSET('PARÁMETROS'!$K$56,MATCH(U774,JC_OP,0),MATCH(T774,CC_OP,0)),
IF(AA774="FINANCIERO",OFFSET('PARÁMETROS'!$K$56,MATCH(U774,JC_FI,0),MATCH(T774,CC_FI,0)),
OFFSET('PARÁMETROS'!$K$38,MATCH(U774,JC_L,0),MATCH(T774,CC_L,0))))))))),"")</f>
        <v/>
      </c>
      <c r="W774" s="130"/>
      <c r="X774" s="135"/>
      <c r="Y774" s="136"/>
      <c r="Z774" s="30"/>
      <c r="AA774" s="31" t="str">
        <f>E763</f>
        <v/>
      </c>
    </row>
    <row r="775" ht="87.0" customHeight="1">
      <c r="A775" s="129"/>
      <c r="B775" s="130"/>
      <c r="C775" s="130"/>
      <c r="D775" s="130"/>
      <c r="E775" s="130"/>
      <c r="F775" s="130"/>
      <c r="G775" s="130"/>
      <c r="H775" s="130"/>
      <c r="I775" s="130"/>
      <c r="J775" s="130"/>
      <c r="K775" s="130"/>
      <c r="L775" s="130"/>
      <c r="M775" s="130"/>
      <c r="N775" s="130"/>
      <c r="O775" s="130"/>
      <c r="P775" s="132"/>
      <c r="Q775" s="134"/>
      <c r="R775" s="134"/>
      <c r="S775" s="134"/>
      <c r="T775" s="135"/>
      <c r="U775" s="135"/>
      <c r="V775" s="135" t="str">
        <f>IFERROR(IF(AA775="SEGURIDAD",OFFSET('PARÁMETROS'!$K$2,MATCH(U775,JC_SE,0),MATCH(T775,CC_SE,0)),
IF(OR(AA775="DSRC/Estratégico",AA775="DSRC/Operativo"),OFFSET('PARÁMETROS'!$K$11,MATCH(U775,JC_DS,0),MATCH(T775,CC_DS,0)),
IF(AA775="SALUD",OFFSET('PARÁMETROS'!$K$29,MATCH(U775,JC_SA,0),MATCH(T775,CC_SA,0)),
IF(AA775="MEDIO AMBIENTE",OFFSET('PARÁMETROS'!$K$20,MATCH(U775,JC_MA,0),MATCH(T775,CC_MA,0)),
IF(AA775="Rel. Gubernamentales",OFFSET('PARÁMETROS'!$K$48,MATCH(U775,JC_G,0),MATCH(T775,CC_G,0)),
IF(AA775="OPERACIONAL",OFFSET('PARÁMETROS'!$K$56,MATCH(U775,JC_OP,0),MATCH(T775,CC_OP,0)),
IF(AA775="FINANCIERO",OFFSET('PARÁMETROS'!$K$56,MATCH(U775,JC_FI,0),MATCH(T775,CC_FI,0)),
OFFSET('PARÁMETROS'!$K$38,MATCH(U775,JC_L,0),MATCH(T775,CC_L,0))))))))),"")</f>
        <v/>
      </c>
      <c r="W775" s="130"/>
      <c r="X775" s="135"/>
      <c r="Y775" s="136"/>
      <c r="Z775" s="30"/>
      <c r="AA775" s="31" t="str">
        <f>E763</f>
        <v/>
      </c>
    </row>
    <row r="776" ht="87.0" customHeight="1">
      <c r="A776" s="129"/>
      <c r="B776" s="130"/>
      <c r="C776" s="130"/>
      <c r="D776" s="130"/>
      <c r="E776" s="130"/>
      <c r="F776" s="130"/>
      <c r="G776" s="130"/>
      <c r="H776" s="130"/>
      <c r="I776" s="130"/>
      <c r="J776" s="130"/>
      <c r="K776" s="130"/>
      <c r="L776" s="130"/>
      <c r="M776" s="130"/>
      <c r="N776" s="130"/>
      <c r="O776" s="130"/>
      <c r="P776" s="132"/>
      <c r="Q776" s="134"/>
      <c r="R776" s="134"/>
      <c r="S776" s="134"/>
      <c r="T776" s="135"/>
      <c r="U776" s="135"/>
      <c r="V776" s="135" t="str">
        <f>IFERROR(IF(AA776="SEGURIDAD",OFFSET('PARÁMETROS'!$K$2,MATCH(U776,JC_SE,0),MATCH(T776,CC_SE,0)),
IF(OR(AA776="DSRC/Estratégico",AA776="DSRC/Operativo"),OFFSET('PARÁMETROS'!$K$11,MATCH(U776,JC_DS,0),MATCH(T776,CC_DS,0)),
IF(AA776="SALUD",OFFSET('PARÁMETROS'!$K$29,MATCH(U776,JC_SA,0),MATCH(T776,CC_SA,0)),
IF(AA776="MEDIO AMBIENTE",OFFSET('PARÁMETROS'!$K$20,MATCH(U776,JC_MA,0),MATCH(T776,CC_MA,0)),
IF(AA776="Rel. Gubernamentales",OFFSET('PARÁMETROS'!$K$48,MATCH(U776,JC_G,0),MATCH(T776,CC_G,0)),
IF(AA776="OPERACIONAL",OFFSET('PARÁMETROS'!$K$56,MATCH(U776,JC_OP,0),MATCH(T776,CC_OP,0)),
IF(AA776="FINANCIERO",OFFSET('PARÁMETROS'!$K$56,MATCH(U776,JC_FI,0),MATCH(T776,CC_FI,0)),
OFFSET('PARÁMETROS'!$K$38,MATCH(U776,JC_L,0),MATCH(T776,CC_L,0))))))))),"")</f>
        <v/>
      </c>
      <c r="W776" s="130"/>
      <c r="X776" s="135"/>
      <c r="Y776" s="136"/>
      <c r="Z776" s="30"/>
      <c r="AA776" s="31" t="str">
        <f>E763</f>
        <v/>
      </c>
    </row>
    <row r="777" ht="87.0" customHeight="1">
      <c r="A777" s="129"/>
      <c r="B777" s="130"/>
      <c r="C777" s="130"/>
      <c r="D777" s="130"/>
      <c r="E777" s="130"/>
      <c r="F777" s="130"/>
      <c r="G777" s="130"/>
      <c r="H777" s="130"/>
      <c r="I777" s="130"/>
      <c r="J777" s="130"/>
      <c r="K777" s="130"/>
      <c r="L777" s="130"/>
      <c r="M777" s="130"/>
      <c r="N777" s="130"/>
      <c r="O777" s="130"/>
      <c r="P777" s="132"/>
      <c r="Q777" s="134"/>
      <c r="R777" s="134"/>
      <c r="S777" s="134"/>
      <c r="T777" s="135"/>
      <c r="U777" s="135"/>
      <c r="V777" s="135" t="str">
        <f>IFERROR(IF(AA777="SEGURIDAD",OFFSET('PARÁMETROS'!$K$2,MATCH(U777,JC_SE,0),MATCH(T777,CC_SE,0)),
IF(OR(AA777="DSRC/Estratégico",AA777="DSRC/Operativo"),OFFSET('PARÁMETROS'!$K$11,MATCH(U777,JC_DS,0),MATCH(T777,CC_DS,0)),
IF(AA777="SALUD",OFFSET('PARÁMETROS'!$K$29,MATCH(U777,JC_SA,0),MATCH(T777,CC_SA,0)),
IF(AA777="MEDIO AMBIENTE",OFFSET('PARÁMETROS'!$K$20,MATCH(U777,JC_MA,0),MATCH(T777,CC_MA,0)),
IF(AA777="Rel. Gubernamentales",OFFSET('PARÁMETROS'!$K$48,MATCH(U777,JC_G,0),MATCH(T777,CC_G,0)),
IF(AA777="OPERACIONAL",OFFSET('PARÁMETROS'!$K$56,MATCH(U777,JC_OP,0),MATCH(T777,CC_OP,0)),
IF(AA777="FINANCIERO",OFFSET('PARÁMETROS'!$K$56,MATCH(U777,JC_FI,0),MATCH(T777,CC_FI,0)),
OFFSET('PARÁMETROS'!$K$38,MATCH(U777,JC_L,0),MATCH(T777,CC_L,0))))))))),"")</f>
        <v/>
      </c>
      <c r="W777" s="130"/>
      <c r="X777" s="135"/>
      <c r="Y777" s="136"/>
      <c r="Z777" s="30"/>
      <c r="AA777" s="31" t="str">
        <f>E763</f>
        <v/>
      </c>
    </row>
    <row r="778" ht="87.0" customHeight="1">
      <c r="A778" s="89"/>
      <c r="B778" s="90"/>
      <c r="C778" s="90"/>
      <c r="D778" s="157"/>
      <c r="E778" s="157"/>
      <c r="F778" s="157"/>
      <c r="G778" s="157"/>
      <c r="H778" s="157"/>
      <c r="I778" s="90"/>
      <c r="J778" s="90"/>
      <c r="K778" s="90"/>
      <c r="L778" s="90"/>
      <c r="M778" s="90"/>
      <c r="N778" s="90"/>
      <c r="O778" s="90"/>
      <c r="P778" s="132"/>
      <c r="Q778" s="134"/>
      <c r="R778" s="145"/>
      <c r="S778" s="145"/>
      <c r="T778" s="135"/>
      <c r="U778" s="135"/>
      <c r="V778" s="135" t="str">
        <f>IFERROR(IF(AA778="SEGURIDAD",OFFSET('PARÁMETROS'!$K$2,MATCH(U778,JC_SE,0),MATCH(T778,CC_SE,0)),
IF(OR(AA778="DSRC/Estratégico",AA778="DSRC/Operativo"),OFFSET('PARÁMETROS'!$K$11,MATCH(U778,JC_DS,0),MATCH(T778,CC_DS,0)),
IF(AA778="SALUD",OFFSET('PARÁMETROS'!$K$29,MATCH(U778,JC_SA,0),MATCH(T778,CC_SA,0)),
IF(AA778="MEDIO AMBIENTE",OFFSET('PARÁMETROS'!$K$20,MATCH(U778,JC_MA,0),MATCH(T778,CC_MA,0)),
IF(AA778="Rel. Gubernamentales",OFFSET('PARÁMETROS'!$K$48,MATCH(U778,JC_G,0),MATCH(T778,CC_G,0)),
IF(AA778="OPERACIONAL",OFFSET('PARÁMETROS'!$K$56,MATCH(U778,JC_OP,0),MATCH(T778,CC_OP,0)),
IF(AA778="FINANCIERO",OFFSET('PARÁMETROS'!$K$56,MATCH(U778,JC_FI,0),MATCH(T778,CC_FI,0)),
OFFSET('PARÁMETROS'!$K$38,MATCH(U778,JC_L,0),MATCH(T778,CC_L,0))))))))),"")</f>
        <v/>
      </c>
      <c r="W778" s="90"/>
      <c r="X778" s="135"/>
      <c r="Y778" s="136"/>
      <c r="Z778" s="30"/>
      <c r="AA778" s="31" t="str">
        <f>E763</f>
        <v/>
      </c>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30"/>
      <c r="AA779" s="31"/>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30"/>
      <c r="AA780" s="31"/>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30"/>
      <c r="AA781" s="31"/>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30"/>
      <c r="AA782" s="31"/>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30"/>
      <c r="AA783" s="31"/>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30"/>
      <c r="AA784" s="31"/>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30"/>
      <c r="AA785" s="31"/>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30"/>
      <c r="AA786" s="31"/>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30"/>
      <c r="AA787" s="31"/>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30"/>
      <c r="AA788" s="31"/>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30"/>
      <c r="AA789" s="31"/>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30"/>
      <c r="AA790" s="31"/>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30"/>
      <c r="AA791" s="31"/>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30"/>
      <c r="AA792" s="31"/>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30"/>
      <c r="AA793" s="31"/>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30"/>
      <c r="AA794" s="31"/>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30"/>
      <c r="AA795" s="31"/>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30"/>
      <c r="AA796" s="31"/>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30"/>
      <c r="AA797" s="31"/>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30"/>
      <c r="AA798" s="31"/>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30"/>
      <c r="AA799" s="31"/>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30"/>
      <c r="AA800" s="31"/>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30"/>
      <c r="AA801" s="31"/>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30"/>
      <c r="AA802" s="31"/>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30"/>
      <c r="AA803" s="31"/>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30"/>
      <c r="AA804" s="31"/>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30"/>
      <c r="AA805" s="31"/>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30"/>
      <c r="AA806" s="31"/>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30"/>
      <c r="AA807" s="31"/>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30"/>
      <c r="AA808" s="31"/>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30"/>
      <c r="AA809" s="31"/>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30"/>
      <c r="AA810" s="31"/>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30"/>
      <c r="AA811" s="31"/>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30"/>
      <c r="AA812" s="31"/>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30"/>
      <c r="AA813" s="31"/>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30"/>
      <c r="AA814" s="31"/>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30"/>
      <c r="AA815" s="31"/>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30"/>
      <c r="AA816" s="31"/>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30"/>
      <c r="AA817" s="31"/>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30"/>
      <c r="AA818" s="31"/>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30"/>
      <c r="AA819" s="31"/>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30"/>
      <c r="AA820" s="31"/>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30"/>
      <c r="AA821" s="31"/>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30"/>
      <c r="AA822" s="31"/>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30"/>
      <c r="AA823" s="31"/>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30"/>
      <c r="AA824" s="31"/>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30"/>
      <c r="AA825" s="31"/>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30"/>
      <c r="AA826" s="31"/>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30"/>
      <c r="AA827" s="31"/>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30"/>
      <c r="AA828" s="31"/>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30"/>
      <c r="AA829" s="31"/>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30"/>
      <c r="AA830" s="31"/>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30"/>
      <c r="AA831" s="31"/>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30"/>
      <c r="AA832" s="31"/>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30"/>
      <c r="AA833" s="31"/>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30"/>
      <c r="AA834" s="31"/>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30"/>
      <c r="AA835" s="31"/>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30"/>
      <c r="AA836" s="31"/>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30"/>
      <c r="AA837" s="31"/>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30"/>
      <c r="AA838" s="31"/>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30"/>
      <c r="AA839" s="31"/>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30"/>
      <c r="AA840" s="31"/>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30"/>
      <c r="AA841" s="31"/>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30"/>
      <c r="AA842" s="31"/>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30"/>
      <c r="AA843" s="31"/>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30"/>
      <c r="AA844" s="31"/>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30"/>
      <c r="AA845" s="31"/>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30"/>
      <c r="AA846" s="31"/>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30"/>
      <c r="AA847" s="31"/>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30"/>
      <c r="AA848" s="31"/>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30"/>
      <c r="AA849" s="31"/>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30"/>
      <c r="AA850" s="31"/>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30"/>
      <c r="AA851" s="31"/>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30"/>
      <c r="AA852" s="31"/>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30"/>
      <c r="AA853" s="31"/>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30"/>
      <c r="AA854" s="31"/>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30"/>
      <c r="AA855" s="31"/>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30"/>
      <c r="AA856" s="31"/>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30"/>
      <c r="AA857" s="31"/>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30"/>
      <c r="AA858" s="31"/>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30"/>
      <c r="AA859" s="31"/>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30"/>
      <c r="AA860" s="31"/>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30"/>
      <c r="AA861" s="31"/>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30"/>
      <c r="AA862" s="31"/>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30"/>
      <c r="AA863" s="31"/>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30"/>
      <c r="AA864" s="31"/>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30"/>
      <c r="AA865" s="31"/>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30"/>
      <c r="AA866" s="31"/>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30"/>
      <c r="AA867" s="31"/>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30"/>
      <c r="AA868" s="31"/>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30"/>
      <c r="AA869" s="31"/>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30"/>
      <c r="AA870" s="31"/>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30"/>
      <c r="AA871" s="31"/>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30"/>
      <c r="AA872" s="31"/>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30"/>
      <c r="AA873" s="31"/>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30"/>
      <c r="AA874" s="31"/>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30"/>
      <c r="AA875" s="31"/>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30"/>
      <c r="AA876" s="31"/>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30"/>
      <c r="AA877" s="31"/>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30"/>
      <c r="AA878" s="31"/>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30"/>
      <c r="AA879" s="31"/>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30"/>
      <c r="AA880" s="31"/>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30"/>
      <c r="AA881" s="31"/>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30"/>
      <c r="AA882" s="31"/>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30"/>
      <c r="AA883" s="31"/>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30"/>
      <c r="AA884" s="31"/>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30"/>
      <c r="AA885" s="31"/>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30"/>
      <c r="AA886" s="31"/>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30"/>
      <c r="AA887" s="31"/>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30"/>
      <c r="AA888" s="31"/>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30"/>
      <c r="AA889" s="31"/>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30"/>
      <c r="AA890" s="31"/>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30"/>
      <c r="AA891" s="31"/>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30"/>
      <c r="AA892" s="31"/>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30"/>
      <c r="AA893" s="31"/>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30"/>
      <c r="AA894" s="31"/>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30"/>
      <c r="AA895" s="31"/>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30"/>
      <c r="AA896" s="31"/>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30"/>
      <c r="AA897" s="31"/>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30"/>
      <c r="AA898" s="31"/>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30"/>
      <c r="AA899" s="31"/>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30"/>
      <c r="AA900" s="31"/>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30"/>
      <c r="AA901" s="31"/>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30"/>
      <c r="AA902" s="31"/>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30"/>
      <c r="AA903" s="31"/>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30"/>
      <c r="AA904" s="31"/>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30"/>
      <c r="AA905" s="31"/>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30"/>
      <c r="AA906" s="31"/>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30"/>
      <c r="AA907" s="31"/>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30"/>
      <c r="AA908" s="31"/>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30"/>
      <c r="AA909" s="31"/>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30"/>
      <c r="AA910" s="31"/>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30"/>
      <c r="AA911" s="31"/>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30"/>
      <c r="AA912" s="31"/>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30"/>
      <c r="AA913" s="31"/>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30"/>
      <c r="AA914" s="31"/>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30"/>
      <c r="AA915" s="31"/>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30"/>
      <c r="AA916" s="31"/>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30"/>
      <c r="AA917" s="31"/>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30"/>
      <c r="AA918" s="31"/>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30"/>
      <c r="AA919" s="31"/>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30"/>
      <c r="AA920" s="31"/>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30"/>
      <c r="AA921" s="31"/>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30"/>
      <c r="AA922" s="31"/>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30"/>
      <c r="AA923" s="31"/>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30"/>
      <c r="AA924" s="31"/>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30"/>
      <c r="AA925" s="31"/>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30"/>
      <c r="AA926" s="31"/>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30"/>
      <c r="AA927" s="31"/>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30"/>
      <c r="AA928" s="31"/>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30"/>
      <c r="AA929" s="31"/>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30"/>
      <c r="AA930" s="31"/>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30"/>
      <c r="AA931" s="31"/>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30"/>
      <c r="AA932" s="31"/>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30"/>
      <c r="AA933" s="31"/>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30"/>
      <c r="AA934" s="31"/>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30"/>
      <c r="AA935" s="31"/>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30"/>
      <c r="AA936" s="31"/>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30"/>
      <c r="AA937" s="31"/>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30"/>
      <c r="AA938" s="31"/>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30"/>
      <c r="AA939" s="31"/>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30"/>
      <c r="AA940" s="31"/>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30"/>
      <c r="AA941" s="31"/>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30"/>
      <c r="AA942" s="31"/>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30"/>
      <c r="AA943" s="31"/>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30"/>
      <c r="AA944" s="31"/>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30"/>
      <c r="AA945" s="31"/>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30"/>
      <c r="AA946" s="31"/>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30"/>
      <c r="AA947" s="31"/>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30"/>
      <c r="AA948" s="31"/>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30"/>
      <c r="AA949" s="31"/>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30"/>
      <c r="AA950" s="31"/>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30"/>
      <c r="AA951" s="31"/>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30"/>
      <c r="AA952" s="31"/>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30"/>
      <c r="AA953" s="31"/>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30"/>
      <c r="AA954" s="31"/>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30"/>
      <c r="AA955" s="31"/>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30"/>
      <c r="AA956" s="31"/>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30"/>
      <c r="AA957" s="31"/>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30"/>
      <c r="AA958" s="31"/>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30"/>
      <c r="AA959" s="31"/>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30"/>
      <c r="AA960" s="31"/>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30"/>
      <c r="AA961" s="31"/>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30"/>
      <c r="AA962" s="31"/>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30"/>
      <c r="AA963" s="31"/>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30"/>
      <c r="AA964" s="31"/>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30"/>
      <c r="AA965" s="31"/>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30"/>
      <c r="AA966" s="31"/>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30"/>
      <c r="AA967" s="31"/>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30"/>
      <c r="AA968" s="31"/>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30"/>
      <c r="AA969" s="31"/>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30"/>
      <c r="AA970" s="31"/>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30"/>
      <c r="AA971" s="31"/>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30"/>
      <c r="AA972" s="31"/>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30"/>
      <c r="AA973" s="31"/>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30"/>
      <c r="AA974" s="31"/>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30"/>
      <c r="AA975" s="31"/>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30"/>
      <c r="AA976" s="31"/>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30"/>
      <c r="AA977" s="31"/>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30"/>
      <c r="AA978" s="31"/>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30"/>
      <c r="AA979" s="31"/>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30"/>
      <c r="AA980" s="31"/>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30"/>
      <c r="AA981" s="31"/>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30"/>
      <c r="AA982" s="31"/>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30"/>
      <c r="AA983" s="31"/>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30"/>
      <c r="AA984" s="31"/>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30"/>
      <c r="AA985" s="31"/>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30"/>
      <c r="AA986" s="31"/>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30"/>
      <c r="AA987" s="31"/>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30"/>
      <c r="AA988" s="31"/>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30"/>
      <c r="AA989" s="31"/>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30"/>
      <c r="AA990" s="31"/>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30"/>
      <c r="AA991" s="31"/>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30"/>
      <c r="AA992" s="31"/>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30"/>
      <c r="AA993" s="31"/>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30"/>
      <c r="AA994" s="31"/>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30"/>
      <c r="AA995" s="31"/>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30"/>
      <c r="AA996" s="31"/>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30"/>
      <c r="AA997" s="31"/>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30"/>
      <c r="AA998" s="31"/>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30"/>
      <c r="AA999" s="31"/>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30"/>
      <c r="AA1000" s="31"/>
    </row>
  </sheetData>
  <autoFilter ref="$A$9:$Y$778"/>
  <mergeCells count="796">
    <mergeCell ref="O507:O522"/>
    <mergeCell ref="W507:W522"/>
    <mergeCell ref="H507:H522"/>
    <mergeCell ref="I507:I522"/>
    <mergeCell ref="J507:J522"/>
    <mergeCell ref="K507:K522"/>
    <mergeCell ref="L507:L522"/>
    <mergeCell ref="M507:M522"/>
    <mergeCell ref="N507:N522"/>
    <mergeCell ref="O475:O490"/>
    <mergeCell ref="W475:W490"/>
    <mergeCell ref="H475:H490"/>
    <mergeCell ref="I475:I490"/>
    <mergeCell ref="J475:J490"/>
    <mergeCell ref="K475:K490"/>
    <mergeCell ref="L475:L490"/>
    <mergeCell ref="M475:M490"/>
    <mergeCell ref="N475:N490"/>
    <mergeCell ref="A475:A490"/>
    <mergeCell ref="B475:B490"/>
    <mergeCell ref="C475:C490"/>
    <mergeCell ref="D475:D490"/>
    <mergeCell ref="E475:E490"/>
    <mergeCell ref="F475:F490"/>
    <mergeCell ref="G475:G490"/>
    <mergeCell ref="O491:O506"/>
    <mergeCell ref="W491:W506"/>
    <mergeCell ref="H491:H506"/>
    <mergeCell ref="I491:I506"/>
    <mergeCell ref="J491:J506"/>
    <mergeCell ref="K491:K506"/>
    <mergeCell ref="L491:L506"/>
    <mergeCell ref="M491:M506"/>
    <mergeCell ref="N491:N506"/>
    <mergeCell ref="A491:A506"/>
    <mergeCell ref="B491:B506"/>
    <mergeCell ref="C491:C506"/>
    <mergeCell ref="D491:D506"/>
    <mergeCell ref="E491:E506"/>
    <mergeCell ref="F491:F506"/>
    <mergeCell ref="G491:G506"/>
    <mergeCell ref="A507:A522"/>
    <mergeCell ref="B507:B522"/>
    <mergeCell ref="C507:C522"/>
    <mergeCell ref="D507:D522"/>
    <mergeCell ref="E507:E522"/>
    <mergeCell ref="F507:F522"/>
    <mergeCell ref="G507:G522"/>
    <mergeCell ref="O555:O570"/>
    <mergeCell ref="W555:W570"/>
    <mergeCell ref="H555:H570"/>
    <mergeCell ref="I555:I570"/>
    <mergeCell ref="J555:J570"/>
    <mergeCell ref="K555:K570"/>
    <mergeCell ref="L555:L570"/>
    <mergeCell ref="M555:M570"/>
    <mergeCell ref="N555:N570"/>
    <mergeCell ref="O523:O538"/>
    <mergeCell ref="W523:W538"/>
    <mergeCell ref="H523:H538"/>
    <mergeCell ref="I523:I538"/>
    <mergeCell ref="J523:J538"/>
    <mergeCell ref="K523:K538"/>
    <mergeCell ref="L523:L538"/>
    <mergeCell ref="M523:M538"/>
    <mergeCell ref="N523:N538"/>
    <mergeCell ref="A523:A538"/>
    <mergeCell ref="B523:B538"/>
    <mergeCell ref="C523:C538"/>
    <mergeCell ref="D523:D538"/>
    <mergeCell ref="E523:E538"/>
    <mergeCell ref="F523:F538"/>
    <mergeCell ref="G523:G538"/>
    <mergeCell ref="O539:O554"/>
    <mergeCell ref="W539:W554"/>
    <mergeCell ref="H539:H554"/>
    <mergeCell ref="I539:I554"/>
    <mergeCell ref="J539:J554"/>
    <mergeCell ref="K539:K554"/>
    <mergeCell ref="L539:L554"/>
    <mergeCell ref="M539:M554"/>
    <mergeCell ref="N539:N554"/>
    <mergeCell ref="A539:A554"/>
    <mergeCell ref="B539:B554"/>
    <mergeCell ref="C539:C554"/>
    <mergeCell ref="D539:D554"/>
    <mergeCell ref="E539:E554"/>
    <mergeCell ref="F539:F554"/>
    <mergeCell ref="G539:G554"/>
    <mergeCell ref="A555:A570"/>
    <mergeCell ref="B555:B570"/>
    <mergeCell ref="C555:C570"/>
    <mergeCell ref="D555:D570"/>
    <mergeCell ref="E555:E570"/>
    <mergeCell ref="F555:F570"/>
    <mergeCell ref="G555:G570"/>
    <mergeCell ref="O603:O618"/>
    <mergeCell ref="W603:W618"/>
    <mergeCell ref="H603:H618"/>
    <mergeCell ref="I603:I618"/>
    <mergeCell ref="J603:J618"/>
    <mergeCell ref="K603:K618"/>
    <mergeCell ref="L603:L618"/>
    <mergeCell ref="M603:M618"/>
    <mergeCell ref="N603:N618"/>
    <mergeCell ref="O571:O586"/>
    <mergeCell ref="W571:W586"/>
    <mergeCell ref="H571:H586"/>
    <mergeCell ref="I571:I586"/>
    <mergeCell ref="J571:J586"/>
    <mergeCell ref="K571:K586"/>
    <mergeCell ref="L571:L586"/>
    <mergeCell ref="M571:M586"/>
    <mergeCell ref="N571:N586"/>
    <mergeCell ref="A571:A586"/>
    <mergeCell ref="B571:B586"/>
    <mergeCell ref="C571:C586"/>
    <mergeCell ref="D571:D586"/>
    <mergeCell ref="E571:E586"/>
    <mergeCell ref="F571:F586"/>
    <mergeCell ref="G571:G586"/>
    <mergeCell ref="O587:O602"/>
    <mergeCell ref="W587:W602"/>
    <mergeCell ref="H587:H602"/>
    <mergeCell ref="I587:I602"/>
    <mergeCell ref="J587:J602"/>
    <mergeCell ref="K587:K602"/>
    <mergeCell ref="L587:L602"/>
    <mergeCell ref="M587:M602"/>
    <mergeCell ref="N587:N602"/>
    <mergeCell ref="A587:A602"/>
    <mergeCell ref="B587:B602"/>
    <mergeCell ref="C587:C602"/>
    <mergeCell ref="D587:D602"/>
    <mergeCell ref="E587:E602"/>
    <mergeCell ref="F587:F602"/>
    <mergeCell ref="G587:G602"/>
    <mergeCell ref="A603:A618"/>
    <mergeCell ref="B603:B618"/>
    <mergeCell ref="C603:C618"/>
    <mergeCell ref="D603:D618"/>
    <mergeCell ref="E603:E618"/>
    <mergeCell ref="F603:F618"/>
    <mergeCell ref="G603:G618"/>
    <mergeCell ref="O651:O666"/>
    <mergeCell ref="W651:W666"/>
    <mergeCell ref="H651:H666"/>
    <mergeCell ref="I651:I666"/>
    <mergeCell ref="J651:J666"/>
    <mergeCell ref="K651:K666"/>
    <mergeCell ref="L651:L666"/>
    <mergeCell ref="M651:M666"/>
    <mergeCell ref="N651:N666"/>
    <mergeCell ref="O619:O634"/>
    <mergeCell ref="W619:W634"/>
    <mergeCell ref="H619:H634"/>
    <mergeCell ref="I619:I634"/>
    <mergeCell ref="J619:J634"/>
    <mergeCell ref="K619:K634"/>
    <mergeCell ref="L619:L634"/>
    <mergeCell ref="M619:M634"/>
    <mergeCell ref="N619:N634"/>
    <mergeCell ref="A619:A634"/>
    <mergeCell ref="B619:B634"/>
    <mergeCell ref="C619:C634"/>
    <mergeCell ref="D619:D634"/>
    <mergeCell ref="E619:E634"/>
    <mergeCell ref="F619:F634"/>
    <mergeCell ref="G619:G634"/>
    <mergeCell ref="O635:O650"/>
    <mergeCell ref="W635:W650"/>
    <mergeCell ref="H635:H650"/>
    <mergeCell ref="I635:I650"/>
    <mergeCell ref="J635:J650"/>
    <mergeCell ref="K635:K650"/>
    <mergeCell ref="L635:L650"/>
    <mergeCell ref="M635:M650"/>
    <mergeCell ref="N635:N650"/>
    <mergeCell ref="A635:A650"/>
    <mergeCell ref="B635:B650"/>
    <mergeCell ref="C635:C650"/>
    <mergeCell ref="D635:D650"/>
    <mergeCell ref="E635:E650"/>
    <mergeCell ref="F635:F650"/>
    <mergeCell ref="G635:G650"/>
    <mergeCell ref="A651:A666"/>
    <mergeCell ref="B651:B666"/>
    <mergeCell ref="C651:C666"/>
    <mergeCell ref="D651:D666"/>
    <mergeCell ref="E651:E666"/>
    <mergeCell ref="F651:F666"/>
    <mergeCell ref="G651:G666"/>
    <mergeCell ref="O699:O714"/>
    <mergeCell ref="W699:W714"/>
    <mergeCell ref="H699:H714"/>
    <mergeCell ref="I699:I714"/>
    <mergeCell ref="J699:J714"/>
    <mergeCell ref="K699:K714"/>
    <mergeCell ref="L699:L714"/>
    <mergeCell ref="M699:M714"/>
    <mergeCell ref="N699:N714"/>
    <mergeCell ref="O667:O682"/>
    <mergeCell ref="W667:W682"/>
    <mergeCell ref="H667:H682"/>
    <mergeCell ref="I667:I682"/>
    <mergeCell ref="J667:J682"/>
    <mergeCell ref="K667:K682"/>
    <mergeCell ref="L667:L682"/>
    <mergeCell ref="M667:M682"/>
    <mergeCell ref="N667:N682"/>
    <mergeCell ref="A667:A682"/>
    <mergeCell ref="B667:B682"/>
    <mergeCell ref="C667:C682"/>
    <mergeCell ref="D667:D682"/>
    <mergeCell ref="E667:E682"/>
    <mergeCell ref="F667:F682"/>
    <mergeCell ref="G667:G682"/>
    <mergeCell ref="O683:O698"/>
    <mergeCell ref="W683:W698"/>
    <mergeCell ref="H683:H698"/>
    <mergeCell ref="I683:I698"/>
    <mergeCell ref="J683:J698"/>
    <mergeCell ref="K683:K698"/>
    <mergeCell ref="L683:L698"/>
    <mergeCell ref="M683:M698"/>
    <mergeCell ref="N683:N698"/>
    <mergeCell ref="A683:A698"/>
    <mergeCell ref="B683:B698"/>
    <mergeCell ref="C683:C698"/>
    <mergeCell ref="D683:D698"/>
    <mergeCell ref="E683:E698"/>
    <mergeCell ref="F683:F698"/>
    <mergeCell ref="G683:G698"/>
    <mergeCell ref="A699:A714"/>
    <mergeCell ref="B699:B714"/>
    <mergeCell ref="C699:C714"/>
    <mergeCell ref="D699:D714"/>
    <mergeCell ref="E699:E714"/>
    <mergeCell ref="F699:F714"/>
    <mergeCell ref="G699:G714"/>
    <mergeCell ref="O747:O762"/>
    <mergeCell ref="W747:W762"/>
    <mergeCell ref="H747:H762"/>
    <mergeCell ref="I747:I762"/>
    <mergeCell ref="J747:J762"/>
    <mergeCell ref="K747:K762"/>
    <mergeCell ref="L747:L762"/>
    <mergeCell ref="M747:M762"/>
    <mergeCell ref="N747:N762"/>
    <mergeCell ref="O715:O730"/>
    <mergeCell ref="W715:W730"/>
    <mergeCell ref="H715:H730"/>
    <mergeCell ref="I715:I730"/>
    <mergeCell ref="J715:J730"/>
    <mergeCell ref="K715:K730"/>
    <mergeCell ref="L715:L730"/>
    <mergeCell ref="M715:M730"/>
    <mergeCell ref="N715:N730"/>
    <mergeCell ref="A715:A730"/>
    <mergeCell ref="B715:B730"/>
    <mergeCell ref="C715:C730"/>
    <mergeCell ref="D715:D730"/>
    <mergeCell ref="E715:E730"/>
    <mergeCell ref="F715:F730"/>
    <mergeCell ref="G715:G730"/>
    <mergeCell ref="O731:O746"/>
    <mergeCell ref="W731:W746"/>
    <mergeCell ref="H731:H746"/>
    <mergeCell ref="I731:I746"/>
    <mergeCell ref="J731:J746"/>
    <mergeCell ref="K731:K746"/>
    <mergeCell ref="L731:L746"/>
    <mergeCell ref="M731:M746"/>
    <mergeCell ref="N731:N746"/>
    <mergeCell ref="A731:A746"/>
    <mergeCell ref="B731:B746"/>
    <mergeCell ref="C731:C746"/>
    <mergeCell ref="D731:D746"/>
    <mergeCell ref="E731:E746"/>
    <mergeCell ref="F731:F746"/>
    <mergeCell ref="G731:G746"/>
    <mergeCell ref="A747:A762"/>
    <mergeCell ref="B747:B762"/>
    <mergeCell ref="C747:C762"/>
    <mergeCell ref="D747:D762"/>
    <mergeCell ref="E747:E762"/>
    <mergeCell ref="F747:F762"/>
    <mergeCell ref="G747:G762"/>
    <mergeCell ref="G9:G10"/>
    <mergeCell ref="H9:H10"/>
    <mergeCell ref="I9:I10"/>
    <mergeCell ref="J9:O9"/>
    <mergeCell ref="P9:P10"/>
    <mergeCell ref="Q9:Q10"/>
    <mergeCell ref="R9:R10"/>
    <mergeCell ref="S9:S10"/>
    <mergeCell ref="T9:T10"/>
    <mergeCell ref="U9:U10"/>
    <mergeCell ref="V9:V10"/>
    <mergeCell ref="W9:W10"/>
    <mergeCell ref="X9:X10"/>
    <mergeCell ref="Y9:Y10"/>
    <mergeCell ref="A1:C3"/>
    <mergeCell ref="D1:V3"/>
    <mergeCell ref="W1:Y1"/>
    <mergeCell ref="W2:Y2"/>
    <mergeCell ref="W3:Y3"/>
    <mergeCell ref="A5:C5"/>
    <mergeCell ref="A6:C6"/>
    <mergeCell ref="A7:C7"/>
    <mergeCell ref="A9:A10"/>
    <mergeCell ref="B9:B10"/>
    <mergeCell ref="C9:C10"/>
    <mergeCell ref="D9:D10"/>
    <mergeCell ref="E9:E10"/>
    <mergeCell ref="F9:F10"/>
    <mergeCell ref="H11:H26"/>
    <mergeCell ref="I11:I26"/>
    <mergeCell ref="J11:J26"/>
    <mergeCell ref="K11:K26"/>
    <mergeCell ref="L11:L26"/>
    <mergeCell ref="M11:M26"/>
    <mergeCell ref="N11:N26"/>
    <mergeCell ref="O11:O26"/>
    <mergeCell ref="A11:A26"/>
    <mergeCell ref="B11:B26"/>
    <mergeCell ref="C11:C26"/>
    <mergeCell ref="D11:D26"/>
    <mergeCell ref="E11:E26"/>
    <mergeCell ref="F11:F26"/>
    <mergeCell ref="G11:G26"/>
    <mergeCell ref="H27:H42"/>
    <mergeCell ref="I27:I42"/>
    <mergeCell ref="J27:J42"/>
    <mergeCell ref="K27:K42"/>
    <mergeCell ref="L27:L42"/>
    <mergeCell ref="M27:M42"/>
    <mergeCell ref="N27:N42"/>
    <mergeCell ref="O27:O42"/>
    <mergeCell ref="W11:W26"/>
    <mergeCell ref="W27:W42"/>
    <mergeCell ref="A27:A42"/>
    <mergeCell ref="B27:B42"/>
    <mergeCell ref="C27:C42"/>
    <mergeCell ref="D27:D42"/>
    <mergeCell ref="E27:E42"/>
    <mergeCell ref="F27:F42"/>
    <mergeCell ref="G27:G42"/>
    <mergeCell ref="O75:O90"/>
    <mergeCell ref="W75:W90"/>
    <mergeCell ref="H75:H90"/>
    <mergeCell ref="I75:I90"/>
    <mergeCell ref="J75:J90"/>
    <mergeCell ref="K75:K90"/>
    <mergeCell ref="L75:L90"/>
    <mergeCell ref="M75:M90"/>
    <mergeCell ref="N75:N90"/>
    <mergeCell ref="O43:O58"/>
    <mergeCell ref="W43:W58"/>
    <mergeCell ref="H43:H58"/>
    <mergeCell ref="I43:I58"/>
    <mergeCell ref="J43:J58"/>
    <mergeCell ref="K43:K58"/>
    <mergeCell ref="L43:L58"/>
    <mergeCell ref="M43:M58"/>
    <mergeCell ref="N43:N58"/>
    <mergeCell ref="A43:A58"/>
    <mergeCell ref="B43:B58"/>
    <mergeCell ref="C43:C58"/>
    <mergeCell ref="D43:D58"/>
    <mergeCell ref="E43:E58"/>
    <mergeCell ref="F43:F58"/>
    <mergeCell ref="G43:G58"/>
    <mergeCell ref="O59:O74"/>
    <mergeCell ref="W59:W74"/>
    <mergeCell ref="H59:H74"/>
    <mergeCell ref="I59:I74"/>
    <mergeCell ref="J59:J74"/>
    <mergeCell ref="K59:K74"/>
    <mergeCell ref="L59:L74"/>
    <mergeCell ref="M59:M74"/>
    <mergeCell ref="N59:N74"/>
    <mergeCell ref="A59:A74"/>
    <mergeCell ref="B59:B74"/>
    <mergeCell ref="C59:C74"/>
    <mergeCell ref="D59:D74"/>
    <mergeCell ref="E59:E74"/>
    <mergeCell ref="F59:F74"/>
    <mergeCell ref="G59:G74"/>
    <mergeCell ref="A75:A90"/>
    <mergeCell ref="B75:B90"/>
    <mergeCell ref="C75:C90"/>
    <mergeCell ref="D75:D90"/>
    <mergeCell ref="E75:E90"/>
    <mergeCell ref="F75:F90"/>
    <mergeCell ref="G75:G90"/>
    <mergeCell ref="O123:O138"/>
    <mergeCell ref="W123:W138"/>
    <mergeCell ref="H123:H138"/>
    <mergeCell ref="I123:I138"/>
    <mergeCell ref="J123:J138"/>
    <mergeCell ref="K123:K138"/>
    <mergeCell ref="L123:L138"/>
    <mergeCell ref="M123:M138"/>
    <mergeCell ref="N123:N138"/>
    <mergeCell ref="O91:O106"/>
    <mergeCell ref="W91:W106"/>
    <mergeCell ref="H91:H106"/>
    <mergeCell ref="I91:I106"/>
    <mergeCell ref="J91:J106"/>
    <mergeCell ref="K91:K106"/>
    <mergeCell ref="L91:L106"/>
    <mergeCell ref="M91:M106"/>
    <mergeCell ref="N91:N106"/>
    <mergeCell ref="A91:A106"/>
    <mergeCell ref="B91:B106"/>
    <mergeCell ref="C91:C106"/>
    <mergeCell ref="D91:D106"/>
    <mergeCell ref="E91:E106"/>
    <mergeCell ref="F91:F106"/>
    <mergeCell ref="G91:G106"/>
    <mergeCell ref="O107:O122"/>
    <mergeCell ref="W107:W122"/>
    <mergeCell ref="H107:H122"/>
    <mergeCell ref="I107:I122"/>
    <mergeCell ref="J107:J122"/>
    <mergeCell ref="K107:K122"/>
    <mergeCell ref="L107:L122"/>
    <mergeCell ref="M107:M122"/>
    <mergeCell ref="N107:N122"/>
    <mergeCell ref="A107:A122"/>
    <mergeCell ref="B107:B122"/>
    <mergeCell ref="C107:C122"/>
    <mergeCell ref="D107:D122"/>
    <mergeCell ref="E107:E122"/>
    <mergeCell ref="F107:F122"/>
    <mergeCell ref="G107:G122"/>
    <mergeCell ref="A123:A138"/>
    <mergeCell ref="B123:B138"/>
    <mergeCell ref="C123:C138"/>
    <mergeCell ref="D123:D138"/>
    <mergeCell ref="E123:E138"/>
    <mergeCell ref="F123:F138"/>
    <mergeCell ref="G123:G138"/>
    <mergeCell ref="A763:A778"/>
    <mergeCell ref="B763:B778"/>
    <mergeCell ref="C763:C778"/>
    <mergeCell ref="D763:D778"/>
    <mergeCell ref="E763:E778"/>
    <mergeCell ref="F763:F778"/>
    <mergeCell ref="G763:G778"/>
    <mergeCell ref="O763:O778"/>
    <mergeCell ref="W763:W778"/>
    <mergeCell ref="H763:H778"/>
    <mergeCell ref="I763:I778"/>
    <mergeCell ref="J763:J778"/>
    <mergeCell ref="K763:K778"/>
    <mergeCell ref="L763:L778"/>
    <mergeCell ref="M763:M778"/>
    <mergeCell ref="N763:N778"/>
    <mergeCell ref="O171:O186"/>
    <mergeCell ref="W171:W186"/>
    <mergeCell ref="H171:H186"/>
    <mergeCell ref="I171:I186"/>
    <mergeCell ref="J171:J186"/>
    <mergeCell ref="K171:K186"/>
    <mergeCell ref="L171:L186"/>
    <mergeCell ref="M171:M186"/>
    <mergeCell ref="N171:N186"/>
    <mergeCell ref="O139:O154"/>
    <mergeCell ref="W139:W154"/>
    <mergeCell ref="H139:H154"/>
    <mergeCell ref="I139:I154"/>
    <mergeCell ref="J139:J154"/>
    <mergeCell ref="K139:K154"/>
    <mergeCell ref="L139:L154"/>
    <mergeCell ref="M139:M154"/>
    <mergeCell ref="N139:N154"/>
    <mergeCell ref="A139:A154"/>
    <mergeCell ref="B139:B154"/>
    <mergeCell ref="C139:C154"/>
    <mergeCell ref="D139:D154"/>
    <mergeCell ref="E139:E154"/>
    <mergeCell ref="F139:F154"/>
    <mergeCell ref="G139:G154"/>
    <mergeCell ref="O155:O170"/>
    <mergeCell ref="W155:W170"/>
    <mergeCell ref="H155:H170"/>
    <mergeCell ref="I155:I170"/>
    <mergeCell ref="J155:J170"/>
    <mergeCell ref="K155:K170"/>
    <mergeCell ref="L155:L170"/>
    <mergeCell ref="M155:M170"/>
    <mergeCell ref="N155:N170"/>
    <mergeCell ref="A155:A170"/>
    <mergeCell ref="B155:B170"/>
    <mergeCell ref="C155:C170"/>
    <mergeCell ref="D155:D170"/>
    <mergeCell ref="E155:E170"/>
    <mergeCell ref="F155:F170"/>
    <mergeCell ref="G155:G170"/>
    <mergeCell ref="A171:A186"/>
    <mergeCell ref="B171:B186"/>
    <mergeCell ref="C171:C186"/>
    <mergeCell ref="D171:D186"/>
    <mergeCell ref="E171:E186"/>
    <mergeCell ref="F171:F186"/>
    <mergeCell ref="G171:G186"/>
    <mergeCell ref="O219:O234"/>
    <mergeCell ref="W219:W234"/>
    <mergeCell ref="H219:H234"/>
    <mergeCell ref="I219:I234"/>
    <mergeCell ref="J219:J234"/>
    <mergeCell ref="K219:K234"/>
    <mergeCell ref="L219:L234"/>
    <mergeCell ref="M219:M234"/>
    <mergeCell ref="N219:N234"/>
    <mergeCell ref="O187:O202"/>
    <mergeCell ref="W187:W202"/>
    <mergeCell ref="H187:H202"/>
    <mergeCell ref="I187:I202"/>
    <mergeCell ref="J187:J202"/>
    <mergeCell ref="K187:K202"/>
    <mergeCell ref="L187:L202"/>
    <mergeCell ref="M187:M202"/>
    <mergeCell ref="N187:N202"/>
    <mergeCell ref="A187:A202"/>
    <mergeCell ref="B187:B202"/>
    <mergeCell ref="C187:C202"/>
    <mergeCell ref="D187:D202"/>
    <mergeCell ref="E187:E202"/>
    <mergeCell ref="F187:F202"/>
    <mergeCell ref="G187:G202"/>
    <mergeCell ref="O203:O218"/>
    <mergeCell ref="W203:W218"/>
    <mergeCell ref="H203:H218"/>
    <mergeCell ref="I203:I218"/>
    <mergeCell ref="J203:J218"/>
    <mergeCell ref="K203:K218"/>
    <mergeCell ref="L203:L218"/>
    <mergeCell ref="M203:M218"/>
    <mergeCell ref="N203:N218"/>
    <mergeCell ref="A203:A218"/>
    <mergeCell ref="B203:B218"/>
    <mergeCell ref="C203:C218"/>
    <mergeCell ref="D203:D218"/>
    <mergeCell ref="E203:E218"/>
    <mergeCell ref="F203:F218"/>
    <mergeCell ref="G203:G218"/>
    <mergeCell ref="A219:A234"/>
    <mergeCell ref="B219:B234"/>
    <mergeCell ref="C219:C234"/>
    <mergeCell ref="D219:D234"/>
    <mergeCell ref="E219:E234"/>
    <mergeCell ref="F219:F234"/>
    <mergeCell ref="G219:G234"/>
    <mergeCell ref="O267:O282"/>
    <mergeCell ref="W267:W282"/>
    <mergeCell ref="H267:H282"/>
    <mergeCell ref="I267:I282"/>
    <mergeCell ref="J267:J282"/>
    <mergeCell ref="K267:K282"/>
    <mergeCell ref="L267:L282"/>
    <mergeCell ref="M267:M282"/>
    <mergeCell ref="N267:N282"/>
    <mergeCell ref="O235:O250"/>
    <mergeCell ref="W235:W250"/>
    <mergeCell ref="H235:H250"/>
    <mergeCell ref="I235:I250"/>
    <mergeCell ref="J235:J250"/>
    <mergeCell ref="K235:K250"/>
    <mergeCell ref="L235:L250"/>
    <mergeCell ref="M235:M250"/>
    <mergeCell ref="N235:N250"/>
    <mergeCell ref="A235:A250"/>
    <mergeCell ref="B235:B250"/>
    <mergeCell ref="C235:C250"/>
    <mergeCell ref="D235:D250"/>
    <mergeCell ref="E235:E250"/>
    <mergeCell ref="F235:F250"/>
    <mergeCell ref="G235:G250"/>
    <mergeCell ref="O251:O266"/>
    <mergeCell ref="W251:W266"/>
    <mergeCell ref="H251:H266"/>
    <mergeCell ref="I251:I266"/>
    <mergeCell ref="J251:J266"/>
    <mergeCell ref="K251:K266"/>
    <mergeCell ref="L251:L266"/>
    <mergeCell ref="M251:M266"/>
    <mergeCell ref="N251:N266"/>
    <mergeCell ref="A251:A266"/>
    <mergeCell ref="B251:B266"/>
    <mergeCell ref="C251:C266"/>
    <mergeCell ref="D251:D266"/>
    <mergeCell ref="E251:E266"/>
    <mergeCell ref="F251:F266"/>
    <mergeCell ref="G251:G266"/>
    <mergeCell ref="A267:A282"/>
    <mergeCell ref="B267:B282"/>
    <mergeCell ref="C267:C282"/>
    <mergeCell ref="D267:D282"/>
    <mergeCell ref="E267:E282"/>
    <mergeCell ref="F267:F282"/>
    <mergeCell ref="G267:G282"/>
    <mergeCell ref="O315:O330"/>
    <mergeCell ref="W315:W330"/>
    <mergeCell ref="H315:H330"/>
    <mergeCell ref="I315:I330"/>
    <mergeCell ref="J315:J330"/>
    <mergeCell ref="K315:K330"/>
    <mergeCell ref="L315:L330"/>
    <mergeCell ref="M315:M330"/>
    <mergeCell ref="N315:N330"/>
    <mergeCell ref="O283:O298"/>
    <mergeCell ref="W283:W298"/>
    <mergeCell ref="H283:H298"/>
    <mergeCell ref="I283:I298"/>
    <mergeCell ref="J283:J298"/>
    <mergeCell ref="K283:K298"/>
    <mergeCell ref="L283:L298"/>
    <mergeCell ref="M283:M298"/>
    <mergeCell ref="N283:N298"/>
    <mergeCell ref="A283:A298"/>
    <mergeCell ref="B283:B298"/>
    <mergeCell ref="C283:C298"/>
    <mergeCell ref="D283:D298"/>
    <mergeCell ref="E283:E298"/>
    <mergeCell ref="F283:F298"/>
    <mergeCell ref="G283:G298"/>
    <mergeCell ref="O299:O314"/>
    <mergeCell ref="W299:W314"/>
    <mergeCell ref="H299:H314"/>
    <mergeCell ref="I299:I314"/>
    <mergeCell ref="J299:J314"/>
    <mergeCell ref="K299:K314"/>
    <mergeCell ref="L299:L314"/>
    <mergeCell ref="M299:M314"/>
    <mergeCell ref="N299:N314"/>
    <mergeCell ref="A299:A314"/>
    <mergeCell ref="B299:B314"/>
    <mergeCell ref="C299:C314"/>
    <mergeCell ref="D299:D314"/>
    <mergeCell ref="E299:E314"/>
    <mergeCell ref="F299:F314"/>
    <mergeCell ref="G299:G314"/>
    <mergeCell ref="A315:A330"/>
    <mergeCell ref="B315:B330"/>
    <mergeCell ref="C315:C330"/>
    <mergeCell ref="D315:D330"/>
    <mergeCell ref="E315:E330"/>
    <mergeCell ref="F315:F330"/>
    <mergeCell ref="G315:G330"/>
    <mergeCell ref="O363:O378"/>
    <mergeCell ref="W363:W378"/>
    <mergeCell ref="H363:H378"/>
    <mergeCell ref="I363:I378"/>
    <mergeCell ref="J363:J378"/>
    <mergeCell ref="K363:K378"/>
    <mergeCell ref="L363:L378"/>
    <mergeCell ref="M363:M378"/>
    <mergeCell ref="N363:N378"/>
    <mergeCell ref="O331:O346"/>
    <mergeCell ref="W331:W346"/>
    <mergeCell ref="H331:H346"/>
    <mergeCell ref="I331:I346"/>
    <mergeCell ref="J331:J346"/>
    <mergeCell ref="K331:K346"/>
    <mergeCell ref="L331:L346"/>
    <mergeCell ref="M331:M346"/>
    <mergeCell ref="N331:N346"/>
    <mergeCell ref="A331:A346"/>
    <mergeCell ref="B331:B346"/>
    <mergeCell ref="C331:C346"/>
    <mergeCell ref="D331:D346"/>
    <mergeCell ref="E331:E346"/>
    <mergeCell ref="F331:F346"/>
    <mergeCell ref="G331:G346"/>
    <mergeCell ref="O347:O362"/>
    <mergeCell ref="W347:W362"/>
    <mergeCell ref="H347:H362"/>
    <mergeCell ref="I347:I362"/>
    <mergeCell ref="J347:J362"/>
    <mergeCell ref="K347:K362"/>
    <mergeCell ref="L347:L362"/>
    <mergeCell ref="M347:M362"/>
    <mergeCell ref="N347:N362"/>
    <mergeCell ref="A347:A362"/>
    <mergeCell ref="B347:B362"/>
    <mergeCell ref="C347:C362"/>
    <mergeCell ref="D347:D362"/>
    <mergeCell ref="E347:E362"/>
    <mergeCell ref="F347:F362"/>
    <mergeCell ref="G347:G362"/>
    <mergeCell ref="A363:A378"/>
    <mergeCell ref="B363:B378"/>
    <mergeCell ref="C363:C378"/>
    <mergeCell ref="D363:D378"/>
    <mergeCell ref="E363:E378"/>
    <mergeCell ref="F363:F378"/>
    <mergeCell ref="G363:G378"/>
    <mergeCell ref="O411:O426"/>
    <mergeCell ref="W411:W426"/>
    <mergeCell ref="H411:H426"/>
    <mergeCell ref="I411:I426"/>
    <mergeCell ref="J411:J426"/>
    <mergeCell ref="K411:K426"/>
    <mergeCell ref="L411:L426"/>
    <mergeCell ref="M411:M426"/>
    <mergeCell ref="N411:N426"/>
    <mergeCell ref="O379:O394"/>
    <mergeCell ref="W379:W394"/>
    <mergeCell ref="H379:H394"/>
    <mergeCell ref="I379:I394"/>
    <mergeCell ref="J379:J394"/>
    <mergeCell ref="K379:K394"/>
    <mergeCell ref="L379:L394"/>
    <mergeCell ref="M379:M394"/>
    <mergeCell ref="N379:N394"/>
    <mergeCell ref="A379:A394"/>
    <mergeCell ref="B379:B394"/>
    <mergeCell ref="C379:C394"/>
    <mergeCell ref="D379:D394"/>
    <mergeCell ref="E379:E394"/>
    <mergeCell ref="F379:F394"/>
    <mergeCell ref="G379:G394"/>
    <mergeCell ref="O395:O410"/>
    <mergeCell ref="W395:W410"/>
    <mergeCell ref="H395:H410"/>
    <mergeCell ref="I395:I410"/>
    <mergeCell ref="J395:J410"/>
    <mergeCell ref="K395:K410"/>
    <mergeCell ref="L395:L410"/>
    <mergeCell ref="M395:M410"/>
    <mergeCell ref="N395:N410"/>
    <mergeCell ref="A395:A410"/>
    <mergeCell ref="B395:B410"/>
    <mergeCell ref="C395:C410"/>
    <mergeCell ref="D395:D410"/>
    <mergeCell ref="E395:E410"/>
    <mergeCell ref="F395:F410"/>
    <mergeCell ref="G395:G410"/>
    <mergeCell ref="A411:A426"/>
    <mergeCell ref="B411:B426"/>
    <mergeCell ref="C411:C426"/>
    <mergeCell ref="D411:D426"/>
    <mergeCell ref="E411:E426"/>
    <mergeCell ref="F411:F426"/>
    <mergeCell ref="G411:G426"/>
    <mergeCell ref="O459:O474"/>
    <mergeCell ref="W459:W474"/>
    <mergeCell ref="H459:H474"/>
    <mergeCell ref="I459:I474"/>
    <mergeCell ref="J459:J474"/>
    <mergeCell ref="K459:K474"/>
    <mergeCell ref="L459:L474"/>
    <mergeCell ref="M459:M474"/>
    <mergeCell ref="N459:N474"/>
    <mergeCell ref="O427:O442"/>
    <mergeCell ref="W427:W442"/>
    <mergeCell ref="H427:H442"/>
    <mergeCell ref="I427:I442"/>
    <mergeCell ref="J427:J442"/>
    <mergeCell ref="K427:K442"/>
    <mergeCell ref="L427:L442"/>
    <mergeCell ref="M427:M442"/>
    <mergeCell ref="N427:N442"/>
    <mergeCell ref="A427:A442"/>
    <mergeCell ref="B427:B442"/>
    <mergeCell ref="C427:C442"/>
    <mergeCell ref="D427:D442"/>
    <mergeCell ref="E427:E442"/>
    <mergeCell ref="F427:F442"/>
    <mergeCell ref="G427:G442"/>
    <mergeCell ref="O443:O458"/>
    <mergeCell ref="W443:W458"/>
    <mergeCell ref="H443:H458"/>
    <mergeCell ref="I443:I458"/>
    <mergeCell ref="J443:J458"/>
    <mergeCell ref="K443:K458"/>
    <mergeCell ref="L443:L458"/>
    <mergeCell ref="M443:M458"/>
    <mergeCell ref="N443:N458"/>
    <mergeCell ref="A443:A458"/>
    <mergeCell ref="B443:B458"/>
    <mergeCell ref="C443:C458"/>
    <mergeCell ref="D443:D458"/>
    <mergeCell ref="E443:E458"/>
    <mergeCell ref="F443:F458"/>
    <mergeCell ref="G443:G458"/>
    <mergeCell ref="A459:A474"/>
    <mergeCell ref="B459:B474"/>
    <mergeCell ref="C459:C474"/>
    <mergeCell ref="D459:D474"/>
    <mergeCell ref="E459:E474"/>
    <mergeCell ref="F459:F474"/>
    <mergeCell ref="G459:G474"/>
  </mergeCells>
  <conditionalFormatting sqref="F11:F778">
    <cfRule type="containsText" dxfId="0" priority="1" operator="containsText" text="N/A">
      <formula>NOT(ISERROR(SEARCH(("N/A"),(F11))))</formula>
    </cfRule>
  </conditionalFormatting>
  <conditionalFormatting sqref="G11:G778">
    <cfRule type="expression" dxfId="0" priority="2">
      <formula>IF(F11="N/A",TRUE,FALSE)</formula>
    </cfRule>
  </conditionalFormatting>
  <conditionalFormatting sqref="H11:H778">
    <cfRule type="expression" dxfId="0" priority="3">
      <formula>IF(F11="N/A",TRUE,FALSE)</formula>
    </cfRule>
  </conditionalFormatting>
  <conditionalFormatting sqref="I11:I778">
    <cfRule type="expression" dxfId="0" priority="4">
      <formula>IF(F11="N/A",TRUE,FALSE)</formula>
    </cfRule>
  </conditionalFormatting>
  <conditionalFormatting sqref="J11:J778">
    <cfRule type="expression" dxfId="0" priority="5">
      <formula>IF(F11="N/A",TRUE,FALSE)</formula>
    </cfRule>
  </conditionalFormatting>
  <conditionalFormatting sqref="K11:K778">
    <cfRule type="expression" dxfId="0" priority="6">
      <formula>IF(F11="N/A",TRUE,FALSE)</formula>
    </cfRule>
  </conditionalFormatting>
  <conditionalFormatting sqref="L11:L778">
    <cfRule type="expression" dxfId="0" priority="7">
      <formula>IF(F11="N/A",TRUE,FALSE)</formula>
    </cfRule>
  </conditionalFormatting>
  <conditionalFormatting sqref="M11:M778">
    <cfRule type="expression" dxfId="0" priority="8">
      <formula>IF(F11="N/A",TRUE,FALSE)</formula>
    </cfRule>
  </conditionalFormatting>
  <conditionalFormatting sqref="N11:N778">
    <cfRule type="expression" dxfId="0" priority="9">
      <formula>IF(F11="N/A",TRUE,FALSE)</formula>
    </cfRule>
  </conditionalFormatting>
  <conditionalFormatting sqref="O11:O778 W11:W778">
    <cfRule type="containsText" dxfId="1" priority="10" operator="containsText" text="ACEPTABLE CON REVISIÓN">
      <formula>NOT(ISERROR(SEARCH(("ACEPTABLE CON REVISIÓN"),(O11))))</formula>
    </cfRule>
  </conditionalFormatting>
  <conditionalFormatting sqref="O11:O778 W11:W778">
    <cfRule type="containsText" dxfId="2" priority="11" operator="containsText" text="BAJA">
      <formula>NOT(ISERROR(SEARCH(("BAJA"),(O11))))</formula>
    </cfRule>
  </conditionalFormatting>
  <conditionalFormatting sqref="O11:O778 W11:W778">
    <cfRule type="containsText" dxfId="3" priority="12" operator="containsText" text="SUSTANCIAL">
      <formula>NOT(ISERROR(SEARCH(("SUSTANCIAL"),(O11))))</formula>
    </cfRule>
  </conditionalFormatting>
  <conditionalFormatting sqref="O11:O778 W11:W778">
    <cfRule type="containsText" dxfId="4" priority="13" operator="containsText" text="INACEPTABLE">
      <formula>NOT(ISERROR(SEARCH(("INACEPTABLE"),(O11))))</formula>
    </cfRule>
  </conditionalFormatting>
  <conditionalFormatting sqref="O11:O778 W11:W778">
    <cfRule type="containsText" dxfId="5" priority="14" operator="containsText" text="ACEPTABLE">
      <formula>NOT(ISERROR(SEARCH(("ACEPTABLE"),(O11))))</formula>
    </cfRule>
  </conditionalFormatting>
  <conditionalFormatting sqref="O11:O778">
    <cfRule type="expression" dxfId="0" priority="15">
      <formula>IF(F11="N/A",TRUE,FALSE)</formula>
    </cfRule>
  </conditionalFormatting>
  <conditionalFormatting sqref="V11:V778">
    <cfRule type="containsText" dxfId="6" priority="16" operator="containsText" text="Control/Acción No Eficaz">
      <formula>NOT(ISERROR(SEARCH(("Control/Acción No Eficaz"),(V11))))</formula>
    </cfRule>
  </conditionalFormatting>
  <conditionalFormatting sqref="V11:V778">
    <cfRule type="containsText" dxfId="7" priority="17" operator="containsText" text="Control/Acción Satisfactorio">
      <formula>NOT(ISERROR(SEARCH(("Control/Acción Satisfactorio"),(V11))))</formula>
    </cfRule>
  </conditionalFormatting>
  <conditionalFormatting sqref="V11:V778">
    <cfRule type="containsText" dxfId="8" priority="18" operator="containsText" text="Control/Acción Eficaz">
      <formula>NOT(ISERROR(SEARCH(("Control/Acción Eficaz"),(V11))))</formula>
    </cfRule>
  </conditionalFormatting>
  <conditionalFormatting sqref="W11:W778">
    <cfRule type="expression" dxfId="0" priority="19">
      <formula>IF(F11="N/A",TRUE,FALSE)</formula>
    </cfRule>
  </conditionalFormatting>
  <dataValidations>
    <dataValidation type="list" allowBlank="1" showErrorMessage="1" sqref="F11 F27 F43 F59 F75 F91 F107 F123 F139 F155 F171 F187 F203 F219 F235 F251 F267 F283 F299 F315 F331 F347 F363 F379 F395 F411 F427 F443 F459 F475 F491 F507 F523 F539 F555 F571 F587 F603 F619 F635 F651 F667 F683 F699 F715 F731 F747 F763">
      <formula1>IF(E11="SEGURIDAD",FP_SE,IF(E11="MEDIO AMBIENTE",FA_MA,IF(E11="SALUD",FP_SA,IF(OR(E11="DSRC/Estratégico",E11="DSRC/Operativo"),FP_DS,IF(E11="Rel. Gubernamentales",FP_G,IF(E11="OPERACIONAL",FP_op,IF(E11="FINANCIERO",FP_FI,FP_L)))))))</formula1>
    </dataValidation>
    <dataValidation type="list" allowBlank="1" showErrorMessage="1" sqref="R11:R778">
      <formula1>IF(AA11="SEGURIDAD",FV_SE,IF(AA11="MEDIO AMBIENTE",FV_MA,IF(AA11="SALUD",FV_SA,IF(OR(AA11="DSRC/Estratégico",AA11="DSRC/Operativo"),FV_DS,IF(AA11="Rel. Gubernamentales",FV_G,IF(AA11="OPERACIONAL",FV_OP,IF(AA11="FINANCIERO",FV_FI,FV_L)))))))</formula1>
    </dataValidation>
    <dataValidation type="list" allowBlank="1" showErrorMessage="1" sqref="D11 D27 D43 D59 D75 D91 D107 D123 D139 D155 D171 D187 D203 D219 D235 D251 D267 D283 D299 D315 D331 D347 D363 D379 D395 D411 D427 D443 D459 D475 D491 D507 D523 D539 D555 D571 D587 D603 D619 D635 D651 D667 D683 D699 D715 D731 D747 D763">
      <formula1>"Normal,Anormal,Emergencia,Social,Ambiental,Económico,Político"</formula1>
    </dataValidation>
    <dataValidation type="list" allowBlank="1" showErrorMessage="1" sqref="T11:T778">
      <formula1>"A. Mayor 80%,B. 50% y 80%,C. Menor a 50%"</formula1>
    </dataValidation>
    <dataValidation type="custom" allowBlank="1" showInputMessage="1" prompt="Celda bloqueada - No se puede introducir una descripción, debe elegir una opción diferente a N/A en el campo familia Peligro/Aspecto" sqref="G11 G27 G43 G59 G75 G91 G107 G123 G139 G155 G171 G187 G203 G219 G235 G251 G267 G283 G299 G315 G331 G347 G363 G379 G395 G411 G427 G443 G459 G475 G491 G507 G523 G539 G555 G571 G587 G603 G619 G635 G651 G667 G683 G699 G715 G731 G747 G763">
      <formula1>F11&lt;&gt;"N/A"</formula1>
    </dataValidation>
    <dataValidation type="list" allowBlank="1" showErrorMessage="1" sqref="H11 H27 H43 H59 H75 H91 H107 H123 H139 H155 H171 H187 H203 H219 H235 H251 H267 H283 H299 H315 H331 H347 H363 H379 H395 H411 H427 H443 H459 H475 H491 H507 H523 H539 H555 H571 H587 H603 H619 H635 H651 H667 H683 H699 H715 H731 H747 H763">
      <formula1>IF(F11="N/A","",IF(E11="SEGURIDAD",FR_SE,IF(E11="MEDIO AMBIENTE",FI_MA,IF(E11="SALUD",FR_SA,IF(OR(E11="DSRC/Estratégico",E11="DSRC/Operativo"),FR_DS,IF(E11="Rel. Gubernamentales",FR_G,IF(E11="OPERACIONAL",FR_OP,IF(E11="FINANCIERO",FR_FI,FR_L))))))))</formula1>
    </dataValidation>
    <dataValidation type="list" allowBlank="1" showErrorMessage="1" sqref="P11:P778">
      <formula1>IF(AA11="SEGURIDAD",FC_SE,IF(AA11="MEDIO AMBIENTE",FC_MA,IF(AA11="SALUD",FC_SA,IF(OR(AA11="DSRC/Estratégico",AA11="DSRC/Operativo"), FC_DS,IF(AA11="Rel. Gubernamentales",FC_G,IF(AA11="OPERACIONAL",FC_OP,IF(AA11="FINANCIERO",FC_FI,FC_L)))))))</formula1>
    </dataValidation>
    <dataValidation type="custom" allowBlank="1" showInputMessage="1" showErrorMessage="1" prompt="Celda Bloqueada - No se puede introducir una descripción, debe elegir una opción diferente a N/A en el campo familia Peligro/Aspecto" sqref="I11 I27 I43 I59 I75 I91 I107 I123 I139 I155 I171 I187 I203 I219 I235 I251 I267 I283 I299 I315 I331 I347 I363 I379 I395 I411 I427 I443 I459 I475 I491 I507 I523 I539 I555 I571 I587 I603 I619 I635 I651 I667 I683 I699 I715 I731 I747 I763">
      <formula1>F11&lt;&gt;"N/A"</formula1>
    </dataValidation>
    <dataValidation type="custom" allowBlank="1" showInputMessage="1" prompt="ADVERTENCIA - Esta celda no debe ser modificada manualmente, el cambiar el parametro puede afectar al resto de la planilla." sqref="L11 L27 L43 L59 L75 L91 L107 L123 L139 L155 L171 L187 L203 L219 L235 L251 L267 L283 L299 L315 L331 L347 L363 L379 L395 L411 L427 L443 L459 L475 L491 L507 L523 L539 L555 L571 L587 L603 L619 L635 L651 L667 L683 L699 L715 L731 L747 L763">
      <formula1>F11&lt;&gt;"N/A"</formula1>
    </dataValidation>
    <dataValidation type="list" allowBlank="1" showErrorMessage="1" sqref="E11 E27 E43 E59 E75 E91 E107 E123 E139 E155 E171 E187 E203 E219 E235 E251 E267 E283 E299 E315 E331 E347 E363 E379 E395 E411 E427 E443 E459 E475 E491 E507 E523 E539 E555 E571 E587 E603 E619 E635 E651 E667 E683 E699 E715 E731 E747 E763">
      <formula1>"Seguridad,Salud,Medio Ambiente,Operacional,Legal,DSRC/Estratégico,DSRC/Operativo,Rel. Gubernamentales,Financiero"</formula1>
    </dataValidation>
    <dataValidation type="custom" allowBlank="1" showInputMessage="1" prompt="ADVERTENCIA - Esta celda no debe ser modificada manualmente, el cambiar el parametro puede afectar al resto de la planilla." sqref="N11 N27 N43 N59 N75 N91 N107 N123 N139 N155 N171 N187 N203 N219 N235 N251 N267 N283 N299 N315 N331 N347 N363 N379 N395 N411 N427 N443 N459 N475 N491 N507 N523 N539 N555 N571 N587 N603 N619 N635 N651 N667 N683 N699 N715 N731 N747 N763">
      <formula1>F11&lt;&gt;"N/A"</formula1>
    </dataValidation>
    <dataValidation type="custom" allowBlank="1" showInputMessage="1" prompt="ADVERTENCIA - Esta celda no debe ser modificada manualmente, el cambiar el parametro puede afectar al resto de la planilla." sqref="O11 O27 O43 O59 O75 O91 O107 O123 O139 O155 O171 O187 O203 O219 O235 O251 O267 O283 O299 O315 O331 O347 O363 O379 O395 O411 O427 O443 O459 O475 O491 O507 O523 O539 O555 O571 O587 O603 O619 O635 O651 O667 O683 O699 O715 O731 O747 O763">
      <formula1>F11&lt;&gt;"N/A"</formula1>
    </dataValidation>
    <dataValidation type="list" allowBlank="1" showErrorMessage="1" sqref="U11:U778">
      <formula1>IF(AA11="SEGURIDAD",JC_SE,IF(AA11="MEDIO AMBIENTE",JC_MA,IF(AA11="SALUD",JC_SA,IF(OR(AA11="DSRC/Estratégico",AA11="DSRC/Operativo"),JC_DS,IF(AA11="Rel. Gubernamentales",JC_G,JC_L)))))</formula1>
    </dataValidation>
    <dataValidation type="list" allowBlank="1" showErrorMessage="1" sqref="S11:S778">
      <formula1>IF(AA11="SEGURIDAD",VS,IF(AA11="MEDIO AMBIENTE",VM,IF(AA11="SALUD",FV_SA,IF(OR(AA11="DSRC/Estratégico",AA11="DSRC/Operativo"),FV_DS,IF(AA11="Rel. Gubernamentales",FV_G,IF(AA11="OPERACIONAL",FV_OP,IF(AA11="FINANCIERO",FV_FI,FV_L)))))))</formula1>
    </dataValidation>
    <dataValidation type="custom" allowBlank="1" showInputMessage="1" prompt="Celda Bloqueada - No se puede introducir una descripción, debe elegir una opción diferente a N/A en el campo familia Peligro/Aspecto" sqref="J11 J27 J43 J59 J75 J91 J107 J123 J139 J155 J171 J187 J203 J219 J235 J251 J267 J283 J299 J315 J331 J347 J363 J379 J395 J411 J427 J443 J459 J475 J491 J507 J523 J539 J555 J571 J587 J603 J619 J635 J651 J667 J683 J699 J715 J731 J747 J763">
      <formula1>F11&lt;&gt;"N/A"</formula1>
    </dataValidation>
    <dataValidation type="custom" allowBlank="1" showInputMessage="1" prompt="Celda Bloqueada - No se puede introducir una descripción, debe elegir una opción diferente a N/A en el campo familia Peligro/Aspecto" sqref="K11 K27 K43 K59 K75 K91 K107 K123 K139 K155 K171 K187 K203 K219 K235 K251 K267 K283 K299 K315 K331 K347 K363 K379 K395 K411 K427 K443 K459 K475 K491 K507 K523 K539 K555 K571 K587 K603 K619 K635 K651 K667 K683 K699 K715 K731 K747 K763">
      <formula1>F11&lt;&gt;"N/A"</formula1>
    </dataValidation>
    <dataValidation type="custom" allowBlank="1" showInputMessage="1" prompt="Celda Bloqueada - No se puede introducir una descripción, debe elegir una opción diferente a N/A en el campo familia Peligro/Aspecto" sqref="M11 M27 M43 M59 M75 M91 M107 M123 M139 M155 M171 M187 M203 M219 M235 M251 M267 M283 M299 M315 M331 M347 M363 M379 M395 M411 M427 M443 M459 M475 M491 M507 M523 M539 M555 M571 M587 M603 M619 M635 M651 M667 M683 M699 M715 M731 M747 M763">
      <formula1>F11&lt;&gt;"N/A"</formula1>
    </dataValidation>
    <dataValidation type="custom" allowBlank="1" showInputMessage="1" prompt="ADVERTENCIA - Esta celda no debe ser modificada manualmente, el cambiar el parametro puede afectar al resto de la planilla." sqref="W11 W27 W43 W59 W75 W91 W107 W123 W139 W155 W171 W187 W203 W219 W235 W251 W267 W283 W299 W315 W331 W347 W363 W379 W395 W411 W427 W443 W459 W475 W491 W507 W523 W539 W555 W571 W587 W603 W619 W635 W651 W667 W683 W699 W715 W731 W747 W763">
      <formula1>F11&lt;&gt;"N/A"</formula1>
    </dataValidation>
  </dataValidations>
  <printOptions/>
  <pageMargins bottom="0.5905511811023623" footer="0.0" header="0.0" left="0.3937007874015748" right="0.3937007874015748" top="0.5905511811023623"/>
  <pageSetup orientation="landscape"/>
  <rowBreaks count="9" manualBreakCount="9">
    <brk id="554" man="1"/>
    <brk id="394" man="1"/>
    <brk id="234" man="1"/>
    <brk id="74" man="1"/>
    <brk id="714" man="1"/>
    <brk id="474" man="1"/>
    <brk id="314" man="1"/>
    <brk id="634" man="1"/>
    <brk id="154" man="1"/>
  </rowBreaks>
  <colBreaks count="1" manualBreakCount="1">
    <brk id="25"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4.71"/>
    <col customWidth="1" min="9" max="9" width="9.14"/>
    <col customWidth="1" min="10" max="10" width="3.71"/>
    <col customWidth="1" min="11" max="11" width="45.0"/>
    <col customWidth="1" min="12" max="14" width="19.29"/>
    <col customWidth="1" min="15" max="15" width="9.14"/>
    <col customWidth="1" min="16" max="16" width="72.86"/>
    <col customWidth="1" min="17" max="17" width="2.71"/>
    <col customWidth="1" min="18" max="18" width="53.71"/>
    <col customWidth="1" min="19" max="19" width="2.71"/>
    <col customWidth="1" min="20" max="20" width="33.43"/>
    <col customWidth="1" min="21" max="21" width="2.86"/>
    <col customWidth="1" min="22" max="22" width="51.57"/>
    <col customWidth="1" min="23" max="23" width="4.57"/>
    <col customWidth="1" min="24" max="24" width="51.57"/>
    <col customWidth="1" min="25" max="25" width="9.14"/>
    <col customWidth="1" min="26" max="26" width="47.86"/>
    <col customWidth="1" min="27" max="27" width="4.0"/>
    <col customWidth="1" min="28" max="28" width="39.86"/>
    <col customWidth="1" min="29" max="29" width="4.14"/>
    <col customWidth="1" min="30" max="30" width="43.71"/>
    <col customWidth="1" min="31" max="31" width="3.86"/>
    <col customWidth="1" min="32" max="32" width="44.71"/>
    <col customWidth="1" min="33" max="33" width="5.57"/>
    <col customWidth="1" min="34" max="34" width="44.71"/>
    <col customWidth="1" min="35" max="35" width="3.29"/>
    <col customWidth="1" min="36" max="36" width="24.86"/>
    <col customWidth="1" min="37" max="37" width="3.29"/>
    <col customWidth="1" min="38" max="38" width="23.86"/>
    <col customWidth="1" min="39" max="39" width="2.29"/>
    <col customWidth="1" min="40" max="40" width="27.0"/>
    <col customWidth="1" min="41" max="41" width="2.57"/>
    <col customWidth="1" min="42" max="42" width="33.29"/>
    <col customWidth="1" min="43" max="43" width="9.14"/>
    <col customWidth="1" min="44" max="44" width="24.43"/>
    <col customWidth="1" min="45" max="45" width="3.29"/>
    <col customWidth="1" min="46" max="46" width="23.43"/>
    <col customWidth="1" min="47" max="47" width="3.86"/>
    <col customWidth="1" min="48" max="48" width="26.57"/>
    <col customWidth="1" min="49" max="49" width="2.57"/>
    <col customWidth="1" min="50" max="50" width="30.14"/>
    <col customWidth="1" min="51" max="51" width="9.14"/>
    <col customWidth="1" min="52" max="52" width="69.29"/>
    <col customWidth="1" min="53" max="53" width="3.43"/>
    <col customWidth="1" min="54" max="54" width="90.43"/>
    <col customWidth="1" min="55" max="55" width="3.14"/>
    <col customWidth="1" min="56" max="56" width="79.43"/>
    <col customWidth="1" min="57" max="57" width="4.29"/>
    <col customWidth="1" min="58" max="58" width="29.29"/>
    <col customWidth="1" min="59" max="59" width="9.14"/>
    <col customWidth="1" min="60" max="60" width="25.14"/>
    <col customWidth="1" min="61" max="61" width="3.71"/>
    <col customWidth="1" min="62" max="62" width="22.57"/>
    <col customWidth="1" min="63" max="63" width="4.14"/>
    <col customWidth="1" min="64" max="64" width="25.57"/>
    <col customWidth="1" min="65" max="65" width="4.43"/>
    <col customWidth="1" min="66" max="66" width="29.14"/>
    <col customWidth="1" min="67" max="67" width="9.14"/>
    <col customWidth="1" min="68" max="68" width="23.57"/>
    <col customWidth="1" min="69" max="69" width="5.71"/>
    <col customWidth="1" min="70" max="70" width="20.86"/>
    <col customWidth="1" min="71" max="71" width="4.57"/>
    <col customWidth="1" min="72" max="72" width="23.57"/>
    <col customWidth="1" min="73" max="73" width="4.71"/>
    <col customWidth="1" min="74" max="74" width="27.43"/>
    <col customWidth="1" min="75" max="75" width="9.14"/>
    <col customWidth="1" min="76" max="76" width="34.29"/>
    <col customWidth="1" min="77" max="77" width="5.0"/>
    <col customWidth="1" min="78" max="78" width="29.29"/>
    <col customWidth="1" min="79" max="79" width="4.71"/>
    <col customWidth="1" min="80" max="80" width="32.14"/>
    <col customWidth="1" min="81" max="81" width="4.0"/>
    <col customWidth="1" min="82" max="82" width="35.57"/>
  </cols>
  <sheetData>
    <row r="1" ht="15.0" customHeight="1">
      <c r="A1" s="1" t="s">
        <v>0</v>
      </c>
      <c r="I1" s="2"/>
      <c r="J1" s="3" t="s">
        <v>1</v>
      </c>
      <c r="K1" s="4" t="s">
        <v>2</v>
      </c>
      <c r="L1" s="5"/>
      <c r="M1" s="5"/>
      <c r="N1" s="6"/>
      <c r="O1" s="2"/>
      <c r="P1" s="2"/>
      <c r="Q1" s="2"/>
      <c r="R1" s="2"/>
      <c r="S1" s="2"/>
      <c r="T1" s="2"/>
      <c r="U1" s="2"/>
      <c r="V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row>
    <row r="2">
      <c r="A2" s="2"/>
      <c r="B2" s="7" t="s">
        <v>3</v>
      </c>
      <c r="C2" s="7">
        <v>1.0</v>
      </c>
      <c r="D2" s="7">
        <v>2.0</v>
      </c>
      <c r="E2" s="7">
        <v>3.0</v>
      </c>
      <c r="F2" s="7">
        <v>4.0</v>
      </c>
      <c r="G2" s="7">
        <v>5.0</v>
      </c>
      <c r="H2" s="7">
        <v>6.0</v>
      </c>
      <c r="I2" s="2"/>
      <c r="J2" s="8"/>
      <c r="K2" s="7" t="s">
        <v>4</v>
      </c>
      <c r="L2" s="7" t="s">
        <v>5</v>
      </c>
      <c r="M2" s="7" t="s">
        <v>6</v>
      </c>
      <c r="N2" s="7" t="s">
        <v>7</v>
      </c>
      <c r="O2" s="2"/>
      <c r="P2" s="9" t="s">
        <v>8</v>
      </c>
      <c r="Q2" s="2"/>
      <c r="R2" s="9" t="s">
        <v>9</v>
      </c>
      <c r="S2" s="2"/>
      <c r="T2" s="9" t="s">
        <v>10</v>
      </c>
      <c r="U2" s="2"/>
      <c r="V2" s="9" t="s">
        <v>11</v>
      </c>
      <c r="X2" s="9" t="s">
        <v>12</v>
      </c>
      <c r="Y2" s="2"/>
      <c r="Z2" s="10" t="s">
        <v>13</v>
      </c>
      <c r="AA2" s="2"/>
      <c r="AB2" s="10" t="s">
        <v>14</v>
      </c>
      <c r="AC2" s="2"/>
      <c r="AD2" s="10" t="s">
        <v>15</v>
      </c>
      <c r="AE2" s="2"/>
      <c r="AF2" s="10" t="s">
        <v>16</v>
      </c>
      <c r="AG2" s="2"/>
      <c r="AH2" s="10" t="s">
        <v>17</v>
      </c>
      <c r="AI2" s="2"/>
      <c r="AJ2" s="11" t="s">
        <v>18</v>
      </c>
      <c r="AK2" s="2"/>
      <c r="AL2" s="11" t="s">
        <v>19</v>
      </c>
      <c r="AM2" s="2"/>
      <c r="AN2" s="11" t="s">
        <v>20</v>
      </c>
      <c r="AO2" s="2"/>
      <c r="AP2" s="11" t="s">
        <v>21</v>
      </c>
      <c r="AQ2" s="2"/>
      <c r="AR2" s="12" t="s">
        <v>22</v>
      </c>
      <c r="AS2" s="2"/>
      <c r="AT2" s="12" t="s">
        <v>23</v>
      </c>
      <c r="AU2" s="2"/>
      <c r="AV2" s="12" t="s">
        <v>24</v>
      </c>
      <c r="AW2" s="2"/>
      <c r="AX2" s="12" t="s">
        <v>25</v>
      </c>
      <c r="AY2" s="2"/>
      <c r="AZ2" s="13" t="s">
        <v>26</v>
      </c>
      <c r="BA2" s="2"/>
      <c r="BB2" s="13" t="s">
        <v>27</v>
      </c>
      <c r="BC2" s="2"/>
      <c r="BD2" s="14" t="s">
        <v>28</v>
      </c>
      <c r="BE2" s="2"/>
      <c r="BF2" s="13" t="s">
        <v>29</v>
      </c>
      <c r="BG2" s="2"/>
      <c r="BH2" s="15" t="s">
        <v>30</v>
      </c>
      <c r="BI2" s="2"/>
      <c r="BJ2" s="15" t="s">
        <v>31</v>
      </c>
      <c r="BK2" s="2"/>
      <c r="BL2" s="15" t="s">
        <v>32</v>
      </c>
      <c r="BM2" s="2"/>
      <c r="BN2" s="15" t="s">
        <v>33</v>
      </c>
      <c r="BO2" s="2"/>
      <c r="BP2" s="16" t="s">
        <v>34</v>
      </c>
      <c r="BQ2" s="2"/>
      <c r="BR2" s="16" t="s">
        <v>35</v>
      </c>
      <c r="BS2" s="2"/>
      <c r="BT2" s="16" t="s">
        <v>36</v>
      </c>
      <c r="BU2" s="2"/>
      <c r="BV2" s="16" t="s">
        <v>37</v>
      </c>
      <c r="BW2" s="2"/>
      <c r="BX2" s="17" t="s">
        <v>38</v>
      </c>
      <c r="BY2" s="2"/>
      <c r="BZ2" s="17" t="s">
        <v>39</v>
      </c>
      <c r="CA2" s="2"/>
      <c r="CB2" s="17" t="s">
        <v>40</v>
      </c>
      <c r="CC2" s="2"/>
      <c r="CD2" s="17" t="s">
        <v>41</v>
      </c>
    </row>
    <row r="3">
      <c r="A3" s="19" t="s">
        <v>42</v>
      </c>
      <c r="B3" s="7">
        <v>1.0</v>
      </c>
      <c r="C3" s="22">
        <v>5.0</v>
      </c>
      <c r="D3" s="22">
        <v>5.0</v>
      </c>
      <c r="E3" s="22">
        <v>4.0</v>
      </c>
      <c r="F3" s="22">
        <v>4.0</v>
      </c>
      <c r="G3" s="22">
        <v>3.0</v>
      </c>
      <c r="H3" s="22">
        <v>3.0</v>
      </c>
      <c r="I3" s="2"/>
      <c r="J3" s="8"/>
      <c r="K3" s="7" t="s">
        <v>44</v>
      </c>
      <c r="L3" s="24" t="s">
        <v>45</v>
      </c>
      <c r="M3" s="24" t="s">
        <v>45</v>
      </c>
      <c r="N3" s="25" t="s">
        <v>46</v>
      </c>
      <c r="O3" s="2"/>
      <c r="P3" s="26" t="s">
        <v>47</v>
      </c>
      <c r="Q3" s="2"/>
      <c r="R3" s="27" t="s">
        <v>48</v>
      </c>
      <c r="S3" s="2"/>
      <c r="T3" s="29" t="s">
        <v>50</v>
      </c>
      <c r="U3" s="2"/>
      <c r="V3" s="29" t="s">
        <v>51</v>
      </c>
      <c r="X3" s="29" t="s">
        <v>52</v>
      </c>
      <c r="Y3" s="2"/>
      <c r="Z3" s="26" t="s">
        <v>53</v>
      </c>
      <c r="AA3" s="2"/>
      <c r="AB3" s="26" t="s">
        <v>54</v>
      </c>
      <c r="AC3" s="2"/>
      <c r="AD3" s="2" t="s">
        <v>56</v>
      </c>
      <c r="AE3" s="2"/>
      <c r="AF3" s="2" t="s">
        <v>57</v>
      </c>
      <c r="AG3" s="2"/>
      <c r="AH3" s="37" t="s">
        <v>52</v>
      </c>
      <c r="AI3" s="2"/>
      <c r="AJ3" s="26" t="s">
        <v>58</v>
      </c>
      <c r="AK3" s="2"/>
      <c r="AL3" s="26" t="s">
        <v>59</v>
      </c>
      <c r="AM3" s="2"/>
      <c r="AN3" s="26"/>
      <c r="AO3" s="2"/>
      <c r="AP3" s="26"/>
      <c r="AQ3" s="2"/>
      <c r="AR3" s="26" t="s">
        <v>60</v>
      </c>
      <c r="AS3" s="2"/>
      <c r="AT3" s="39" t="s">
        <v>60</v>
      </c>
      <c r="AU3" s="2"/>
      <c r="AV3" s="39" t="s">
        <v>60</v>
      </c>
      <c r="AW3" s="2"/>
      <c r="AX3" s="39" t="s">
        <v>60</v>
      </c>
      <c r="AY3" s="2"/>
      <c r="AZ3" s="42" t="s">
        <v>62</v>
      </c>
      <c r="BA3" s="2"/>
      <c r="BB3" s="42" t="s">
        <v>63</v>
      </c>
      <c r="BC3" s="2"/>
      <c r="BD3" s="26" t="s">
        <v>64</v>
      </c>
      <c r="BE3" s="44" t="s">
        <v>65</v>
      </c>
      <c r="BF3" s="42" t="s">
        <v>66</v>
      </c>
      <c r="BG3" s="2"/>
      <c r="BH3" s="26" t="s">
        <v>67</v>
      </c>
      <c r="BI3" s="2"/>
      <c r="BJ3" s="26" t="s">
        <v>67</v>
      </c>
      <c r="BK3" s="2"/>
      <c r="BL3" s="26" t="s">
        <v>67</v>
      </c>
      <c r="BM3" s="2"/>
      <c r="BN3" s="26"/>
      <c r="BO3" s="2"/>
      <c r="BP3" s="26" t="s">
        <v>68</v>
      </c>
      <c r="BQ3" s="2"/>
      <c r="BR3" s="26" t="s">
        <v>69</v>
      </c>
      <c r="BS3" s="2"/>
      <c r="BT3" s="26" t="s">
        <v>70</v>
      </c>
      <c r="BU3" s="2"/>
      <c r="BV3" s="26" t="s">
        <v>71</v>
      </c>
      <c r="BW3" s="2"/>
      <c r="BX3" s="26" t="s">
        <v>72</v>
      </c>
      <c r="BY3" s="2"/>
      <c r="BZ3" s="26" t="s">
        <v>72</v>
      </c>
      <c r="CA3" s="2"/>
      <c r="CB3" s="26" t="s">
        <v>72</v>
      </c>
      <c r="CC3" s="2"/>
      <c r="CD3" s="26" t="s">
        <v>72</v>
      </c>
    </row>
    <row r="4">
      <c r="B4" s="7">
        <v>2.0</v>
      </c>
      <c r="C4" s="22">
        <v>5.0</v>
      </c>
      <c r="D4" s="22">
        <v>5.0</v>
      </c>
      <c r="E4" s="22">
        <v>4.0</v>
      </c>
      <c r="F4" s="22">
        <v>3.0</v>
      </c>
      <c r="G4" s="22">
        <v>3.0</v>
      </c>
      <c r="H4" s="22">
        <v>3.0</v>
      </c>
      <c r="I4" s="2"/>
      <c r="J4" s="8"/>
      <c r="K4" s="7" t="s">
        <v>74</v>
      </c>
      <c r="L4" s="24" t="s">
        <v>45</v>
      </c>
      <c r="M4" s="24" t="s">
        <v>45</v>
      </c>
      <c r="N4" s="25" t="s">
        <v>46</v>
      </c>
      <c r="O4" s="2"/>
      <c r="P4" s="39" t="s">
        <v>76</v>
      </c>
      <c r="Q4" s="2"/>
      <c r="R4" s="50" t="s">
        <v>77</v>
      </c>
      <c r="S4" s="2"/>
      <c r="T4" s="52" t="s">
        <v>78</v>
      </c>
      <c r="U4" s="2"/>
      <c r="V4" s="52" t="s">
        <v>79</v>
      </c>
      <c r="X4" s="52" t="s">
        <v>81</v>
      </c>
      <c r="Y4" s="2"/>
      <c r="Z4" s="39" t="s">
        <v>82</v>
      </c>
      <c r="AA4" s="2"/>
      <c r="AB4" s="39" t="s">
        <v>83</v>
      </c>
      <c r="AC4" s="2"/>
      <c r="AD4" s="2" t="s">
        <v>84</v>
      </c>
      <c r="AE4" s="2"/>
      <c r="AF4" s="2" t="s">
        <v>85</v>
      </c>
      <c r="AG4" s="2"/>
      <c r="AH4" s="37" t="s">
        <v>81</v>
      </c>
      <c r="AI4" s="2"/>
      <c r="AJ4" s="39" t="s">
        <v>86</v>
      </c>
      <c r="AK4" s="2"/>
      <c r="AL4" s="39" t="s">
        <v>88</v>
      </c>
      <c r="AM4" s="2"/>
      <c r="AN4" s="39" t="s">
        <v>88</v>
      </c>
      <c r="AO4" s="2"/>
      <c r="AP4" s="39" t="s">
        <v>88</v>
      </c>
      <c r="AQ4" s="2"/>
      <c r="AR4" s="39" t="s">
        <v>60</v>
      </c>
      <c r="AS4" s="2"/>
      <c r="AT4" s="39" t="s">
        <v>60</v>
      </c>
      <c r="AU4" s="2"/>
      <c r="AV4" s="39" t="s">
        <v>60</v>
      </c>
      <c r="AW4" s="2"/>
      <c r="AX4" s="39" t="s">
        <v>60</v>
      </c>
      <c r="AY4" s="2"/>
      <c r="AZ4" s="61" t="s">
        <v>89</v>
      </c>
      <c r="BA4" s="2"/>
      <c r="BB4" s="39" t="s">
        <v>90</v>
      </c>
      <c r="BC4" s="2"/>
      <c r="BD4" s="39" t="s">
        <v>92</v>
      </c>
      <c r="BE4" s="44" t="s">
        <v>65</v>
      </c>
      <c r="BF4" s="61" t="s">
        <v>93</v>
      </c>
      <c r="BG4" s="2"/>
      <c r="BH4" s="39" t="s">
        <v>67</v>
      </c>
      <c r="BI4" s="2"/>
      <c r="BJ4" s="39" t="s">
        <v>67</v>
      </c>
      <c r="BK4" s="2"/>
      <c r="BL4" s="39" t="s">
        <v>67</v>
      </c>
      <c r="BM4" s="2"/>
      <c r="BN4" s="39" t="s">
        <v>67</v>
      </c>
      <c r="BO4" s="2"/>
      <c r="BP4" s="39" t="s">
        <v>95</v>
      </c>
      <c r="BQ4" s="2"/>
      <c r="BR4" s="39" t="s">
        <v>96</v>
      </c>
      <c r="BS4" s="2"/>
      <c r="BT4" s="39" t="s">
        <v>97</v>
      </c>
      <c r="BU4" s="2"/>
      <c r="BV4" s="69" t="s">
        <v>98</v>
      </c>
      <c r="BW4" s="2"/>
      <c r="BX4" s="39" t="s">
        <v>72</v>
      </c>
      <c r="BY4" s="2"/>
      <c r="BZ4" s="39" t="s">
        <v>72</v>
      </c>
      <c r="CA4" s="2"/>
      <c r="CB4" s="39" t="s">
        <v>72</v>
      </c>
      <c r="CC4" s="2"/>
      <c r="CD4" s="39" t="s">
        <v>72</v>
      </c>
    </row>
    <row r="5">
      <c r="B5" s="7">
        <v>3.0</v>
      </c>
      <c r="C5" s="22">
        <v>4.0</v>
      </c>
      <c r="D5" s="22">
        <v>4.0</v>
      </c>
      <c r="E5" s="22">
        <v>4.0</v>
      </c>
      <c r="F5" s="22">
        <v>3.0</v>
      </c>
      <c r="G5" s="22">
        <v>2.0</v>
      </c>
      <c r="H5" s="22">
        <v>2.0</v>
      </c>
      <c r="I5" s="2"/>
      <c r="J5" s="8"/>
      <c r="K5" s="7" t="s">
        <v>99</v>
      </c>
      <c r="L5" s="73" t="s">
        <v>100</v>
      </c>
      <c r="M5" s="24" t="s">
        <v>45</v>
      </c>
      <c r="N5" s="25" t="s">
        <v>46</v>
      </c>
      <c r="O5" s="2"/>
      <c r="P5" s="39" t="s">
        <v>101</v>
      </c>
      <c r="Q5" s="2"/>
      <c r="R5" s="50" t="s">
        <v>102</v>
      </c>
      <c r="S5" s="2"/>
      <c r="T5" s="52" t="s">
        <v>104</v>
      </c>
      <c r="U5" s="2"/>
      <c r="V5" s="52" t="s">
        <v>105</v>
      </c>
      <c r="X5" s="52" t="s">
        <v>106</v>
      </c>
      <c r="Y5" s="2"/>
      <c r="Z5" s="39" t="s">
        <v>107</v>
      </c>
      <c r="AA5" s="2"/>
      <c r="AB5" s="39" t="s">
        <v>109</v>
      </c>
      <c r="AC5" s="2"/>
      <c r="AD5" s="2" t="s">
        <v>110</v>
      </c>
      <c r="AE5" s="2"/>
      <c r="AF5" s="2" t="s">
        <v>111</v>
      </c>
      <c r="AG5" s="2"/>
      <c r="AH5" s="37" t="s">
        <v>112</v>
      </c>
      <c r="AI5" s="2"/>
      <c r="AJ5" s="39" t="s">
        <v>86</v>
      </c>
      <c r="AK5" s="2"/>
      <c r="AL5" s="39" t="s">
        <v>88</v>
      </c>
      <c r="AM5" s="2"/>
      <c r="AN5" s="39" t="s">
        <v>88</v>
      </c>
      <c r="AO5" s="2"/>
      <c r="AP5" s="39" t="s">
        <v>88</v>
      </c>
      <c r="AQ5" s="2"/>
      <c r="AR5" s="39" t="s">
        <v>60</v>
      </c>
      <c r="AS5" s="2"/>
      <c r="AT5" s="39" t="s">
        <v>60</v>
      </c>
      <c r="AU5" s="2"/>
      <c r="AV5" s="39" t="s">
        <v>60</v>
      </c>
      <c r="AW5" s="2"/>
      <c r="AX5" s="39" t="s">
        <v>60</v>
      </c>
      <c r="AY5" s="2"/>
      <c r="AZ5" s="61" t="s">
        <v>118</v>
      </c>
      <c r="BA5" s="2"/>
      <c r="BB5" s="39" t="s">
        <v>120</v>
      </c>
      <c r="BC5" s="2"/>
      <c r="BD5" s="39" t="s">
        <v>121</v>
      </c>
      <c r="BE5" s="44" t="s">
        <v>65</v>
      </c>
      <c r="BF5" s="79"/>
      <c r="BG5" s="2"/>
      <c r="BH5" s="39" t="s">
        <v>67</v>
      </c>
      <c r="BI5" s="2"/>
      <c r="BJ5" s="39" t="s">
        <v>67</v>
      </c>
      <c r="BK5" s="2"/>
      <c r="BL5" s="39" t="s">
        <v>67</v>
      </c>
      <c r="BM5" s="2"/>
      <c r="BN5" s="39" t="s">
        <v>67</v>
      </c>
      <c r="BO5" s="2"/>
      <c r="BP5" s="39" t="s">
        <v>124</v>
      </c>
      <c r="BQ5" s="2"/>
      <c r="BR5" s="69" t="s">
        <v>126</v>
      </c>
      <c r="BS5" s="2"/>
      <c r="BT5" s="39" t="s">
        <v>127</v>
      </c>
      <c r="BU5" s="2"/>
      <c r="BV5" s="69" t="s">
        <v>93</v>
      </c>
      <c r="BW5" s="2"/>
      <c r="BX5" s="39" t="s">
        <v>72</v>
      </c>
      <c r="BY5" s="2"/>
      <c r="BZ5" s="39" t="s">
        <v>72</v>
      </c>
      <c r="CA5" s="2"/>
      <c r="CB5" s="39" t="s">
        <v>72</v>
      </c>
      <c r="CC5" s="2"/>
      <c r="CD5" s="39" t="s">
        <v>72</v>
      </c>
    </row>
    <row r="6">
      <c r="B6" s="7">
        <v>4.0</v>
      </c>
      <c r="C6" s="22">
        <v>4.0</v>
      </c>
      <c r="D6" s="22">
        <v>3.0</v>
      </c>
      <c r="E6" s="22">
        <v>3.0</v>
      </c>
      <c r="F6" s="22">
        <v>2.0</v>
      </c>
      <c r="G6" s="22">
        <v>2.0</v>
      </c>
      <c r="H6" s="22">
        <v>1.0</v>
      </c>
      <c r="I6" s="2"/>
      <c r="J6" s="8"/>
      <c r="K6" s="7" t="s">
        <v>133</v>
      </c>
      <c r="L6" s="73" t="s">
        <v>100</v>
      </c>
      <c r="M6" s="24" t="s">
        <v>45</v>
      </c>
      <c r="N6" s="25" t="s">
        <v>46</v>
      </c>
      <c r="O6" s="2"/>
      <c r="P6" s="39" t="s">
        <v>135</v>
      </c>
      <c r="Q6" s="2"/>
      <c r="R6" s="50" t="s">
        <v>137</v>
      </c>
      <c r="S6" s="2"/>
      <c r="T6" s="52" t="s">
        <v>138</v>
      </c>
      <c r="U6" s="2"/>
      <c r="V6" s="52" t="s">
        <v>139</v>
      </c>
      <c r="X6" s="52" t="s">
        <v>112</v>
      </c>
      <c r="Y6" s="2"/>
      <c r="Z6" s="39" t="s">
        <v>140</v>
      </c>
      <c r="AA6" s="2"/>
      <c r="AB6" s="39" t="s">
        <v>141</v>
      </c>
      <c r="AC6" s="2"/>
      <c r="AD6" s="2" t="s">
        <v>142</v>
      </c>
      <c r="AE6" s="2"/>
      <c r="AF6" s="2" t="s">
        <v>143</v>
      </c>
      <c r="AG6" s="2"/>
      <c r="AH6" s="37" t="s">
        <v>106</v>
      </c>
      <c r="AI6" s="2"/>
      <c r="AJ6" s="39" t="s">
        <v>86</v>
      </c>
      <c r="AK6" s="2"/>
      <c r="AL6" s="39" t="s">
        <v>88</v>
      </c>
      <c r="AM6" s="2"/>
      <c r="AN6" s="39" t="s">
        <v>88</v>
      </c>
      <c r="AO6" s="2"/>
      <c r="AP6" s="39" t="s">
        <v>88</v>
      </c>
      <c r="AQ6" s="2"/>
      <c r="AR6" s="39" t="s">
        <v>60</v>
      </c>
      <c r="AS6" s="2"/>
      <c r="AT6" s="39" t="s">
        <v>60</v>
      </c>
      <c r="AU6" s="2"/>
      <c r="AV6" s="39" t="s">
        <v>60</v>
      </c>
      <c r="AW6" s="2"/>
      <c r="AX6" s="39" t="s">
        <v>60</v>
      </c>
      <c r="AY6" s="2"/>
      <c r="AZ6" s="61" t="s">
        <v>150</v>
      </c>
      <c r="BA6" s="2"/>
      <c r="BB6" s="39" t="s">
        <v>151</v>
      </c>
      <c r="BC6" s="2"/>
      <c r="BD6" s="39" t="s">
        <v>152</v>
      </c>
      <c r="BE6" s="44" t="s">
        <v>65</v>
      </c>
      <c r="BF6" s="79"/>
      <c r="BG6" s="2"/>
      <c r="BH6" s="39" t="s">
        <v>67</v>
      </c>
      <c r="BI6" s="2"/>
      <c r="BJ6" s="39" t="s">
        <v>67</v>
      </c>
      <c r="BK6" s="2"/>
      <c r="BL6" s="39" t="s">
        <v>67</v>
      </c>
      <c r="BM6" s="2"/>
      <c r="BN6" s="39" t="s">
        <v>67</v>
      </c>
      <c r="BO6" s="2"/>
      <c r="BP6" s="69" t="s">
        <v>153</v>
      </c>
      <c r="BQ6" s="2"/>
      <c r="BR6" s="69" t="s">
        <v>154</v>
      </c>
      <c r="BS6" s="2"/>
      <c r="BT6" s="69" t="s">
        <v>155</v>
      </c>
      <c r="BU6" s="2"/>
      <c r="BV6" s="39" t="s">
        <v>156</v>
      </c>
      <c r="BW6" s="2"/>
      <c r="BX6" s="39" t="s">
        <v>72</v>
      </c>
      <c r="BY6" s="2"/>
      <c r="BZ6" s="39" t="s">
        <v>72</v>
      </c>
      <c r="CA6" s="2"/>
      <c r="CB6" s="39" t="s">
        <v>72</v>
      </c>
      <c r="CC6" s="2"/>
      <c r="CD6" s="39" t="s">
        <v>72</v>
      </c>
    </row>
    <row r="7">
      <c r="B7" s="7">
        <v>5.0</v>
      </c>
      <c r="C7" s="22">
        <v>3.0</v>
      </c>
      <c r="D7" s="22">
        <v>3.0</v>
      </c>
      <c r="E7" s="22">
        <v>2.0</v>
      </c>
      <c r="F7" s="22">
        <v>2.0</v>
      </c>
      <c r="G7" s="22">
        <v>1.0</v>
      </c>
      <c r="H7" s="22">
        <v>1.0</v>
      </c>
      <c r="I7" s="2"/>
      <c r="J7" s="8"/>
      <c r="K7" s="7" t="s">
        <v>157</v>
      </c>
      <c r="L7" s="73" t="s">
        <v>100</v>
      </c>
      <c r="M7" s="24" t="s">
        <v>45</v>
      </c>
      <c r="N7" s="25" t="s">
        <v>46</v>
      </c>
      <c r="O7" s="2"/>
      <c r="P7" s="39" t="s">
        <v>158</v>
      </c>
      <c r="Q7" s="2"/>
      <c r="R7" s="50" t="s">
        <v>159</v>
      </c>
      <c r="S7" s="2"/>
      <c r="T7" s="52" t="s">
        <v>161</v>
      </c>
      <c r="U7" s="2"/>
      <c r="V7" s="52" t="s">
        <v>98</v>
      </c>
      <c r="X7" s="52" t="s">
        <v>162</v>
      </c>
      <c r="Y7" s="2"/>
      <c r="Z7" s="39" t="s">
        <v>163</v>
      </c>
      <c r="AA7" s="2"/>
      <c r="AB7" s="39" t="s">
        <v>164</v>
      </c>
      <c r="AC7" s="2"/>
      <c r="AD7" s="2" t="s">
        <v>165</v>
      </c>
      <c r="AE7" s="2"/>
      <c r="AF7" s="2" t="s">
        <v>166</v>
      </c>
      <c r="AG7" s="2"/>
      <c r="AH7" s="37" t="s">
        <v>162</v>
      </c>
      <c r="AI7" s="2"/>
      <c r="AJ7" s="39" t="s">
        <v>86</v>
      </c>
      <c r="AK7" s="2"/>
      <c r="AL7" s="39" t="s">
        <v>88</v>
      </c>
      <c r="AM7" s="2"/>
      <c r="AN7" s="39" t="s">
        <v>88</v>
      </c>
      <c r="AO7" s="2"/>
      <c r="AP7" s="39" t="s">
        <v>88</v>
      </c>
      <c r="AQ7" s="2"/>
      <c r="AR7" s="39" t="s">
        <v>60</v>
      </c>
      <c r="AS7" s="2"/>
      <c r="AT7" s="39" t="s">
        <v>60</v>
      </c>
      <c r="AU7" s="2"/>
      <c r="AV7" s="39" t="s">
        <v>60</v>
      </c>
      <c r="AW7" s="2"/>
      <c r="AX7" s="39" t="s">
        <v>60</v>
      </c>
      <c r="AY7" s="2"/>
      <c r="AZ7" s="61" t="s">
        <v>168</v>
      </c>
      <c r="BA7" s="2"/>
      <c r="BB7" s="39" t="s">
        <v>169</v>
      </c>
      <c r="BC7" s="2"/>
      <c r="BD7" s="39" t="s">
        <v>170</v>
      </c>
      <c r="BE7" s="44" t="s">
        <v>65</v>
      </c>
      <c r="BF7" s="79"/>
      <c r="BG7" s="2"/>
      <c r="BH7" s="39" t="s">
        <v>67</v>
      </c>
      <c r="BI7" s="2"/>
      <c r="BJ7" s="39" t="s">
        <v>67</v>
      </c>
      <c r="BK7" s="2"/>
      <c r="BL7" s="39" t="s">
        <v>67</v>
      </c>
      <c r="BM7" s="2"/>
      <c r="BN7" s="39" t="s">
        <v>67</v>
      </c>
      <c r="BO7" s="2"/>
      <c r="BP7" s="69" t="s">
        <v>171</v>
      </c>
      <c r="BQ7" s="2"/>
      <c r="BR7" s="69" t="s">
        <v>172</v>
      </c>
      <c r="BS7" s="2"/>
      <c r="BT7" s="69" t="s">
        <v>173</v>
      </c>
      <c r="BU7" s="2"/>
      <c r="BV7" s="2"/>
      <c r="BW7" s="2"/>
      <c r="BX7" s="39" t="s">
        <v>72</v>
      </c>
      <c r="BY7" s="2"/>
      <c r="BZ7" s="39" t="s">
        <v>72</v>
      </c>
      <c r="CA7" s="2"/>
      <c r="CB7" s="39" t="s">
        <v>72</v>
      </c>
      <c r="CC7" s="2"/>
      <c r="CD7" s="39" t="s">
        <v>72</v>
      </c>
    </row>
    <row r="8">
      <c r="B8" s="7">
        <v>6.0</v>
      </c>
      <c r="C8" s="22">
        <v>3.0</v>
      </c>
      <c r="D8" s="22">
        <v>3.0</v>
      </c>
      <c r="E8" s="22">
        <v>2.0</v>
      </c>
      <c r="F8" s="22">
        <v>1.0</v>
      </c>
      <c r="G8" s="22">
        <v>1.0</v>
      </c>
      <c r="H8" s="22">
        <v>1.0</v>
      </c>
      <c r="I8" s="2"/>
      <c r="J8" s="104"/>
      <c r="K8" s="7" t="s">
        <v>174</v>
      </c>
      <c r="L8" s="73" t="s">
        <v>100</v>
      </c>
      <c r="M8" s="73" t="s">
        <v>100</v>
      </c>
      <c r="N8" s="24" t="s">
        <v>45</v>
      </c>
      <c r="O8" s="2"/>
      <c r="P8" s="39" t="s">
        <v>175</v>
      </c>
      <c r="Q8" s="2"/>
      <c r="R8" s="50" t="s">
        <v>176</v>
      </c>
      <c r="S8" s="2"/>
      <c r="T8" s="52" t="s">
        <v>177</v>
      </c>
      <c r="U8" s="2"/>
      <c r="V8" s="106" t="s">
        <v>71</v>
      </c>
      <c r="X8" s="52" t="s">
        <v>178</v>
      </c>
      <c r="Y8" s="2"/>
      <c r="Z8" s="39" t="s">
        <v>179</v>
      </c>
      <c r="AA8" s="2"/>
      <c r="AB8" s="39" t="s">
        <v>69</v>
      </c>
      <c r="AC8" s="2"/>
      <c r="AD8" s="2" t="s">
        <v>180</v>
      </c>
      <c r="AE8" s="2"/>
      <c r="AF8" s="2" t="s">
        <v>181</v>
      </c>
      <c r="AG8" s="2"/>
      <c r="AH8" s="37" t="s">
        <v>182</v>
      </c>
      <c r="AI8" s="2"/>
      <c r="AJ8" s="39" t="s">
        <v>86</v>
      </c>
      <c r="AK8" s="2"/>
      <c r="AL8" s="39" t="s">
        <v>88</v>
      </c>
      <c r="AM8" s="2"/>
      <c r="AN8" s="39" t="s">
        <v>88</v>
      </c>
      <c r="AO8" s="2"/>
      <c r="AP8" s="39" t="s">
        <v>88</v>
      </c>
      <c r="AQ8" s="2"/>
      <c r="AR8" s="39" t="s">
        <v>60</v>
      </c>
      <c r="AS8" s="2"/>
      <c r="AT8" s="39" t="s">
        <v>60</v>
      </c>
      <c r="AU8" s="2"/>
      <c r="AV8" s="39" t="s">
        <v>60</v>
      </c>
      <c r="AW8" s="2"/>
      <c r="AX8" s="39" t="s">
        <v>60</v>
      </c>
      <c r="AY8" s="2"/>
      <c r="AZ8" s="61" t="s">
        <v>183</v>
      </c>
      <c r="BA8" s="2"/>
      <c r="BB8" s="39" t="s">
        <v>184</v>
      </c>
      <c r="BC8" s="2"/>
      <c r="BD8" s="39" t="s">
        <v>185</v>
      </c>
      <c r="BE8" s="44" t="s">
        <v>65</v>
      </c>
      <c r="BF8" s="39"/>
      <c r="BG8" s="2"/>
      <c r="BH8" s="39" t="s">
        <v>67</v>
      </c>
      <c r="BI8" s="2"/>
      <c r="BJ8" s="39" t="s">
        <v>67</v>
      </c>
      <c r="BK8" s="2"/>
      <c r="BL8" s="39" t="s">
        <v>67</v>
      </c>
      <c r="BM8" s="2"/>
      <c r="BN8" s="39" t="s">
        <v>67</v>
      </c>
      <c r="BO8" s="2"/>
      <c r="BP8" s="69" t="s">
        <v>186</v>
      </c>
      <c r="BQ8" s="2"/>
      <c r="BR8" s="69" t="s">
        <v>187</v>
      </c>
      <c r="BS8" s="2"/>
      <c r="BT8" s="69" t="s">
        <v>188</v>
      </c>
      <c r="BU8" s="2"/>
      <c r="BV8" s="2"/>
      <c r="BW8" s="2"/>
      <c r="BX8" s="39" t="s">
        <v>72</v>
      </c>
      <c r="BY8" s="2"/>
      <c r="BZ8" s="39" t="s">
        <v>72</v>
      </c>
      <c r="CA8" s="2"/>
      <c r="CB8" s="39" t="s">
        <v>72</v>
      </c>
      <c r="CC8" s="2"/>
      <c r="CD8" s="39" t="s">
        <v>72</v>
      </c>
    </row>
    <row r="9">
      <c r="A9" s="2"/>
      <c r="B9" s="2"/>
      <c r="C9" s="2"/>
      <c r="D9" s="2"/>
      <c r="E9" s="2"/>
      <c r="F9" s="2"/>
      <c r="G9" s="2"/>
      <c r="H9" s="2"/>
      <c r="I9" s="2"/>
      <c r="J9" s="2"/>
      <c r="K9" s="2"/>
      <c r="L9" s="2"/>
      <c r="M9" s="2"/>
      <c r="N9" s="2"/>
      <c r="O9" s="2"/>
      <c r="P9" s="39" t="s">
        <v>189</v>
      </c>
      <c r="Q9" s="2"/>
      <c r="R9" s="50" t="s">
        <v>190</v>
      </c>
      <c r="S9" s="2"/>
      <c r="T9" s="52" t="s">
        <v>191</v>
      </c>
      <c r="U9" s="2"/>
      <c r="V9" s="2"/>
      <c r="X9" s="52" t="s">
        <v>192</v>
      </c>
      <c r="Y9" s="2"/>
      <c r="Z9" s="39" t="s">
        <v>193</v>
      </c>
      <c r="AA9" s="2"/>
      <c r="AB9" s="39" t="s">
        <v>194</v>
      </c>
      <c r="AC9" s="2"/>
      <c r="AD9" s="2" t="s">
        <v>195</v>
      </c>
      <c r="AE9" s="2"/>
      <c r="AF9" s="2" t="s">
        <v>196</v>
      </c>
      <c r="AG9" s="2"/>
      <c r="AH9" s="37" t="s">
        <v>197</v>
      </c>
      <c r="AI9" s="2"/>
      <c r="AJ9" s="39" t="s">
        <v>86</v>
      </c>
      <c r="AK9" s="2"/>
      <c r="AL9" s="39" t="s">
        <v>88</v>
      </c>
      <c r="AM9" s="2"/>
      <c r="AN9" s="39" t="s">
        <v>88</v>
      </c>
      <c r="AO9" s="2"/>
      <c r="AP9" s="39" t="s">
        <v>88</v>
      </c>
      <c r="AQ9" s="2"/>
      <c r="AR9" s="39" t="s">
        <v>60</v>
      </c>
      <c r="AS9" s="2"/>
      <c r="AT9" s="39" t="s">
        <v>60</v>
      </c>
      <c r="AU9" s="2"/>
      <c r="AV9" s="39" t="s">
        <v>60</v>
      </c>
      <c r="AW9" s="2"/>
      <c r="AX9" s="39" t="s">
        <v>60</v>
      </c>
      <c r="AY9" s="2"/>
      <c r="AZ9" s="61" t="s">
        <v>198</v>
      </c>
      <c r="BA9" s="2"/>
      <c r="BB9" s="39" t="s">
        <v>199</v>
      </c>
      <c r="BC9" s="2"/>
      <c r="BD9" s="39" t="s">
        <v>200</v>
      </c>
      <c r="BE9" s="44" t="s">
        <v>65</v>
      </c>
      <c r="BF9" s="39"/>
      <c r="BG9" s="2"/>
      <c r="BH9" s="39" t="s">
        <v>67</v>
      </c>
      <c r="BI9" s="2"/>
      <c r="BJ9" s="39" t="s">
        <v>67</v>
      </c>
      <c r="BK9" s="2"/>
      <c r="BL9" s="39" t="s">
        <v>67</v>
      </c>
      <c r="BM9" s="2"/>
      <c r="BN9" s="39" t="s">
        <v>67</v>
      </c>
      <c r="BO9" s="2"/>
      <c r="BP9" s="39" t="s">
        <v>201</v>
      </c>
      <c r="BQ9" s="2"/>
      <c r="BR9" s="69" t="s">
        <v>202</v>
      </c>
      <c r="BS9" s="2"/>
      <c r="BT9" s="69" t="s">
        <v>78</v>
      </c>
      <c r="BU9" s="2"/>
      <c r="BV9" s="39"/>
      <c r="BW9" s="2"/>
      <c r="BX9" s="39" t="s">
        <v>72</v>
      </c>
      <c r="BY9" s="2"/>
      <c r="BZ9" s="39" t="s">
        <v>72</v>
      </c>
      <c r="CA9" s="2"/>
      <c r="CB9" s="39" t="s">
        <v>72</v>
      </c>
      <c r="CC9" s="2"/>
      <c r="CD9" s="39" t="s">
        <v>72</v>
      </c>
    </row>
    <row r="10" ht="15.0" customHeight="1">
      <c r="A10" s="2"/>
      <c r="B10" s="107" t="s">
        <v>203</v>
      </c>
      <c r="C10" s="109"/>
      <c r="D10" s="109"/>
      <c r="E10" s="109"/>
      <c r="F10" s="109"/>
      <c r="G10" s="109"/>
      <c r="H10" s="110"/>
      <c r="I10" s="2"/>
      <c r="J10" s="111" t="s">
        <v>204</v>
      </c>
      <c r="K10" s="112" t="s">
        <v>205</v>
      </c>
      <c r="L10" s="5"/>
      <c r="M10" s="5"/>
      <c r="N10" s="6"/>
      <c r="O10" s="2"/>
      <c r="P10" s="39" t="s">
        <v>206</v>
      </c>
      <c r="Q10" s="2"/>
      <c r="R10" s="50" t="s">
        <v>207</v>
      </c>
      <c r="S10" s="2"/>
      <c r="T10" s="52" t="s">
        <v>85</v>
      </c>
      <c r="U10" s="2"/>
      <c r="V10" s="2"/>
      <c r="X10" s="52" t="s">
        <v>208</v>
      </c>
      <c r="Y10" s="2"/>
      <c r="Z10" s="39" t="s">
        <v>209</v>
      </c>
      <c r="AA10" s="2"/>
      <c r="AB10" s="39" t="s">
        <v>210</v>
      </c>
      <c r="AC10" s="2"/>
      <c r="AD10" s="2" t="s">
        <v>211</v>
      </c>
      <c r="AE10" s="2"/>
      <c r="AF10" s="2" t="s">
        <v>212</v>
      </c>
      <c r="AG10" s="2"/>
      <c r="AH10" s="37" t="s">
        <v>213</v>
      </c>
      <c r="AI10" s="2"/>
      <c r="AJ10" s="39" t="s">
        <v>86</v>
      </c>
      <c r="AK10" s="2"/>
      <c r="AL10" s="39" t="s">
        <v>88</v>
      </c>
      <c r="AM10" s="2"/>
      <c r="AN10" s="39" t="s">
        <v>88</v>
      </c>
      <c r="AO10" s="2"/>
      <c r="AP10" s="39" t="s">
        <v>88</v>
      </c>
      <c r="AQ10" s="2"/>
      <c r="AR10" s="39" t="s">
        <v>60</v>
      </c>
      <c r="AS10" s="2"/>
      <c r="AT10" s="39" t="s">
        <v>60</v>
      </c>
      <c r="AU10" s="2"/>
      <c r="AV10" s="39" t="s">
        <v>60</v>
      </c>
      <c r="AW10" s="2"/>
      <c r="AX10" s="39" t="s">
        <v>60</v>
      </c>
      <c r="AY10" s="2"/>
      <c r="AZ10" s="61" t="s">
        <v>214</v>
      </c>
      <c r="BA10" s="2"/>
      <c r="BB10" s="61" t="s">
        <v>215</v>
      </c>
      <c r="BC10" s="2"/>
      <c r="BD10" s="39" t="s">
        <v>216</v>
      </c>
      <c r="BE10" s="44" t="s">
        <v>65</v>
      </c>
      <c r="BF10" s="39"/>
      <c r="BG10" s="2"/>
      <c r="BH10" s="39" t="s">
        <v>67</v>
      </c>
      <c r="BI10" s="2"/>
      <c r="BJ10" s="39" t="s">
        <v>67</v>
      </c>
      <c r="BK10" s="2"/>
      <c r="BL10" s="39" t="s">
        <v>67</v>
      </c>
      <c r="BM10" s="2"/>
      <c r="BN10" s="39" t="s">
        <v>67</v>
      </c>
      <c r="BO10" s="2"/>
      <c r="BP10" s="39" t="s">
        <v>217</v>
      </c>
      <c r="BQ10" s="2"/>
      <c r="BR10" s="39" t="s">
        <v>218</v>
      </c>
      <c r="BS10" s="2"/>
      <c r="BT10" s="39" t="s">
        <v>85</v>
      </c>
      <c r="BU10" s="2"/>
      <c r="BV10" s="39"/>
      <c r="BW10" s="2"/>
      <c r="BX10" s="39" t="s">
        <v>72</v>
      </c>
      <c r="BY10" s="2"/>
      <c r="BZ10" s="39" t="s">
        <v>72</v>
      </c>
      <c r="CA10" s="2"/>
      <c r="CB10" s="39" t="s">
        <v>72</v>
      </c>
      <c r="CC10" s="2"/>
      <c r="CD10" s="39" t="s">
        <v>72</v>
      </c>
    </row>
    <row r="11">
      <c r="A11" s="2"/>
      <c r="B11" s="107" t="s">
        <v>219</v>
      </c>
      <c r="C11" s="109"/>
      <c r="D11" s="116">
        <v>5.0</v>
      </c>
      <c r="E11" s="116">
        <v>4.0</v>
      </c>
      <c r="F11" s="116">
        <v>3.0</v>
      </c>
      <c r="G11" s="116">
        <v>2.0</v>
      </c>
      <c r="H11" s="117">
        <v>1.0</v>
      </c>
      <c r="I11" s="2"/>
      <c r="J11" s="8"/>
      <c r="K11" s="7" t="s">
        <v>4</v>
      </c>
      <c r="L11" s="7" t="s">
        <v>5</v>
      </c>
      <c r="M11" s="7" t="s">
        <v>6</v>
      </c>
      <c r="N11" s="7" t="s">
        <v>7</v>
      </c>
      <c r="O11" s="2"/>
      <c r="P11" s="39" t="s">
        <v>220</v>
      </c>
      <c r="Q11" s="2"/>
      <c r="R11" s="50" t="s">
        <v>221</v>
      </c>
      <c r="S11" s="2"/>
      <c r="T11" s="50" t="s">
        <v>222</v>
      </c>
      <c r="U11" s="2"/>
      <c r="V11" s="2"/>
      <c r="X11" s="52" t="s">
        <v>223</v>
      </c>
      <c r="Y11" s="2"/>
      <c r="Z11" s="39" t="s">
        <v>224</v>
      </c>
      <c r="AA11" s="2"/>
      <c r="AB11" s="39" t="s">
        <v>225</v>
      </c>
      <c r="AC11" s="2"/>
      <c r="AD11" s="2" t="s">
        <v>226</v>
      </c>
      <c r="AE11" s="2"/>
      <c r="AF11" s="2" t="s">
        <v>66</v>
      </c>
      <c r="AG11" s="2"/>
      <c r="AH11" s="37" t="s">
        <v>227</v>
      </c>
      <c r="AI11" s="2"/>
      <c r="AJ11" s="39" t="s">
        <v>86</v>
      </c>
      <c r="AK11" s="2"/>
      <c r="AL11" s="39" t="s">
        <v>88</v>
      </c>
      <c r="AM11" s="2"/>
      <c r="AN11" s="39" t="s">
        <v>88</v>
      </c>
      <c r="AO11" s="2"/>
      <c r="AP11" s="39" t="s">
        <v>88</v>
      </c>
      <c r="AQ11" s="2"/>
      <c r="AR11" s="39" t="s">
        <v>60</v>
      </c>
      <c r="AS11" s="2"/>
      <c r="AT11" s="39" t="s">
        <v>60</v>
      </c>
      <c r="AU11" s="2"/>
      <c r="AV11" s="39" t="s">
        <v>60</v>
      </c>
      <c r="AW11" s="2"/>
      <c r="AX11" s="39" t="s">
        <v>60</v>
      </c>
      <c r="AY11" s="2"/>
      <c r="AZ11" s="61" t="s">
        <v>228</v>
      </c>
      <c r="BA11" s="2"/>
      <c r="BB11" s="119"/>
      <c r="BC11" s="2"/>
      <c r="BD11" s="39" t="s">
        <v>229</v>
      </c>
      <c r="BE11" s="44" t="s">
        <v>65</v>
      </c>
      <c r="BF11" s="39"/>
      <c r="BG11" s="2"/>
      <c r="BH11" s="39" t="s">
        <v>67</v>
      </c>
      <c r="BI11" s="2"/>
      <c r="BJ11" s="39" t="s">
        <v>67</v>
      </c>
      <c r="BK11" s="2"/>
      <c r="BL11" s="39" t="s">
        <v>67</v>
      </c>
      <c r="BM11" s="2"/>
      <c r="BN11" s="39" t="s">
        <v>67</v>
      </c>
      <c r="BO11" s="2"/>
      <c r="BP11" s="39"/>
      <c r="BQ11" s="2"/>
      <c r="BR11" s="39" t="s">
        <v>230</v>
      </c>
      <c r="BS11" s="2"/>
      <c r="BT11" s="39"/>
      <c r="BU11" s="2"/>
      <c r="BV11" s="39"/>
      <c r="BW11" s="2"/>
      <c r="BX11" s="39" t="s">
        <v>72</v>
      </c>
      <c r="BY11" s="2"/>
      <c r="BZ11" s="39" t="s">
        <v>72</v>
      </c>
      <c r="CA11" s="2"/>
      <c r="CB11" s="39" t="s">
        <v>72</v>
      </c>
      <c r="CC11" s="2"/>
      <c r="CD11" s="39" t="s">
        <v>72</v>
      </c>
    </row>
    <row r="12">
      <c r="A12" s="2"/>
      <c r="B12" s="120" t="s">
        <v>147</v>
      </c>
      <c r="C12" s="121">
        <v>5.0</v>
      </c>
      <c r="D12" s="122" t="s">
        <v>231</v>
      </c>
      <c r="E12" s="122" t="s">
        <v>231</v>
      </c>
      <c r="F12" s="123" t="s">
        <v>232</v>
      </c>
      <c r="G12" s="124" t="s">
        <v>233</v>
      </c>
      <c r="H12" s="125" t="s">
        <v>234</v>
      </c>
      <c r="I12" s="2"/>
      <c r="J12" s="8"/>
      <c r="K12" s="7" t="s">
        <v>235</v>
      </c>
      <c r="L12" s="24" t="s">
        <v>45</v>
      </c>
      <c r="M12" s="24" t="s">
        <v>45</v>
      </c>
      <c r="N12" s="25" t="s">
        <v>46</v>
      </c>
      <c r="O12" s="2"/>
      <c r="P12" s="39" t="s">
        <v>236</v>
      </c>
      <c r="Q12" s="2"/>
      <c r="R12" s="50" t="s">
        <v>237</v>
      </c>
      <c r="S12" s="2"/>
      <c r="T12" s="50" t="s">
        <v>238</v>
      </c>
      <c r="U12" s="2"/>
      <c r="V12" s="2"/>
      <c r="X12" s="52" t="s">
        <v>239</v>
      </c>
      <c r="Y12" s="2"/>
      <c r="Z12" s="39" t="s">
        <v>240</v>
      </c>
      <c r="AA12" s="2"/>
      <c r="AB12" s="39" t="s">
        <v>241</v>
      </c>
      <c r="AC12" s="2"/>
      <c r="AD12" s="2" t="s">
        <v>242</v>
      </c>
      <c r="AE12" s="2"/>
      <c r="AF12" s="2" t="s">
        <v>243</v>
      </c>
      <c r="AG12" s="2"/>
      <c r="AH12" s="126" t="s">
        <v>244</v>
      </c>
      <c r="AI12" s="2"/>
      <c r="AJ12" s="39" t="s">
        <v>86</v>
      </c>
      <c r="AK12" s="2"/>
      <c r="AL12" s="39" t="s">
        <v>88</v>
      </c>
      <c r="AM12" s="2"/>
      <c r="AN12" s="39" t="s">
        <v>88</v>
      </c>
      <c r="AO12" s="2"/>
      <c r="AP12" s="39" t="s">
        <v>88</v>
      </c>
      <c r="AQ12" s="2"/>
      <c r="AR12" s="39" t="s">
        <v>60</v>
      </c>
      <c r="AS12" s="2"/>
      <c r="AT12" s="39" t="s">
        <v>60</v>
      </c>
      <c r="AU12" s="2"/>
      <c r="AV12" s="39" t="s">
        <v>60</v>
      </c>
      <c r="AW12" s="2"/>
      <c r="AX12" s="39" t="s">
        <v>60</v>
      </c>
      <c r="AY12" s="2"/>
      <c r="AZ12" s="61" t="s">
        <v>245</v>
      </c>
      <c r="BA12" s="2"/>
      <c r="BB12" s="127"/>
      <c r="BC12" s="2"/>
      <c r="BD12" s="39" t="s">
        <v>246</v>
      </c>
      <c r="BE12" s="44" t="s">
        <v>65</v>
      </c>
      <c r="BF12" s="39"/>
      <c r="BG12" s="2"/>
      <c r="BH12" s="39" t="s">
        <v>67</v>
      </c>
      <c r="BI12" s="2"/>
      <c r="BJ12" s="39" t="s">
        <v>67</v>
      </c>
      <c r="BK12" s="2"/>
      <c r="BL12" s="39" t="s">
        <v>67</v>
      </c>
      <c r="BM12" s="2"/>
      <c r="BN12" s="39" t="s">
        <v>67</v>
      </c>
      <c r="BO12" s="2"/>
      <c r="BP12" s="39"/>
      <c r="BQ12" s="2"/>
      <c r="BR12" s="39"/>
      <c r="BS12" s="2"/>
      <c r="BT12" s="39"/>
      <c r="BU12" s="2"/>
      <c r="BV12" s="39"/>
      <c r="BW12" s="2"/>
      <c r="BX12" s="39" t="s">
        <v>72</v>
      </c>
      <c r="BY12" s="2"/>
      <c r="BZ12" s="39" t="s">
        <v>72</v>
      </c>
      <c r="CA12" s="2"/>
      <c r="CB12" s="39" t="s">
        <v>72</v>
      </c>
      <c r="CC12" s="2"/>
      <c r="CD12" s="39" t="s">
        <v>72</v>
      </c>
    </row>
    <row r="13" ht="15.0" customHeight="1">
      <c r="A13" s="2"/>
      <c r="B13" s="131"/>
      <c r="C13" s="133">
        <v>4.0</v>
      </c>
      <c r="D13" s="122" t="s">
        <v>231</v>
      </c>
      <c r="E13" s="122" t="s">
        <v>231</v>
      </c>
      <c r="F13" s="123" t="s">
        <v>232</v>
      </c>
      <c r="G13" s="124" t="s">
        <v>233</v>
      </c>
      <c r="H13" s="125" t="s">
        <v>234</v>
      </c>
      <c r="I13" s="2"/>
      <c r="J13" s="8"/>
      <c r="K13" s="7" t="s">
        <v>247</v>
      </c>
      <c r="L13" s="24" t="s">
        <v>45</v>
      </c>
      <c r="M13" s="24" t="s">
        <v>45</v>
      </c>
      <c r="N13" s="25" t="s">
        <v>46</v>
      </c>
      <c r="O13" s="2"/>
      <c r="P13" s="39" t="s">
        <v>248</v>
      </c>
      <c r="Q13" s="2"/>
      <c r="R13" s="50" t="s">
        <v>249</v>
      </c>
      <c r="S13" s="2"/>
      <c r="T13" s="50" t="s">
        <v>250</v>
      </c>
      <c r="U13" s="2"/>
      <c r="V13" s="2"/>
      <c r="X13" s="52" t="s">
        <v>251</v>
      </c>
      <c r="Y13" s="2"/>
      <c r="Z13" s="39" t="s">
        <v>252</v>
      </c>
      <c r="AA13" s="2"/>
      <c r="AB13" s="39" t="s">
        <v>253</v>
      </c>
      <c r="AC13" s="2"/>
      <c r="AD13" s="2" t="s">
        <v>254</v>
      </c>
      <c r="AE13" s="2"/>
      <c r="AF13" s="2"/>
      <c r="AG13" s="2"/>
      <c r="AH13" s="2"/>
      <c r="AI13" s="2"/>
      <c r="AJ13" s="39" t="s">
        <v>86</v>
      </c>
      <c r="AK13" s="2"/>
      <c r="AL13" s="39" t="s">
        <v>88</v>
      </c>
      <c r="AM13" s="2"/>
      <c r="AN13" s="39" t="s">
        <v>88</v>
      </c>
      <c r="AO13" s="2"/>
      <c r="AP13" s="39" t="s">
        <v>88</v>
      </c>
      <c r="AQ13" s="2"/>
      <c r="AR13" s="39" t="s">
        <v>60</v>
      </c>
      <c r="AS13" s="2"/>
      <c r="AT13" s="39" t="s">
        <v>60</v>
      </c>
      <c r="AU13" s="2"/>
      <c r="AV13" s="39" t="s">
        <v>60</v>
      </c>
      <c r="AW13" s="2"/>
      <c r="AX13" s="39" t="s">
        <v>60</v>
      </c>
      <c r="AY13" s="2"/>
      <c r="AZ13" s="61" t="s">
        <v>255</v>
      </c>
      <c r="BA13" s="2"/>
      <c r="BB13" s="127"/>
      <c r="BC13" s="2"/>
      <c r="BD13" s="39" t="s">
        <v>256</v>
      </c>
      <c r="BE13" s="44" t="s">
        <v>65</v>
      </c>
      <c r="BF13" s="39"/>
      <c r="BG13" s="2"/>
      <c r="BH13" s="39" t="s">
        <v>67</v>
      </c>
      <c r="BI13" s="2"/>
      <c r="BJ13" s="39" t="s">
        <v>67</v>
      </c>
      <c r="BK13" s="2"/>
      <c r="BL13" s="39" t="s">
        <v>67</v>
      </c>
      <c r="BM13" s="2"/>
      <c r="BN13" s="39" t="s">
        <v>67</v>
      </c>
      <c r="BO13" s="2"/>
      <c r="BP13" s="39"/>
      <c r="BQ13" s="2"/>
      <c r="BR13" s="39"/>
      <c r="BS13" s="2"/>
      <c r="BT13" s="39"/>
      <c r="BU13" s="2"/>
      <c r="BV13" s="39"/>
      <c r="BW13" s="2"/>
      <c r="BX13" s="39" t="s">
        <v>72</v>
      </c>
      <c r="BY13" s="2"/>
      <c r="BZ13" s="39" t="s">
        <v>72</v>
      </c>
      <c r="CA13" s="2"/>
      <c r="CB13" s="39" t="s">
        <v>72</v>
      </c>
      <c r="CC13" s="2"/>
      <c r="CD13" s="39" t="s">
        <v>72</v>
      </c>
    </row>
    <row r="14">
      <c r="A14" s="2"/>
      <c r="B14" s="131"/>
      <c r="C14" s="133">
        <v>3.0</v>
      </c>
      <c r="D14" s="123" t="s">
        <v>232</v>
      </c>
      <c r="E14" s="123" t="s">
        <v>232</v>
      </c>
      <c r="F14" s="124" t="s">
        <v>233</v>
      </c>
      <c r="G14" s="125" t="s">
        <v>234</v>
      </c>
      <c r="H14" s="125" t="s">
        <v>234</v>
      </c>
      <c r="I14" s="2"/>
      <c r="J14" s="8"/>
      <c r="K14" s="7" t="s">
        <v>257</v>
      </c>
      <c r="L14" s="73" t="s">
        <v>100</v>
      </c>
      <c r="M14" s="24" t="s">
        <v>45</v>
      </c>
      <c r="N14" s="25" t="s">
        <v>46</v>
      </c>
      <c r="O14" s="2"/>
      <c r="P14" s="39" t="s">
        <v>258</v>
      </c>
      <c r="Q14" s="2"/>
      <c r="R14" s="50" t="s">
        <v>259</v>
      </c>
      <c r="S14" s="2"/>
      <c r="T14" s="50" t="s">
        <v>260</v>
      </c>
      <c r="U14" s="2"/>
      <c r="V14" s="2"/>
      <c r="X14" s="52" t="s">
        <v>261</v>
      </c>
      <c r="Y14" s="2"/>
      <c r="Z14" s="39" t="s">
        <v>262</v>
      </c>
      <c r="AA14" s="2"/>
      <c r="AB14" s="39" t="s">
        <v>263</v>
      </c>
      <c r="AC14" s="2"/>
      <c r="AD14" s="2" t="s">
        <v>264</v>
      </c>
      <c r="AE14" s="2"/>
      <c r="AF14" s="2"/>
      <c r="AG14" s="2"/>
      <c r="AH14" s="2"/>
      <c r="AI14" s="2"/>
      <c r="AJ14" s="39" t="s">
        <v>86</v>
      </c>
      <c r="AK14" s="2"/>
      <c r="AL14" s="39" t="s">
        <v>88</v>
      </c>
      <c r="AM14" s="2"/>
      <c r="AN14" s="39" t="s">
        <v>88</v>
      </c>
      <c r="AO14" s="2"/>
      <c r="AP14" s="39" t="s">
        <v>88</v>
      </c>
      <c r="AQ14" s="2"/>
      <c r="AR14" s="39" t="s">
        <v>60</v>
      </c>
      <c r="AS14" s="2"/>
      <c r="AT14" s="39" t="s">
        <v>60</v>
      </c>
      <c r="AU14" s="2"/>
      <c r="AV14" s="39" t="s">
        <v>60</v>
      </c>
      <c r="AW14" s="2"/>
      <c r="AX14" s="39" t="s">
        <v>60</v>
      </c>
      <c r="AY14" s="2"/>
      <c r="AZ14" s="137"/>
      <c r="BA14" s="2"/>
      <c r="BB14" s="127"/>
      <c r="BC14" s="2"/>
      <c r="BD14" s="39" t="s">
        <v>265</v>
      </c>
      <c r="BE14" s="44" t="s">
        <v>65</v>
      </c>
      <c r="BF14" s="39"/>
      <c r="BG14" s="2"/>
      <c r="BH14" s="39" t="s">
        <v>67</v>
      </c>
      <c r="BI14" s="2"/>
      <c r="BJ14" s="39" t="s">
        <v>67</v>
      </c>
      <c r="BK14" s="2"/>
      <c r="BL14" s="39" t="s">
        <v>67</v>
      </c>
      <c r="BM14" s="2"/>
      <c r="BN14" s="39" t="s">
        <v>67</v>
      </c>
      <c r="BO14" s="2"/>
      <c r="BP14" s="39"/>
      <c r="BQ14" s="2"/>
      <c r="BR14" s="39"/>
      <c r="BS14" s="2"/>
      <c r="BT14" s="39"/>
      <c r="BU14" s="2"/>
      <c r="BV14" s="39"/>
      <c r="BW14" s="2"/>
      <c r="BX14" s="39"/>
      <c r="BY14" s="2"/>
      <c r="BZ14" s="39"/>
      <c r="CA14" s="2"/>
      <c r="CB14" s="39"/>
      <c r="CC14" s="2"/>
      <c r="CD14" s="39"/>
    </row>
    <row r="15">
      <c r="A15" s="2"/>
      <c r="B15" s="131"/>
      <c r="C15" s="133">
        <v>2.0</v>
      </c>
      <c r="D15" s="124" t="s">
        <v>233</v>
      </c>
      <c r="E15" s="124" t="s">
        <v>233</v>
      </c>
      <c r="F15" s="125" t="s">
        <v>234</v>
      </c>
      <c r="G15" s="125" t="s">
        <v>234</v>
      </c>
      <c r="H15" s="138" t="s">
        <v>266</v>
      </c>
      <c r="I15" s="2"/>
      <c r="J15" s="8"/>
      <c r="K15" s="7" t="s">
        <v>267</v>
      </c>
      <c r="L15" s="73" t="s">
        <v>100</v>
      </c>
      <c r="M15" s="24" t="s">
        <v>45</v>
      </c>
      <c r="N15" s="25" t="s">
        <v>46</v>
      </c>
      <c r="O15" s="2"/>
      <c r="P15" s="39" t="s">
        <v>268</v>
      </c>
      <c r="Q15" s="2"/>
      <c r="R15" s="50" t="s">
        <v>269</v>
      </c>
      <c r="S15" s="2"/>
      <c r="T15" s="50" t="s">
        <v>188</v>
      </c>
      <c r="U15" s="2"/>
      <c r="V15" s="2"/>
      <c r="X15" s="52" t="s">
        <v>270</v>
      </c>
      <c r="Y15" s="2"/>
      <c r="Z15" s="39" t="s">
        <v>271</v>
      </c>
      <c r="AA15" s="2"/>
      <c r="AB15" s="39" t="s">
        <v>272</v>
      </c>
      <c r="AC15" s="2"/>
      <c r="AD15" s="2" t="s">
        <v>273</v>
      </c>
      <c r="AE15" s="2"/>
      <c r="AF15" s="2"/>
      <c r="AG15" s="2"/>
      <c r="AH15" s="2"/>
      <c r="AI15" s="2"/>
      <c r="AJ15" s="39" t="s">
        <v>86</v>
      </c>
      <c r="AK15" s="2"/>
      <c r="AL15" s="39" t="s">
        <v>88</v>
      </c>
      <c r="AM15" s="2"/>
      <c r="AN15" s="39" t="s">
        <v>88</v>
      </c>
      <c r="AO15" s="2"/>
      <c r="AP15" s="39" t="s">
        <v>88</v>
      </c>
      <c r="AQ15" s="2"/>
      <c r="AR15" s="39" t="s">
        <v>60</v>
      </c>
      <c r="AS15" s="2"/>
      <c r="AT15" s="39" t="s">
        <v>60</v>
      </c>
      <c r="AU15" s="2"/>
      <c r="AV15" s="39" t="s">
        <v>60</v>
      </c>
      <c r="AW15" s="2"/>
      <c r="AX15" s="39" t="s">
        <v>60</v>
      </c>
      <c r="AY15" s="2"/>
      <c r="AZ15" s="137"/>
      <c r="BA15" s="2"/>
      <c r="BB15" s="127"/>
      <c r="BC15" s="2"/>
      <c r="BD15" s="39" t="s">
        <v>274</v>
      </c>
      <c r="BE15" s="44" t="s">
        <v>65</v>
      </c>
      <c r="BF15" s="39"/>
      <c r="BG15" s="2"/>
      <c r="BH15" s="39" t="s">
        <v>67</v>
      </c>
      <c r="BI15" s="2"/>
      <c r="BJ15" s="39" t="s">
        <v>67</v>
      </c>
      <c r="BK15" s="2"/>
      <c r="BL15" s="39" t="s">
        <v>67</v>
      </c>
      <c r="BM15" s="2"/>
      <c r="BN15" s="39" t="s">
        <v>67</v>
      </c>
      <c r="BO15" s="2"/>
      <c r="BP15" s="39"/>
      <c r="BQ15" s="2"/>
      <c r="BR15" s="39"/>
      <c r="BS15" s="2"/>
      <c r="BT15" s="39"/>
      <c r="BU15" s="2"/>
      <c r="BV15" s="39"/>
      <c r="BW15" s="2"/>
      <c r="BX15" s="39"/>
      <c r="BY15" s="2"/>
      <c r="BZ15" s="39"/>
      <c r="CA15" s="2"/>
      <c r="CB15" s="39"/>
      <c r="CC15" s="2"/>
      <c r="CD15" s="39"/>
    </row>
    <row r="16">
      <c r="A16" s="2"/>
      <c r="B16" s="139"/>
      <c r="C16" s="140">
        <v>1.0</v>
      </c>
      <c r="D16" s="125" t="s">
        <v>234</v>
      </c>
      <c r="E16" s="125" t="s">
        <v>234</v>
      </c>
      <c r="F16" s="125" t="s">
        <v>234</v>
      </c>
      <c r="G16" s="138" t="s">
        <v>266</v>
      </c>
      <c r="H16" s="138" t="s">
        <v>266</v>
      </c>
      <c r="I16" s="2"/>
      <c r="J16" s="8"/>
      <c r="K16" s="7" t="s">
        <v>275</v>
      </c>
      <c r="L16" s="73" t="s">
        <v>100</v>
      </c>
      <c r="M16" s="24" t="s">
        <v>45</v>
      </c>
      <c r="N16" s="25" t="s">
        <v>46</v>
      </c>
      <c r="O16" s="2"/>
      <c r="P16" s="39" t="s">
        <v>276</v>
      </c>
      <c r="Q16" s="2"/>
      <c r="R16" s="50" t="s">
        <v>277</v>
      </c>
      <c r="S16" s="2"/>
      <c r="T16" s="50" t="s">
        <v>97</v>
      </c>
      <c r="U16" s="2"/>
      <c r="V16" s="2"/>
      <c r="X16" s="52" t="s">
        <v>278</v>
      </c>
      <c r="Y16" s="2"/>
      <c r="Z16" s="39" t="s">
        <v>279</v>
      </c>
      <c r="AA16" s="2"/>
      <c r="AB16" s="39" t="s">
        <v>280</v>
      </c>
      <c r="AC16" s="2"/>
      <c r="AD16" s="2" t="s">
        <v>281</v>
      </c>
      <c r="AE16" s="2"/>
      <c r="AF16" s="2"/>
      <c r="AG16" s="2"/>
      <c r="AH16" s="2"/>
      <c r="AI16" s="2"/>
      <c r="AJ16" s="39" t="s">
        <v>86</v>
      </c>
      <c r="AK16" s="2"/>
      <c r="AL16" s="39" t="s">
        <v>88</v>
      </c>
      <c r="AM16" s="2"/>
      <c r="AN16" s="39" t="s">
        <v>88</v>
      </c>
      <c r="AO16" s="2"/>
      <c r="AP16" s="39" t="s">
        <v>88</v>
      </c>
      <c r="AQ16" s="2"/>
      <c r="AR16" s="39" t="s">
        <v>60</v>
      </c>
      <c r="AS16" s="2"/>
      <c r="AT16" s="39" t="s">
        <v>60</v>
      </c>
      <c r="AU16" s="2"/>
      <c r="AV16" s="39" t="s">
        <v>60</v>
      </c>
      <c r="AW16" s="2"/>
      <c r="AX16" s="39" t="s">
        <v>60</v>
      </c>
      <c r="AY16" s="2"/>
      <c r="AZ16" s="137"/>
      <c r="BA16" s="2"/>
      <c r="BB16" s="127"/>
      <c r="BC16" s="2"/>
      <c r="BD16" s="39" t="s">
        <v>282</v>
      </c>
      <c r="BE16" s="44" t="s">
        <v>65</v>
      </c>
      <c r="BF16" s="39"/>
      <c r="BG16" s="2"/>
      <c r="BH16" s="39" t="s">
        <v>67</v>
      </c>
      <c r="BI16" s="2"/>
      <c r="BJ16" s="39" t="s">
        <v>67</v>
      </c>
      <c r="BK16" s="2"/>
      <c r="BL16" s="39" t="s">
        <v>67</v>
      </c>
      <c r="BM16" s="2"/>
      <c r="BN16" s="39" t="s">
        <v>67</v>
      </c>
      <c r="BO16" s="2"/>
      <c r="BP16" s="39"/>
      <c r="BQ16" s="2"/>
      <c r="BR16" s="39"/>
      <c r="BS16" s="2"/>
      <c r="BT16" s="39"/>
      <c r="BU16" s="2"/>
      <c r="BV16" s="39"/>
      <c r="BW16" s="2"/>
      <c r="BX16" s="39"/>
      <c r="BY16" s="2"/>
      <c r="BZ16" s="39"/>
      <c r="CA16" s="2"/>
      <c r="CB16" s="39"/>
      <c r="CC16" s="2"/>
      <c r="CD16" s="39"/>
    </row>
    <row r="17">
      <c r="A17" s="2"/>
      <c r="B17" s="2"/>
      <c r="C17" s="2"/>
      <c r="D17" s="2"/>
      <c r="E17" s="2"/>
      <c r="F17" s="2"/>
      <c r="G17" s="2"/>
      <c r="H17" s="2"/>
      <c r="I17" s="2"/>
      <c r="J17" s="104"/>
      <c r="K17" s="7" t="s">
        <v>283</v>
      </c>
      <c r="L17" s="73" t="s">
        <v>100</v>
      </c>
      <c r="M17" s="73" t="s">
        <v>100</v>
      </c>
      <c r="N17" s="24" t="s">
        <v>45</v>
      </c>
      <c r="O17" s="2"/>
      <c r="P17" s="39" t="s">
        <v>284</v>
      </c>
      <c r="Q17" s="2"/>
      <c r="R17" s="50" t="s">
        <v>285</v>
      </c>
      <c r="S17" s="2"/>
      <c r="T17" s="50" t="s">
        <v>286</v>
      </c>
      <c r="U17" s="2"/>
      <c r="V17" s="2"/>
      <c r="X17" s="52" t="s">
        <v>287</v>
      </c>
      <c r="Y17" s="2"/>
      <c r="Z17" s="39" t="s">
        <v>288</v>
      </c>
      <c r="AA17" s="2"/>
      <c r="AB17" s="39" t="s">
        <v>289</v>
      </c>
      <c r="AC17" s="2"/>
      <c r="AD17" s="2" t="s">
        <v>290</v>
      </c>
      <c r="AE17" s="2"/>
      <c r="AF17" s="2"/>
      <c r="AG17" s="2"/>
      <c r="AH17" s="2"/>
      <c r="AI17" s="2"/>
      <c r="AJ17" s="39" t="s">
        <v>86</v>
      </c>
      <c r="AK17" s="2"/>
      <c r="AL17" s="39" t="s">
        <v>88</v>
      </c>
      <c r="AM17" s="2"/>
      <c r="AN17" s="39" t="s">
        <v>88</v>
      </c>
      <c r="AO17" s="2"/>
      <c r="AP17" s="39" t="s">
        <v>88</v>
      </c>
      <c r="AQ17" s="2"/>
      <c r="AR17" s="39" t="s">
        <v>60</v>
      </c>
      <c r="AS17" s="2"/>
      <c r="AT17" s="39" t="s">
        <v>60</v>
      </c>
      <c r="AU17" s="2"/>
      <c r="AV17" s="39" t="s">
        <v>60</v>
      </c>
      <c r="AW17" s="2"/>
      <c r="AX17" s="39" t="s">
        <v>60</v>
      </c>
      <c r="AY17" s="2"/>
      <c r="AZ17" s="137"/>
      <c r="BA17" s="2"/>
      <c r="BB17" s="39"/>
      <c r="BC17" s="2"/>
      <c r="BD17" s="39" t="s">
        <v>291</v>
      </c>
      <c r="BE17" s="44" t="s">
        <v>65</v>
      </c>
      <c r="BF17" s="39"/>
      <c r="BG17" s="2"/>
      <c r="BH17" s="39"/>
      <c r="BI17" s="2"/>
      <c r="BJ17" s="39"/>
      <c r="BK17" s="2"/>
      <c r="BL17" s="39"/>
      <c r="BM17" s="2"/>
      <c r="BN17" s="39"/>
      <c r="BO17" s="2"/>
      <c r="BP17" s="39"/>
      <c r="BQ17" s="2"/>
      <c r="BR17" s="39"/>
      <c r="BS17" s="2"/>
      <c r="BT17" s="39"/>
      <c r="BU17" s="2"/>
      <c r="BV17" s="39"/>
      <c r="BW17" s="2"/>
      <c r="BX17" s="39"/>
      <c r="BY17" s="2"/>
      <c r="BZ17" s="39"/>
      <c r="CA17" s="2"/>
      <c r="CB17" s="39"/>
      <c r="CC17" s="2"/>
      <c r="CD17" s="39"/>
    </row>
    <row r="18">
      <c r="A18" s="2"/>
      <c r="B18" s="2"/>
      <c r="C18" s="2">
        <v>1.0</v>
      </c>
      <c r="D18" s="2"/>
      <c r="E18" s="2"/>
      <c r="F18" s="2"/>
      <c r="G18" s="2"/>
      <c r="H18" s="2"/>
      <c r="I18" s="2"/>
      <c r="J18" s="2"/>
      <c r="K18" s="2"/>
      <c r="L18" s="2"/>
      <c r="M18" s="2"/>
      <c r="N18" s="2"/>
      <c r="O18" s="2"/>
      <c r="P18" s="39" t="s">
        <v>292</v>
      </c>
      <c r="Q18" s="2"/>
      <c r="R18" s="50" t="s">
        <v>293</v>
      </c>
      <c r="S18" s="2"/>
      <c r="T18" s="50" t="s">
        <v>294</v>
      </c>
      <c r="U18" s="2"/>
      <c r="V18" s="2"/>
      <c r="X18" s="52" t="s">
        <v>197</v>
      </c>
      <c r="Y18" s="2"/>
      <c r="Z18" s="39" t="s">
        <v>295</v>
      </c>
      <c r="AA18" s="2"/>
      <c r="AB18" s="39" t="s">
        <v>126</v>
      </c>
      <c r="AC18" s="2"/>
      <c r="AD18" s="2" t="s">
        <v>296</v>
      </c>
      <c r="AE18" s="2"/>
      <c r="AF18" s="2"/>
      <c r="AG18" s="2"/>
      <c r="AH18" s="2"/>
      <c r="AI18" s="2"/>
      <c r="AJ18" s="39" t="s">
        <v>86</v>
      </c>
      <c r="AK18" s="2"/>
      <c r="AL18" s="39" t="s">
        <v>88</v>
      </c>
      <c r="AM18" s="2"/>
      <c r="AN18" s="39" t="s">
        <v>88</v>
      </c>
      <c r="AO18" s="2"/>
      <c r="AP18" s="39" t="s">
        <v>88</v>
      </c>
      <c r="AQ18" s="2"/>
      <c r="AR18" s="39" t="s">
        <v>60</v>
      </c>
      <c r="AS18" s="2"/>
      <c r="AT18" s="39" t="s">
        <v>60</v>
      </c>
      <c r="AU18" s="2"/>
      <c r="AV18" s="39" t="s">
        <v>60</v>
      </c>
      <c r="AW18" s="2"/>
      <c r="AX18" s="39" t="s">
        <v>60</v>
      </c>
      <c r="AY18" s="2"/>
      <c r="AZ18" s="137"/>
      <c r="BA18" s="2"/>
      <c r="BB18" s="39"/>
      <c r="BC18" s="2"/>
      <c r="BD18" s="39"/>
      <c r="BE18" s="44" t="s">
        <v>65</v>
      </c>
      <c r="BF18" s="39"/>
      <c r="BG18" s="2"/>
      <c r="BH18" s="39"/>
      <c r="BI18" s="2"/>
      <c r="BJ18" s="39"/>
      <c r="BK18" s="2"/>
      <c r="BL18" s="39"/>
      <c r="BM18" s="2"/>
      <c r="BN18" s="39"/>
      <c r="BO18" s="2"/>
      <c r="BP18" s="39"/>
      <c r="BQ18" s="2"/>
      <c r="BR18" s="39"/>
      <c r="BS18" s="2"/>
      <c r="BT18" s="39"/>
      <c r="BU18" s="2"/>
      <c r="BV18" s="39"/>
      <c r="BW18" s="2"/>
      <c r="BX18" s="39"/>
      <c r="BY18" s="2"/>
      <c r="BZ18" s="39"/>
      <c r="CA18" s="2"/>
      <c r="CB18" s="39"/>
      <c r="CC18" s="2"/>
      <c r="CD18" s="39"/>
    </row>
    <row r="19">
      <c r="A19" s="2"/>
      <c r="B19" s="2"/>
      <c r="C19" s="2">
        <v>2.0</v>
      </c>
      <c r="D19" s="2"/>
      <c r="E19" s="2"/>
      <c r="F19" s="2"/>
      <c r="G19" s="2"/>
      <c r="H19" s="2"/>
      <c r="I19" s="2"/>
      <c r="J19" s="141" t="s">
        <v>297</v>
      </c>
      <c r="K19" s="142" t="s">
        <v>298</v>
      </c>
      <c r="L19" s="5"/>
      <c r="M19" s="5"/>
      <c r="N19" s="6"/>
      <c r="O19" s="2"/>
      <c r="P19" s="39" t="s">
        <v>299</v>
      </c>
      <c r="Q19" s="2"/>
      <c r="R19" s="50" t="s">
        <v>300</v>
      </c>
      <c r="S19" s="2"/>
      <c r="T19" s="143"/>
      <c r="U19" s="2"/>
      <c r="V19" s="2"/>
      <c r="X19" s="52" t="s">
        <v>213</v>
      </c>
      <c r="Y19" s="2"/>
      <c r="Z19" s="39" t="s">
        <v>301</v>
      </c>
      <c r="AA19" s="2"/>
      <c r="AB19" s="39" t="s">
        <v>302</v>
      </c>
      <c r="AC19" s="2"/>
      <c r="AD19" s="2" t="s">
        <v>303</v>
      </c>
      <c r="AE19" s="2"/>
      <c r="AF19" s="2"/>
      <c r="AG19" s="2"/>
      <c r="AH19" s="2"/>
      <c r="AI19" s="2"/>
      <c r="AJ19" s="39" t="s">
        <v>86</v>
      </c>
      <c r="AK19" s="2"/>
      <c r="AL19" s="39" t="s">
        <v>88</v>
      </c>
      <c r="AM19" s="2"/>
      <c r="AN19" s="39" t="s">
        <v>88</v>
      </c>
      <c r="AO19" s="2"/>
      <c r="AP19" s="39" t="s">
        <v>88</v>
      </c>
      <c r="AQ19" s="2"/>
      <c r="AR19" s="39" t="s">
        <v>60</v>
      </c>
      <c r="AS19" s="2"/>
      <c r="AT19" s="39" t="s">
        <v>60</v>
      </c>
      <c r="AU19" s="2"/>
      <c r="AV19" s="39" t="s">
        <v>60</v>
      </c>
      <c r="AW19" s="2"/>
      <c r="AX19" s="39" t="s">
        <v>60</v>
      </c>
      <c r="AY19" s="2"/>
      <c r="AZ19" s="137"/>
      <c r="BA19" s="2"/>
      <c r="BB19" s="39"/>
      <c r="BC19" s="2"/>
      <c r="BD19" s="39"/>
      <c r="BE19" s="44" t="s">
        <v>65</v>
      </c>
      <c r="BF19" s="39"/>
      <c r="BG19" s="2"/>
      <c r="BH19" s="39"/>
      <c r="BI19" s="2"/>
      <c r="BJ19" s="39"/>
      <c r="BK19" s="2"/>
      <c r="BL19" s="39"/>
      <c r="BM19" s="2"/>
      <c r="BN19" s="39"/>
      <c r="BO19" s="2"/>
      <c r="BP19" s="39"/>
      <c r="BQ19" s="2"/>
      <c r="BR19" s="39"/>
      <c r="BS19" s="2"/>
      <c r="BT19" s="39"/>
      <c r="BU19" s="2"/>
      <c r="BV19" s="39"/>
      <c r="BW19" s="2"/>
      <c r="BX19" s="39"/>
      <c r="BY19" s="2"/>
      <c r="BZ19" s="39"/>
      <c r="CA19" s="2"/>
      <c r="CB19" s="39"/>
      <c r="CC19" s="2"/>
      <c r="CD19" s="39"/>
    </row>
    <row r="20">
      <c r="A20" s="2"/>
      <c r="B20" s="2"/>
      <c r="C20" s="2">
        <v>3.0</v>
      </c>
      <c r="D20" s="2"/>
      <c r="E20" s="2"/>
      <c r="F20" s="2"/>
      <c r="G20" s="2"/>
      <c r="H20" s="2"/>
      <c r="I20" s="2"/>
      <c r="J20" s="8"/>
      <c r="K20" s="7" t="s">
        <v>4</v>
      </c>
      <c r="L20" s="7" t="s">
        <v>5</v>
      </c>
      <c r="M20" s="7" t="s">
        <v>6</v>
      </c>
      <c r="N20" s="7" t="s">
        <v>7</v>
      </c>
      <c r="O20" s="2"/>
      <c r="P20" s="39" t="s">
        <v>304</v>
      </c>
      <c r="Q20" s="2"/>
      <c r="R20" s="50" t="s">
        <v>305</v>
      </c>
      <c r="S20" s="2"/>
      <c r="T20" s="2"/>
      <c r="U20" s="2"/>
      <c r="V20" s="2"/>
      <c r="X20" s="52" t="s">
        <v>306</v>
      </c>
      <c r="Y20" s="2"/>
      <c r="Z20" s="39" t="s">
        <v>307</v>
      </c>
      <c r="AA20" s="2"/>
      <c r="AB20" s="39" t="s">
        <v>308</v>
      </c>
      <c r="AC20" s="2"/>
      <c r="AD20" s="2" t="s">
        <v>309</v>
      </c>
      <c r="AE20" s="2"/>
      <c r="AF20" s="2"/>
      <c r="AG20" s="2"/>
      <c r="AH20" s="2"/>
      <c r="AI20" s="2"/>
      <c r="AJ20" s="39" t="s">
        <v>86</v>
      </c>
      <c r="AK20" s="2"/>
      <c r="AL20" s="39" t="s">
        <v>88</v>
      </c>
      <c r="AM20" s="2"/>
      <c r="AN20" s="39" t="s">
        <v>88</v>
      </c>
      <c r="AO20" s="2"/>
      <c r="AP20" s="39" t="s">
        <v>88</v>
      </c>
      <c r="AQ20" s="2"/>
      <c r="AR20" s="39" t="s">
        <v>60</v>
      </c>
      <c r="AS20" s="2"/>
      <c r="AT20" s="39" t="s">
        <v>60</v>
      </c>
      <c r="AU20" s="2"/>
      <c r="AV20" s="39" t="s">
        <v>60</v>
      </c>
      <c r="AW20" s="2"/>
      <c r="AX20" s="39" t="s">
        <v>60</v>
      </c>
      <c r="AY20" s="2"/>
      <c r="AZ20" s="137"/>
      <c r="BA20" s="2"/>
      <c r="BB20" s="39"/>
      <c r="BC20" s="2"/>
      <c r="BD20" s="39"/>
      <c r="BE20" s="44" t="s">
        <v>65</v>
      </c>
      <c r="BF20" s="39"/>
      <c r="BG20" s="2"/>
      <c r="BH20" s="39"/>
      <c r="BI20" s="2"/>
      <c r="BJ20" s="39"/>
      <c r="BK20" s="2"/>
      <c r="BL20" s="39"/>
      <c r="BM20" s="2"/>
      <c r="BN20" s="39"/>
      <c r="BO20" s="2"/>
      <c r="BP20" s="39"/>
      <c r="BQ20" s="2"/>
      <c r="BR20" s="39"/>
      <c r="BS20" s="2"/>
      <c r="BT20" s="39"/>
      <c r="BU20" s="2"/>
      <c r="BV20" s="39"/>
      <c r="BW20" s="2"/>
      <c r="BX20" s="39"/>
      <c r="BY20" s="2"/>
      <c r="BZ20" s="39"/>
      <c r="CA20" s="2"/>
      <c r="CB20" s="39"/>
      <c r="CC20" s="2"/>
      <c r="CD20" s="39"/>
    </row>
    <row r="21" ht="15.75" customHeight="1">
      <c r="A21" s="2"/>
      <c r="B21" s="2"/>
      <c r="C21" s="2">
        <v>4.0</v>
      </c>
      <c r="D21" s="2"/>
      <c r="E21" s="2"/>
      <c r="F21" s="2"/>
      <c r="G21" s="2"/>
      <c r="H21" s="2"/>
      <c r="I21" s="2"/>
      <c r="J21" s="8"/>
      <c r="K21" s="7" t="s">
        <v>44</v>
      </c>
      <c r="L21" s="24" t="s">
        <v>45</v>
      </c>
      <c r="M21" s="24" t="s">
        <v>45</v>
      </c>
      <c r="N21" s="25" t="s">
        <v>46</v>
      </c>
      <c r="O21" s="2"/>
      <c r="P21" s="39" t="s">
        <v>310</v>
      </c>
      <c r="Q21" s="2"/>
      <c r="R21" s="50" t="s">
        <v>311</v>
      </c>
      <c r="S21" s="2"/>
      <c r="T21" s="2"/>
      <c r="U21" s="2"/>
      <c r="V21" s="2"/>
      <c r="X21" s="52" t="s">
        <v>312</v>
      </c>
      <c r="Y21" s="2"/>
      <c r="Z21" s="39" t="s">
        <v>313</v>
      </c>
      <c r="AA21" s="2"/>
      <c r="AB21" s="39" t="s">
        <v>314</v>
      </c>
      <c r="AC21" s="2"/>
      <c r="AD21" s="2" t="s">
        <v>315</v>
      </c>
      <c r="AE21" s="2"/>
      <c r="AF21" s="2"/>
      <c r="AG21" s="2"/>
      <c r="AH21" s="2"/>
      <c r="AI21" s="2"/>
      <c r="AJ21" s="39" t="s">
        <v>86</v>
      </c>
      <c r="AK21" s="2"/>
      <c r="AL21" s="39"/>
      <c r="AM21" s="2"/>
      <c r="AN21" s="39"/>
      <c r="AO21" s="2"/>
      <c r="AP21" s="39"/>
      <c r="AQ21" s="2"/>
      <c r="AR21" s="39"/>
      <c r="AS21" s="2"/>
      <c r="AT21" s="39"/>
      <c r="AU21" s="2"/>
      <c r="AV21" s="39"/>
      <c r="AW21" s="2"/>
      <c r="AX21" s="39"/>
      <c r="AY21" s="2"/>
      <c r="AZ21" s="137"/>
      <c r="BA21" s="2"/>
      <c r="BB21" s="39"/>
      <c r="BC21" s="2"/>
      <c r="BD21" s="39"/>
      <c r="BE21" s="44" t="s">
        <v>65</v>
      </c>
      <c r="BF21" s="39"/>
      <c r="BG21" s="2"/>
      <c r="BH21" s="39"/>
      <c r="BI21" s="2"/>
      <c r="BJ21" s="39"/>
      <c r="BK21" s="2"/>
      <c r="BL21" s="39"/>
      <c r="BM21" s="2"/>
      <c r="BN21" s="39"/>
      <c r="BO21" s="2"/>
      <c r="BP21" s="39"/>
      <c r="BQ21" s="2"/>
      <c r="BR21" s="39"/>
      <c r="BS21" s="2"/>
      <c r="BT21" s="39"/>
      <c r="BU21" s="2"/>
      <c r="BV21" s="39"/>
      <c r="BW21" s="2"/>
      <c r="BX21" s="39"/>
      <c r="BY21" s="2"/>
      <c r="BZ21" s="39"/>
      <c r="CA21" s="2"/>
      <c r="CB21" s="39"/>
      <c r="CC21" s="2"/>
      <c r="CD21" s="39"/>
    </row>
    <row r="22" ht="15.75" customHeight="1">
      <c r="A22" s="2"/>
      <c r="B22" s="2"/>
      <c r="C22" s="2">
        <v>5.0</v>
      </c>
      <c r="D22" s="2"/>
      <c r="E22" s="2"/>
      <c r="F22" s="2"/>
      <c r="G22" s="2"/>
      <c r="H22" s="2"/>
      <c r="I22" s="2"/>
      <c r="J22" s="8"/>
      <c r="K22" s="7" t="s">
        <v>74</v>
      </c>
      <c r="L22" s="24" t="s">
        <v>45</v>
      </c>
      <c r="M22" s="24" t="s">
        <v>45</v>
      </c>
      <c r="N22" s="25" t="s">
        <v>46</v>
      </c>
      <c r="O22" s="2"/>
      <c r="P22" s="39" t="s">
        <v>316</v>
      </c>
      <c r="Q22" s="2"/>
      <c r="R22" s="50" t="s">
        <v>317</v>
      </c>
      <c r="S22" s="2"/>
      <c r="T22" s="2"/>
      <c r="U22" s="2"/>
      <c r="V22" s="2"/>
      <c r="X22" s="52" t="s">
        <v>227</v>
      </c>
      <c r="Y22" s="2"/>
      <c r="Z22" s="39" t="s">
        <v>318</v>
      </c>
      <c r="AA22" s="2"/>
      <c r="AB22" s="39" t="s">
        <v>319</v>
      </c>
      <c r="AC22" s="2"/>
      <c r="AD22" s="2" t="s">
        <v>320</v>
      </c>
      <c r="AE22" s="2"/>
      <c r="AF22" s="2"/>
      <c r="AG22" s="2"/>
      <c r="AH22" s="2"/>
      <c r="AI22" s="2"/>
      <c r="AJ22" s="39" t="s">
        <v>86</v>
      </c>
      <c r="AK22" s="2"/>
      <c r="AL22" s="39"/>
      <c r="AM22" s="2"/>
      <c r="AN22" s="39"/>
      <c r="AO22" s="2"/>
      <c r="AP22" s="39"/>
      <c r="AQ22" s="2"/>
      <c r="AR22" s="39"/>
      <c r="AS22" s="2"/>
      <c r="AT22" s="39"/>
      <c r="AU22" s="2"/>
      <c r="AV22" s="39"/>
      <c r="AW22" s="2"/>
      <c r="AX22" s="39"/>
      <c r="AY22" s="2"/>
      <c r="AZ22" s="137"/>
      <c r="BA22" s="2"/>
      <c r="BB22" s="39"/>
      <c r="BC22" s="2"/>
      <c r="BD22" s="39"/>
      <c r="BE22" s="44" t="s">
        <v>65</v>
      </c>
      <c r="BF22" s="39"/>
      <c r="BG22" s="2"/>
      <c r="BH22" s="39"/>
      <c r="BI22" s="2"/>
      <c r="BJ22" s="39"/>
      <c r="BK22" s="2"/>
      <c r="BL22" s="39"/>
      <c r="BM22" s="2"/>
      <c r="BN22" s="39"/>
      <c r="BO22" s="2"/>
      <c r="BP22" s="39"/>
      <c r="BQ22" s="2"/>
      <c r="BR22" s="39"/>
      <c r="BS22" s="2"/>
      <c r="BT22" s="39"/>
      <c r="BU22" s="2"/>
      <c r="BV22" s="39"/>
      <c r="BW22" s="2"/>
      <c r="BX22" s="39"/>
      <c r="BY22" s="2"/>
      <c r="BZ22" s="39"/>
      <c r="CA22" s="2"/>
      <c r="CB22" s="39"/>
      <c r="CC22" s="2"/>
      <c r="CD22" s="39"/>
    </row>
    <row r="23" ht="15.75" customHeight="1">
      <c r="A23" s="2"/>
      <c r="B23" s="2"/>
      <c r="C23" s="2"/>
      <c r="D23" s="2"/>
      <c r="E23" s="2"/>
      <c r="F23" s="2"/>
      <c r="G23" s="2"/>
      <c r="H23" s="2"/>
      <c r="I23" s="2"/>
      <c r="J23" s="8"/>
      <c r="K23" s="7" t="s">
        <v>99</v>
      </c>
      <c r="L23" s="73" t="s">
        <v>100</v>
      </c>
      <c r="M23" s="24" t="s">
        <v>45</v>
      </c>
      <c r="N23" s="25" t="s">
        <v>46</v>
      </c>
      <c r="O23" s="2"/>
      <c r="P23" s="39" t="s">
        <v>321</v>
      </c>
      <c r="Q23" s="2"/>
      <c r="R23" s="50" t="s">
        <v>322</v>
      </c>
      <c r="S23" s="2"/>
      <c r="T23" s="2"/>
      <c r="U23" s="2"/>
      <c r="V23" s="2"/>
      <c r="X23" s="39"/>
      <c r="Y23" s="2"/>
      <c r="Z23" s="39" t="s">
        <v>323</v>
      </c>
      <c r="AA23" s="2"/>
      <c r="AB23" s="39" t="s">
        <v>154</v>
      </c>
      <c r="AC23" s="2"/>
      <c r="AD23" s="2" t="s">
        <v>324</v>
      </c>
      <c r="AE23" s="2"/>
      <c r="AF23" s="2"/>
      <c r="AG23" s="2"/>
      <c r="AH23" s="2"/>
      <c r="AI23" s="2"/>
      <c r="AJ23" s="39" t="s">
        <v>86</v>
      </c>
      <c r="AK23" s="2"/>
      <c r="AL23" s="39"/>
      <c r="AM23" s="2"/>
      <c r="AN23" s="39"/>
      <c r="AO23" s="2"/>
      <c r="AP23" s="39"/>
      <c r="AQ23" s="2"/>
      <c r="AR23" s="39"/>
      <c r="AS23" s="2"/>
      <c r="AT23" s="39"/>
      <c r="AU23" s="2"/>
      <c r="AV23" s="39"/>
      <c r="AW23" s="2"/>
      <c r="AX23" s="39"/>
      <c r="AY23" s="2"/>
      <c r="AZ23" s="137"/>
      <c r="BA23" s="2"/>
      <c r="BB23" s="39"/>
      <c r="BC23" s="2"/>
      <c r="BD23" s="39"/>
      <c r="BE23" s="44" t="s">
        <v>65</v>
      </c>
      <c r="BF23" s="39"/>
      <c r="BG23" s="2"/>
      <c r="BH23" s="39"/>
      <c r="BI23" s="2"/>
      <c r="BJ23" s="39"/>
      <c r="BK23" s="2"/>
      <c r="BL23" s="39"/>
      <c r="BM23" s="2"/>
      <c r="BN23" s="39"/>
      <c r="BO23" s="2"/>
      <c r="BP23" s="39"/>
      <c r="BQ23" s="2"/>
      <c r="BR23" s="39"/>
      <c r="BS23" s="2"/>
      <c r="BT23" s="39"/>
      <c r="BU23" s="2"/>
      <c r="BV23" s="39"/>
      <c r="BW23" s="2"/>
      <c r="BX23" s="39"/>
      <c r="BY23" s="2"/>
      <c r="BZ23" s="39"/>
      <c r="CA23" s="2"/>
      <c r="CB23" s="39"/>
      <c r="CC23" s="2"/>
      <c r="CD23" s="39"/>
    </row>
    <row r="24" ht="15.75" customHeight="1">
      <c r="A24" s="2"/>
      <c r="B24" s="2"/>
      <c r="C24" s="2"/>
      <c r="D24" s="2"/>
      <c r="E24" s="2"/>
      <c r="F24" s="2"/>
      <c r="G24" s="2"/>
      <c r="H24" s="2"/>
      <c r="I24" s="2"/>
      <c r="J24" s="8"/>
      <c r="K24" s="7" t="s">
        <v>133</v>
      </c>
      <c r="L24" s="73" t="s">
        <v>100</v>
      </c>
      <c r="M24" s="24" t="s">
        <v>45</v>
      </c>
      <c r="N24" s="25" t="s">
        <v>46</v>
      </c>
      <c r="O24" s="2"/>
      <c r="P24" s="39" t="s">
        <v>325</v>
      </c>
      <c r="Q24" s="2"/>
      <c r="R24" s="50" t="s">
        <v>326</v>
      </c>
      <c r="S24" s="2"/>
      <c r="T24" s="2"/>
      <c r="U24" s="2"/>
      <c r="V24" s="2"/>
      <c r="X24" s="39"/>
      <c r="Y24" s="2"/>
      <c r="Z24" s="39" t="s">
        <v>153</v>
      </c>
      <c r="AA24" s="2"/>
      <c r="AB24" s="39" t="s">
        <v>327</v>
      </c>
      <c r="AC24" s="2"/>
      <c r="AD24" s="2" t="s">
        <v>328</v>
      </c>
      <c r="AE24" s="2"/>
      <c r="AF24" s="2"/>
      <c r="AG24" s="2"/>
      <c r="AH24" s="2"/>
      <c r="AI24" s="2"/>
      <c r="AJ24" s="39" t="s">
        <v>86</v>
      </c>
      <c r="AK24" s="2"/>
      <c r="AL24" s="39"/>
      <c r="AM24" s="2"/>
      <c r="AN24" s="39"/>
      <c r="AO24" s="2"/>
      <c r="AP24" s="39"/>
      <c r="AQ24" s="2"/>
      <c r="AR24" s="39"/>
      <c r="AS24" s="2"/>
      <c r="AT24" s="39"/>
      <c r="AU24" s="2"/>
      <c r="AV24" s="39"/>
      <c r="AW24" s="2"/>
      <c r="AX24" s="39"/>
      <c r="AY24" s="2"/>
      <c r="AZ24" s="137"/>
      <c r="BA24" s="2"/>
      <c r="BB24" s="39"/>
      <c r="BC24" s="2"/>
      <c r="BD24" s="39"/>
      <c r="BE24" s="44" t="s">
        <v>65</v>
      </c>
      <c r="BF24" s="39"/>
      <c r="BG24" s="2"/>
      <c r="BH24" s="39"/>
      <c r="BI24" s="2"/>
      <c r="BJ24" s="39"/>
      <c r="BK24" s="2"/>
      <c r="BL24" s="39"/>
      <c r="BM24" s="2"/>
      <c r="BN24" s="39"/>
      <c r="BO24" s="2"/>
      <c r="BP24" s="39"/>
      <c r="BQ24" s="2"/>
      <c r="BR24" s="39"/>
      <c r="BS24" s="2"/>
      <c r="BT24" s="39"/>
      <c r="BU24" s="2"/>
      <c r="BV24" s="39"/>
      <c r="BW24" s="2"/>
      <c r="BX24" s="39"/>
      <c r="BY24" s="2"/>
      <c r="BZ24" s="39"/>
      <c r="CA24" s="2"/>
      <c r="CB24" s="39"/>
      <c r="CC24" s="2"/>
      <c r="CD24" s="39"/>
    </row>
    <row r="25" ht="15.75" customHeight="1">
      <c r="A25" s="2"/>
      <c r="B25" s="2"/>
      <c r="C25" s="2"/>
      <c r="D25" s="2"/>
      <c r="E25" s="2"/>
      <c r="F25" s="2"/>
      <c r="G25" s="2"/>
      <c r="H25" s="2"/>
      <c r="I25" s="2"/>
      <c r="J25" s="8"/>
      <c r="K25" s="7" t="s">
        <v>157</v>
      </c>
      <c r="L25" s="73" t="s">
        <v>100</v>
      </c>
      <c r="M25" s="24" t="s">
        <v>45</v>
      </c>
      <c r="N25" s="25" t="s">
        <v>46</v>
      </c>
      <c r="O25" s="2"/>
      <c r="P25" s="39" t="s">
        <v>329</v>
      </c>
      <c r="Q25" s="2"/>
      <c r="R25" s="50" t="s">
        <v>330</v>
      </c>
      <c r="S25" s="2"/>
      <c r="T25" s="2"/>
      <c r="U25" s="2"/>
      <c r="V25" s="2"/>
      <c r="X25" s="39"/>
      <c r="Y25" s="2"/>
      <c r="Z25" s="39" t="s">
        <v>331</v>
      </c>
      <c r="AA25" s="2"/>
      <c r="AB25" s="39" t="s">
        <v>332</v>
      </c>
      <c r="AC25" s="2"/>
      <c r="AD25" s="2" t="s">
        <v>85</v>
      </c>
      <c r="AE25" s="2"/>
      <c r="AF25" s="2"/>
      <c r="AG25" s="2"/>
      <c r="AH25" s="2"/>
      <c r="AI25" s="2"/>
      <c r="AJ25" s="39" t="s">
        <v>86</v>
      </c>
      <c r="AK25" s="2"/>
      <c r="AL25" s="39"/>
      <c r="AM25" s="2"/>
      <c r="AN25" s="39"/>
      <c r="AO25" s="2"/>
      <c r="AP25" s="39"/>
      <c r="AQ25" s="2"/>
      <c r="AR25" s="39"/>
      <c r="AS25" s="2"/>
      <c r="AT25" s="39"/>
      <c r="AU25" s="2"/>
      <c r="AV25" s="39"/>
      <c r="AW25" s="2"/>
      <c r="AX25" s="39"/>
      <c r="AY25" s="2"/>
      <c r="AZ25" s="144"/>
      <c r="BA25" s="2"/>
      <c r="BB25" s="39"/>
      <c r="BC25" s="2"/>
      <c r="BD25" s="39"/>
      <c r="BE25" s="44" t="s">
        <v>65</v>
      </c>
      <c r="BF25" s="39"/>
      <c r="BG25" s="2"/>
      <c r="BH25" s="39"/>
      <c r="BI25" s="2"/>
      <c r="BJ25" s="39"/>
      <c r="BK25" s="2"/>
      <c r="BL25" s="39"/>
      <c r="BM25" s="2"/>
      <c r="BN25" s="39"/>
      <c r="BO25" s="2"/>
      <c r="BP25" s="39"/>
      <c r="BQ25" s="2"/>
      <c r="BR25" s="39"/>
      <c r="BS25" s="2"/>
      <c r="BT25" s="39"/>
      <c r="BU25" s="2"/>
      <c r="BV25" s="39"/>
      <c r="BW25" s="2"/>
      <c r="BX25" s="39"/>
      <c r="BY25" s="2"/>
      <c r="BZ25" s="39"/>
      <c r="CA25" s="2"/>
      <c r="CB25" s="39"/>
      <c r="CC25" s="2"/>
      <c r="CD25" s="39"/>
    </row>
    <row r="26" ht="15.75" customHeight="1">
      <c r="A26" s="2"/>
      <c r="B26" s="2"/>
      <c r="C26" s="2"/>
      <c r="D26" s="2"/>
      <c r="E26" s="2"/>
      <c r="F26" s="2"/>
      <c r="G26" s="2"/>
      <c r="H26" s="2"/>
      <c r="I26" s="2"/>
      <c r="J26" s="104"/>
      <c r="K26" s="7" t="s">
        <v>174</v>
      </c>
      <c r="L26" s="73" t="s">
        <v>100</v>
      </c>
      <c r="M26" s="73" t="s">
        <v>100</v>
      </c>
      <c r="N26" s="24" t="s">
        <v>45</v>
      </c>
      <c r="O26" s="2"/>
      <c r="P26" s="39" t="s">
        <v>333</v>
      </c>
      <c r="Q26" s="2"/>
      <c r="R26" s="50" t="s">
        <v>334</v>
      </c>
      <c r="S26" s="2"/>
      <c r="T26" s="2"/>
      <c r="U26" s="2"/>
      <c r="V26" s="2"/>
      <c r="X26" s="39"/>
      <c r="Y26" s="2"/>
      <c r="Z26" s="39" t="s">
        <v>335</v>
      </c>
      <c r="AA26" s="2"/>
      <c r="AB26" s="39" t="s">
        <v>336</v>
      </c>
      <c r="AC26" s="2"/>
      <c r="AD26" s="2" t="s">
        <v>337</v>
      </c>
      <c r="AE26" s="2"/>
      <c r="AF26" s="2"/>
      <c r="AG26" s="2"/>
      <c r="AH26" s="2"/>
      <c r="AI26" s="2"/>
      <c r="AJ26" s="39" t="s">
        <v>86</v>
      </c>
      <c r="AK26" s="2"/>
      <c r="AL26" s="39"/>
      <c r="AM26" s="2"/>
      <c r="AN26" s="39"/>
      <c r="AO26" s="2"/>
      <c r="AP26" s="39"/>
      <c r="AQ26" s="2"/>
      <c r="AR26" s="39"/>
      <c r="AS26" s="2"/>
      <c r="AT26" s="39"/>
      <c r="AU26" s="2"/>
      <c r="AV26" s="39"/>
      <c r="AW26" s="2"/>
      <c r="AX26" s="39"/>
      <c r="AY26" s="2"/>
      <c r="AZ26" s="144"/>
      <c r="BA26" s="2"/>
      <c r="BB26" s="39"/>
      <c r="BC26" s="2"/>
      <c r="BD26" s="39"/>
      <c r="BE26" s="44" t="s">
        <v>65</v>
      </c>
      <c r="BF26" s="39"/>
      <c r="BG26" s="2"/>
      <c r="BH26" s="39"/>
      <c r="BI26" s="2"/>
      <c r="BJ26" s="39"/>
      <c r="BK26" s="2"/>
      <c r="BL26" s="39"/>
      <c r="BM26" s="2"/>
      <c r="BN26" s="39"/>
      <c r="BO26" s="2"/>
      <c r="BP26" s="39"/>
      <c r="BQ26" s="2"/>
      <c r="BR26" s="39"/>
      <c r="BS26" s="2"/>
      <c r="BT26" s="39"/>
      <c r="BU26" s="2"/>
      <c r="BV26" s="39"/>
      <c r="BW26" s="2"/>
      <c r="BX26" s="39"/>
      <c r="BY26" s="2"/>
      <c r="BZ26" s="39"/>
      <c r="CA26" s="2"/>
      <c r="CB26" s="39"/>
      <c r="CC26" s="2"/>
      <c r="CD26" s="39"/>
    </row>
    <row r="27" ht="15.75" customHeight="1">
      <c r="A27" s="2"/>
      <c r="B27" s="2"/>
      <c r="C27" s="2"/>
      <c r="D27" s="2"/>
      <c r="E27" s="2"/>
      <c r="F27" s="2"/>
      <c r="G27" s="2"/>
      <c r="H27" s="2"/>
      <c r="I27" s="2"/>
      <c r="J27" s="2"/>
      <c r="K27" s="2"/>
      <c r="L27" s="2"/>
      <c r="M27" s="2"/>
      <c r="N27" s="2"/>
      <c r="O27" s="2"/>
      <c r="P27" s="39" t="s">
        <v>338</v>
      </c>
      <c r="Q27" s="2"/>
      <c r="R27" s="50" t="s">
        <v>339</v>
      </c>
      <c r="S27" s="2"/>
      <c r="T27" s="2"/>
      <c r="U27" s="2"/>
      <c r="V27" s="2"/>
      <c r="X27" s="39"/>
      <c r="Y27" s="2"/>
      <c r="Z27" s="39" t="s">
        <v>340</v>
      </c>
      <c r="AA27" s="2"/>
      <c r="AB27" s="39" t="s">
        <v>341</v>
      </c>
      <c r="AC27" s="2"/>
      <c r="AD27" s="2" t="s">
        <v>342</v>
      </c>
      <c r="AE27" s="2"/>
      <c r="AF27" s="2"/>
      <c r="AG27" s="2"/>
      <c r="AH27" s="2"/>
      <c r="AI27" s="2"/>
      <c r="AJ27" s="39" t="s">
        <v>86</v>
      </c>
      <c r="AK27" s="2"/>
      <c r="AL27" s="39"/>
      <c r="AM27" s="2"/>
      <c r="AN27" s="39"/>
      <c r="AO27" s="2"/>
      <c r="AP27" s="39"/>
      <c r="AQ27" s="2"/>
      <c r="AR27" s="39"/>
      <c r="AS27" s="2"/>
      <c r="AT27" s="39"/>
      <c r="AU27" s="2"/>
      <c r="AV27" s="39"/>
      <c r="AW27" s="2"/>
      <c r="AX27" s="39"/>
      <c r="AY27" s="2"/>
      <c r="AZ27" s="144"/>
      <c r="BA27" s="2"/>
      <c r="BB27" s="39"/>
      <c r="BC27" s="2"/>
      <c r="BD27" s="39"/>
      <c r="BE27" s="44" t="s">
        <v>65</v>
      </c>
      <c r="BF27" s="39"/>
      <c r="BG27" s="2"/>
      <c r="BH27" s="39"/>
      <c r="BI27" s="2"/>
      <c r="BJ27" s="39"/>
      <c r="BK27" s="2"/>
      <c r="BL27" s="39"/>
      <c r="BM27" s="2"/>
      <c r="BN27" s="39"/>
      <c r="BO27" s="2"/>
      <c r="BP27" s="39"/>
      <c r="BQ27" s="2"/>
      <c r="BR27" s="39"/>
      <c r="BS27" s="2"/>
      <c r="BT27" s="39"/>
      <c r="BU27" s="2"/>
      <c r="BV27" s="39"/>
      <c r="BW27" s="2"/>
      <c r="BX27" s="39"/>
      <c r="BY27" s="2"/>
      <c r="BZ27" s="39"/>
      <c r="CA27" s="2"/>
      <c r="CB27" s="39"/>
      <c r="CC27" s="2"/>
      <c r="CD27" s="39"/>
    </row>
    <row r="28" ht="15.75" customHeight="1">
      <c r="A28" s="2"/>
      <c r="B28" s="2"/>
      <c r="C28" s="2"/>
      <c r="D28" s="2"/>
      <c r="E28" s="2"/>
      <c r="F28" s="2"/>
      <c r="G28" s="2"/>
      <c r="H28" s="2"/>
      <c r="I28" s="2"/>
      <c r="J28" s="146" t="s">
        <v>343</v>
      </c>
      <c r="K28" s="147" t="s">
        <v>344</v>
      </c>
      <c r="L28" s="5"/>
      <c r="M28" s="5"/>
      <c r="N28" s="6"/>
      <c r="O28" s="2"/>
      <c r="P28" s="39" t="s">
        <v>345</v>
      </c>
      <c r="Q28" s="2"/>
      <c r="R28" s="50" t="s">
        <v>346</v>
      </c>
      <c r="S28" s="2"/>
      <c r="T28" s="2"/>
      <c r="U28" s="2"/>
      <c r="V28" s="2"/>
      <c r="X28" s="144"/>
      <c r="Y28" s="2"/>
      <c r="Z28" s="39" t="s">
        <v>347</v>
      </c>
      <c r="AA28" s="2"/>
      <c r="AB28" s="39" t="s">
        <v>348</v>
      </c>
      <c r="AC28" s="2"/>
      <c r="AD28" s="2" t="s">
        <v>349</v>
      </c>
      <c r="AE28" s="2"/>
      <c r="AF28" s="2"/>
      <c r="AG28" s="2"/>
      <c r="AH28" s="2"/>
      <c r="AI28" s="2"/>
      <c r="AJ28" s="39" t="s">
        <v>86</v>
      </c>
      <c r="AK28" s="2"/>
      <c r="AL28" s="39"/>
      <c r="AM28" s="2"/>
      <c r="AN28" s="39"/>
      <c r="AO28" s="2"/>
      <c r="AP28" s="39"/>
      <c r="AQ28" s="2"/>
      <c r="AR28" s="39"/>
      <c r="AS28" s="2"/>
      <c r="AT28" s="39"/>
      <c r="AU28" s="2"/>
      <c r="AV28" s="39"/>
      <c r="AW28" s="2"/>
      <c r="AX28" s="39"/>
      <c r="AY28" s="2"/>
      <c r="AZ28" s="144"/>
      <c r="BA28" s="2"/>
      <c r="BB28" s="39"/>
      <c r="BC28" s="2"/>
      <c r="BD28" s="39"/>
      <c r="BE28" s="44" t="s">
        <v>65</v>
      </c>
      <c r="BF28" s="39"/>
      <c r="BG28" s="2"/>
      <c r="BH28" s="39"/>
      <c r="BI28" s="2"/>
      <c r="BJ28" s="39"/>
      <c r="BK28" s="2"/>
      <c r="BL28" s="39"/>
      <c r="BM28" s="2"/>
      <c r="BN28" s="39"/>
      <c r="BO28" s="2"/>
      <c r="BP28" s="39"/>
      <c r="BQ28" s="2"/>
      <c r="BR28" s="39"/>
      <c r="BS28" s="2"/>
      <c r="BT28" s="39"/>
      <c r="BU28" s="2"/>
      <c r="BV28" s="39"/>
      <c r="BW28" s="2"/>
      <c r="BX28" s="39"/>
      <c r="BY28" s="2"/>
      <c r="BZ28" s="39"/>
      <c r="CA28" s="2"/>
      <c r="CB28" s="39"/>
      <c r="CC28" s="2"/>
      <c r="CD28" s="39"/>
    </row>
    <row r="29" ht="15.75" customHeight="1">
      <c r="A29" s="2"/>
      <c r="B29" s="2"/>
      <c r="C29" s="2"/>
      <c r="D29" s="2"/>
      <c r="E29" s="2"/>
      <c r="F29" s="2"/>
      <c r="G29" s="2"/>
      <c r="H29" s="2"/>
      <c r="I29" s="2"/>
      <c r="J29" s="8"/>
      <c r="K29" s="7" t="s">
        <v>4</v>
      </c>
      <c r="L29" s="7" t="s">
        <v>5</v>
      </c>
      <c r="M29" s="7" t="s">
        <v>6</v>
      </c>
      <c r="N29" s="7" t="s">
        <v>7</v>
      </c>
      <c r="O29" s="2"/>
      <c r="P29" s="39" t="s">
        <v>350</v>
      </c>
      <c r="Q29" s="2"/>
      <c r="R29" s="50" t="s">
        <v>351</v>
      </c>
      <c r="S29" s="2"/>
      <c r="T29" s="2"/>
      <c r="U29" s="2"/>
      <c r="V29" s="2"/>
      <c r="Y29" s="2"/>
      <c r="Z29" s="39" t="s">
        <v>352</v>
      </c>
      <c r="AA29" s="2"/>
      <c r="AB29" s="144" t="s">
        <v>353</v>
      </c>
      <c r="AC29" s="2"/>
      <c r="AD29" s="2" t="s">
        <v>354</v>
      </c>
      <c r="AE29" s="2"/>
      <c r="AF29" s="2"/>
      <c r="AG29" s="2"/>
      <c r="AH29" s="2"/>
      <c r="AI29" s="2"/>
      <c r="AJ29" s="39"/>
      <c r="AK29" s="2"/>
      <c r="AL29" s="39"/>
      <c r="AM29" s="2"/>
      <c r="AN29" s="39"/>
      <c r="AO29" s="2"/>
      <c r="AP29" s="39"/>
      <c r="AQ29" s="2"/>
      <c r="AR29" s="39"/>
      <c r="AS29" s="2"/>
      <c r="AT29" s="39"/>
      <c r="AU29" s="2"/>
      <c r="AV29" s="39"/>
      <c r="AW29" s="2"/>
      <c r="AX29" s="39"/>
      <c r="AY29" s="2"/>
      <c r="AZ29" s="144"/>
      <c r="BA29" s="2"/>
      <c r="BB29" s="39"/>
      <c r="BC29" s="2"/>
      <c r="BD29" s="39"/>
      <c r="BE29" s="44" t="s">
        <v>65</v>
      </c>
      <c r="BF29" s="39"/>
      <c r="BG29" s="2"/>
      <c r="BH29" s="39"/>
      <c r="BI29" s="2"/>
      <c r="BJ29" s="39"/>
      <c r="BK29" s="2"/>
      <c r="BL29" s="39"/>
      <c r="BM29" s="2"/>
      <c r="BN29" s="39"/>
      <c r="BO29" s="2"/>
      <c r="BP29" s="39"/>
      <c r="BQ29" s="2"/>
      <c r="BR29" s="39"/>
      <c r="BS29" s="2"/>
      <c r="BT29" s="39"/>
      <c r="BU29" s="2"/>
      <c r="BV29" s="39"/>
      <c r="BW29" s="2"/>
      <c r="BX29" s="39"/>
      <c r="BY29" s="2"/>
      <c r="BZ29" s="39"/>
      <c r="CA29" s="2"/>
      <c r="CB29" s="39"/>
      <c r="CC29" s="2"/>
      <c r="CD29" s="39"/>
    </row>
    <row r="30" ht="15.75" customHeight="1">
      <c r="A30" s="2"/>
      <c r="B30" s="2"/>
      <c r="C30" s="2"/>
      <c r="D30" s="2"/>
      <c r="E30" s="2"/>
      <c r="F30" s="2"/>
      <c r="G30" s="2"/>
      <c r="H30" s="2"/>
      <c r="I30" s="2"/>
      <c r="J30" s="8"/>
      <c r="K30" s="7" t="s">
        <v>44</v>
      </c>
      <c r="L30" s="24" t="s">
        <v>45</v>
      </c>
      <c r="M30" s="24" t="s">
        <v>45</v>
      </c>
      <c r="N30" s="25" t="s">
        <v>46</v>
      </c>
      <c r="O30" s="2"/>
      <c r="P30" s="39" t="s">
        <v>355</v>
      </c>
      <c r="Q30" s="2"/>
      <c r="R30" s="50" t="s">
        <v>356</v>
      </c>
      <c r="S30" s="2"/>
      <c r="T30" s="2"/>
      <c r="U30" s="2"/>
      <c r="V30" s="2"/>
      <c r="Y30" s="2"/>
      <c r="Z30" s="39" t="s">
        <v>357</v>
      </c>
      <c r="AA30" s="2"/>
      <c r="AB30" s="2"/>
      <c r="AC30" s="2"/>
      <c r="AD30" s="2" t="s">
        <v>358</v>
      </c>
      <c r="AE30" s="2"/>
      <c r="AF30" s="2"/>
      <c r="AG30" s="2"/>
      <c r="AH30" s="2"/>
      <c r="AI30" s="2"/>
      <c r="AJ30" s="144"/>
      <c r="AK30" s="2"/>
      <c r="AL30" s="144"/>
      <c r="AM30" s="2"/>
      <c r="AN30" s="144"/>
      <c r="AO30" s="2"/>
      <c r="AP30" s="144"/>
      <c r="AQ30" s="2"/>
      <c r="AR30" s="144"/>
      <c r="AS30" s="2"/>
      <c r="AT30" s="144"/>
      <c r="AU30" s="2"/>
      <c r="AV30" s="144"/>
      <c r="AW30" s="2"/>
      <c r="AX30" s="144"/>
      <c r="AY30" s="2"/>
      <c r="AZ30" s="144"/>
      <c r="BA30" s="2"/>
      <c r="BB30" s="144"/>
      <c r="BC30" s="2"/>
      <c r="BD30" s="39"/>
      <c r="BE30" s="44" t="s">
        <v>65</v>
      </c>
      <c r="BF30" s="144"/>
      <c r="BG30" s="2"/>
      <c r="BH30" s="144"/>
      <c r="BI30" s="2"/>
      <c r="BJ30" s="144"/>
      <c r="BK30" s="2"/>
      <c r="BL30" s="144"/>
      <c r="BM30" s="2"/>
      <c r="BN30" s="144"/>
      <c r="BO30" s="2"/>
      <c r="BP30" s="144"/>
      <c r="BQ30" s="2"/>
      <c r="BR30" s="144"/>
      <c r="BS30" s="2"/>
      <c r="BT30" s="144"/>
      <c r="BU30" s="2"/>
      <c r="BV30" s="144"/>
      <c r="BW30" s="2"/>
      <c r="BX30" s="144"/>
      <c r="BY30" s="2"/>
      <c r="BZ30" s="144"/>
      <c r="CA30" s="2"/>
      <c r="CB30" s="144"/>
      <c r="CC30" s="2"/>
      <c r="CD30" s="144"/>
    </row>
    <row r="31" ht="15.75" customHeight="1">
      <c r="A31" s="2"/>
      <c r="B31" s="2"/>
      <c r="C31" s="2"/>
      <c r="D31" s="2"/>
      <c r="E31" s="2"/>
      <c r="F31" s="2"/>
      <c r="G31" s="2"/>
      <c r="H31" s="2"/>
      <c r="I31" s="2"/>
      <c r="J31" s="8"/>
      <c r="K31" s="7" t="s">
        <v>74</v>
      </c>
      <c r="L31" s="24" t="s">
        <v>45</v>
      </c>
      <c r="M31" s="24" t="s">
        <v>45</v>
      </c>
      <c r="N31" s="25" t="s">
        <v>46</v>
      </c>
      <c r="O31" s="2"/>
      <c r="P31" s="39" t="s">
        <v>359</v>
      </c>
      <c r="Q31" s="2"/>
      <c r="R31" s="50" t="s">
        <v>360</v>
      </c>
      <c r="S31" s="2"/>
      <c r="T31" s="2"/>
      <c r="U31" s="2"/>
      <c r="V31" s="2"/>
      <c r="Y31" s="2"/>
      <c r="Z31" s="39" t="s">
        <v>361</v>
      </c>
      <c r="AA31" s="2"/>
      <c r="AB31" s="2"/>
      <c r="AC31" s="2"/>
      <c r="AD31" s="2" t="s">
        <v>349</v>
      </c>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39"/>
      <c r="BE31" s="2" t="s">
        <v>65</v>
      </c>
      <c r="BF31" s="2"/>
      <c r="BG31" s="2"/>
      <c r="BH31" s="2"/>
      <c r="BI31" s="2"/>
      <c r="BJ31" s="2"/>
      <c r="BK31" s="2"/>
      <c r="BL31" s="2"/>
      <c r="BM31" s="2"/>
      <c r="BN31" s="2"/>
      <c r="BO31" s="2"/>
      <c r="BP31" s="2"/>
      <c r="BQ31" s="2"/>
      <c r="BR31" s="2"/>
      <c r="BS31" s="2"/>
      <c r="BT31" s="2"/>
      <c r="BU31" s="2"/>
      <c r="BV31" s="2"/>
      <c r="BW31" s="2"/>
      <c r="BX31" s="2"/>
      <c r="BY31" s="2"/>
      <c r="BZ31" s="2"/>
      <c r="CA31" s="2"/>
      <c r="CB31" s="2"/>
      <c r="CC31" s="2"/>
      <c r="CD31" s="2"/>
    </row>
    <row r="32" ht="15.75" customHeight="1">
      <c r="A32" s="2"/>
      <c r="B32" s="2"/>
      <c r="C32" s="2"/>
      <c r="D32" s="2"/>
      <c r="E32" s="2"/>
      <c r="F32" s="2"/>
      <c r="G32" s="2"/>
      <c r="H32" s="2"/>
      <c r="I32" s="2"/>
      <c r="J32" s="8"/>
      <c r="K32" s="7" t="s">
        <v>99</v>
      </c>
      <c r="L32" s="73" t="s">
        <v>100</v>
      </c>
      <c r="M32" s="24" t="s">
        <v>45</v>
      </c>
      <c r="N32" s="25" t="s">
        <v>46</v>
      </c>
      <c r="O32" s="2"/>
      <c r="P32" s="39" t="s">
        <v>362</v>
      </c>
      <c r="Q32" s="2"/>
      <c r="R32" s="50" t="s">
        <v>363</v>
      </c>
      <c r="S32" s="2"/>
      <c r="T32" s="2"/>
      <c r="U32" s="2"/>
      <c r="V32" s="2"/>
      <c r="Y32" s="2"/>
      <c r="Z32" s="39" t="s">
        <v>364</v>
      </c>
      <c r="AA32" s="2"/>
      <c r="AB32" s="2"/>
      <c r="AC32" s="2"/>
      <c r="AD32" s="2" t="s">
        <v>365</v>
      </c>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39"/>
      <c r="BE32" s="2" t="s">
        <v>65</v>
      </c>
      <c r="BF32" s="2"/>
      <c r="BG32" s="2"/>
      <c r="BH32" s="2"/>
      <c r="BI32" s="2"/>
      <c r="BJ32" s="2"/>
      <c r="BK32" s="2"/>
      <c r="BL32" s="2"/>
      <c r="BM32" s="2"/>
      <c r="BN32" s="2"/>
      <c r="BO32" s="2"/>
      <c r="BP32" s="2"/>
      <c r="BQ32" s="2"/>
      <c r="BR32" s="2"/>
      <c r="BS32" s="2"/>
      <c r="BT32" s="2"/>
      <c r="BU32" s="2"/>
      <c r="BV32" s="2"/>
      <c r="BW32" s="2"/>
      <c r="BX32" s="2"/>
      <c r="BY32" s="2"/>
      <c r="BZ32" s="2"/>
      <c r="CA32" s="2"/>
      <c r="CB32" s="2"/>
      <c r="CC32" s="2"/>
      <c r="CD32" s="2"/>
    </row>
    <row r="33" ht="15.75" customHeight="1">
      <c r="A33" s="2"/>
      <c r="B33" s="2"/>
      <c r="C33" s="2"/>
      <c r="D33" s="2"/>
      <c r="E33" s="2"/>
      <c r="F33" s="2"/>
      <c r="G33" s="2"/>
      <c r="H33" s="2"/>
      <c r="I33" s="2"/>
      <c r="J33" s="8"/>
      <c r="K33" s="7" t="s">
        <v>133</v>
      </c>
      <c r="L33" s="73" t="s">
        <v>100</v>
      </c>
      <c r="M33" s="24" t="s">
        <v>45</v>
      </c>
      <c r="N33" s="25" t="s">
        <v>46</v>
      </c>
      <c r="O33" s="2"/>
      <c r="P33" s="39" t="s">
        <v>366</v>
      </c>
      <c r="Q33" s="2"/>
      <c r="R33" s="50" t="s">
        <v>367</v>
      </c>
      <c r="S33" s="2"/>
      <c r="T33" s="2"/>
      <c r="U33" s="2"/>
      <c r="V33" s="2"/>
      <c r="Y33" s="2"/>
      <c r="Z33" s="39" t="s">
        <v>368</v>
      </c>
      <c r="AA33" s="2"/>
      <c r="AB33" s="2"/>
      <c r="AC33" s="2"/>
      <c r="AD33" s="2" t="s">
        <v>358</v>
      </c>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39"/>
      <c r="BE33" s="2" t="s">
        <v>65</v>
      </c>
      <c r="BF33" s="2"/>
      <c r="BG33" s="2"/>
      <c r="BH33" s="2"/>
      <c r="BI33" s="2"/>
      <c r="BJ33" s="2"/>
      <c r="BK33" s="2"/>
      <c r="BL33" s="2"/>
      <c r="BM33" s="2"/>
      <c r="BN33" s="2"/>
      <c r="BO33" s="2"/>
      <c r="BP33" s="2"/>
      <c r="BQ33" s="2"/>
      <c r="BR33" s="2"/>
      <c r="BS33" s="2"/>
      <c r="BT33" s="2"/>
      <c r="BU33" s="2"/>
      <c r="BV33" s="2"/>
      <c r="BW33" s="2"/>
      <c r="BX33" s="2"/>
      <c r="BY33" s="2"/>
      <c r="BZ33" s="2"/>
      <c r="CA33" s="2"/>
      <c r="CB33" s="2"/>
      <c r="CC33" s="2"/>
      <c r="CD33" s="2"/>
    </row>
    <row r="34" ht="15.75" customHeight="1">
      <c r="A34" s="2"/>
      <c r="B34" s="2"/>
      <c r="C34" s="2"/>
      <c r="D34" s="2"/>
      <c r="E34" s="2"/>
      <c r="F34" s="2"/>
      <c r="G34" s="2"/>
      <c r="H34" s="2"/>
      <c r="I34" s="2"/>
      <c r="J34" s="8"/>
      <c r="K34" s="7" t="s">
        <v>157</v>
      </c>
      <c r="L34" s="73" t="s">
        <v>100</v>
      </c>
      <c r="M34" s="24" t="s">
        <v>45</v>
      </c>
      <c r="N34" s="25" t="s">
        <v>46</v>
      </c>
      <c r="O34" s="2"/>
      <c r="P34" s="39" t="s">
        <v>369</v>
      </c>
      <c r="Q34" s="2"/>
      <c r="R34" s="50" t="s">
        <v>370</v>
      </c>
      <c r="S34" s="2"/>
      <c r="T34" s="2"/>
      <c r="U34" s="2"/>
      <c r="V34" s="2"/>
      <c r="Y34" s="2"/>
      <c r="Z34" s="39" t="s">
        <v>371</v>
      </c>
      <c r="AA34" s="2"/>
      <c r="AB34" s="2"/>
      <c r="AC34" s="2"/>
      <c r="AD34" s="2" t="s">
        <v>372</v>
      </c>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39"/>
      <c r="BE34" s="2" t="s">
        <v>65</v>
      </c>
      <c r="BF34" s="2"/>
      <c r="BG34" s="2"/>
      <c r="BH34" s="2"/>
      <c r="BI34" s="2"/>
      <c r="BJ34" s="2"/>
      <c r="BK34" s="2"/>
      <c r="BL34" s="2"/>
      <c r="BM34" s="2"/>
      <c r="BN34" s="2"/>
      <c r="BO34" s="2"/>
      <c r="BP34" s="2"/>
      <c r="BQ34" s="2"/>
      <c r="BR34" s="2"/>
      <c r="BS34" s="2"/>
      <c r="BT34" s="2"/>
      <c r="BU34" s="2"/>
      <c r="BV34" s="2"/>
      <c r="BW34" s="2"/>
      <c r="BX34" s="2"/>
      <c r="BY34" s="2"/>
      <c r="BZ34" s="2"/>
      <c r="CA34" s="2"/>
      <c r="CB34" s="2"/>
      <c r="CC34" s="2"/>
      <c r="CD34" s="2"/>
    </row>
    <row r="35" ht="15.75" customHeight="1">
      <c r="A35" s="2"/>
      <c r="B35" s="2"/>
      <c r="C35" s="2"/>
      <c r="D35" s="2"/>
      <c r="E35" s="2"/>
      <c r="F35" s="2"/>
      <c r="G35" s="2"/>
      <c r="H35" s="2"/>
      <c r="I35" s="2"/>
      <c r="J35" s="104"/>
      <c r="K35" s="7" t="s">
        <v>174</v>
      </c>
      <c r="L35" s="73" t="s">
        <v>100</v>
      </c>
      <c r="M35" s="73" t="s">
        <v>100</v>
      </c>
      <c r="N35" s="24" t="s">
        <v>45</v>
      </c>
      <c r="O35" s="2"/>
      <c r="P35" s="39" t="s">
        <v>373</v>
      </c>
      <c r="Q35" s="2"/>
      <c r="R35" s="50" t="s">
        <v>374</v>
      </c>
      <c r="S35" s="2"/>
      <c r="T35" s="2"/>
      <c r="U35" s="2"/>
      <c r="V35" s="2"/>
      <c r="Y35" s="2"/>
      <c r="Z35" s="39" t="s">
        <v>375</v>
      </c>
      <c r="AA35" s="2"/>
      <c r="AB35" s="2"/>
      <c r="AC35" s="2"/>
      <c r="AD35" s="2" t="s">
        <v>222</v>
      </c>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39"/>
      <c r="BE35" s="2" t="s">
        <v>65</v>
      </c>
      <c r="BF35" s="2"/>
      <c r="BG35" s="2"/>
      <c r="BH35" s="2"/>
      <c r="BI35" s="2"/>
      <c r="BJ35" s="2"/>
      <c r="BK35" s="2"/>
      <c r="BL35" s="2"/>
      <c r="BM35" s="2"/>
      <c r="BN35" s="2"/>
      <c r="BO35" s="2"/>
      <c r="BP35" s="2"/>
      <c r="BQ35" s="2"/>
      <c r="BR35" s="2"/>
      <c r="BS35" s="2"/>
      <c r="BT35" s="2"/>
      <c r="BU35" s="2"/>
      <c r="BV35" s="2"/>
      <c r="BW35" s="2"/>
      <c r="BX35" s="2"/>
      <c r="BY35" s="2"/>
      <c r="BZ35" s="2"/>
      <c r="CA35" s="2"/>
      <c r="CB35" s="2"/>
      <c r="CC35" s="2"/>
      <c r="CD35" s="2"/>
    </row>
    <row r="36" ht="15.75" customHeight="1">
      <c r="A36" s="2"/>
      <c r="B36" s="2"/>
      <c r="C36" s="2"/>
      <c r="D36" s="2"/>
      <c r="E36" s="2"/>
      <c r="F36" s="2"/>
      <c r="G36" s="2"/>
      <c r="H36" s="2"/>
      <c r="I36" s="2"/>
      <c r="J36" s="2"/>
      <c r="K36" s="2"/>
      <c r="L36" s="2"/>
      <c r="M36" s="2"/>
      <c r="N36" s="2"/>
      <c r="O36" s="2"/>
      <c r="P36" s="39" t="s">
        <v>376</v>
      </c>
      <c r="Q36" s="2"/>
      <c r="R36" s="50" t="s">
        <v>377</v>
      </c>
      <c r="S36" s="2"/>
      <c r="T36" s="2"/>
      <c r="U36" s="2"/>
      <c r="V36" s="2"/>
      <c r="Y36" s="2"/>
      <c r="Z36" s="39" t="s">
        <v>378</v>
      </c>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39"/>
      <c r="BE36" s="2" t="s">
        <v>65</v>
      </c>
      <c r="BF36" s="2"/>
      <c r="BG36" s="2"/>
      <c r="BH36" s="2"/>
      <c r="BI36" s="2"/>
      <c r="BJ36" s="2"/>
      <c r="BK36" s="2"/>
      <c r="BL36" s="2"/>
      <c r="BM36" s="2"/>
      <c r="BN36" s="2"/>
      <c r="BO36" s="2"/>
      <c r="BP36" s="2"/>
      <c r="BQ36" s="2"/>
      <c r="BR36" s="2"/>
      <c r="BS36" s="2"/>
      <c r="BT36" s="2"/>
      <c r="BU36" s="2"/>
      <c r="BV36" s="2"/>
      <c r="BW36" s="2"/>
      <c r="BX36" s="2"/>
      <c r="BY36" s="2"/>
      <c r="BZ36" s="2"/>
      <c r="CA36" s="2"/>
      <c r="CB36" s="2"/>
      <c r="CC36" s="2"/>
      <c r="CD36" s="2"/>
    </row>
    <row r="37" ht="15.75" customHeight="1">
      <c r="A37" s="2"/>
      <c r="B37" s="2"/>
      <c r="C37" s="2"/>
      <c r="D37" s="2"/>
      <c r="E37" s="2"/>
      <c r="F37" s="2"/>
      <c r="G37" s="2"/>
      <c r="H37" s="2"/>
      <c r="I37" s="2"/>
      <c r="J37" s="148" t="s">
        <v>379</v>
      </c>
      <c r="K37" s="149" t="s">
        <v>380</v>
      </c>
      <c r="L37" s="5"/>
      <c r="M37" s="5"/>
      <c r="N37" s="6"/>
      <c r="O37" s="2"/>
      <c r="P37" s="39" t="s">
        <v>381</v>
      </c>
      <c r="Q37" s="2"/>
      <c r="R37" s="50" t="s">
        <v>382</v>
      </c>
      <c r="S37" s="2"/>
      <c r="T37" s="2"/>
      <c r="U37" s="2"/>
      <c r="V37" s="2"/>
      <c r="Y37" s="2"/>
      <c r="Z37" s="39" t="s">
        <v>383</v>
      </c>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39"/>
      <c r="BE37" s="2" t="s">
        <v>65</v>
      </c>
      <c r="BF37" s="2"/>
      <c r="BG37" s="2"/>
      <c r="BH37" s="2"/>
      <c r="BI37" s="2"/>
      <c r="BJ37" s="2"/>
      <c r="BK37" s="2"/>
      <c r="BL37" s="2"/>
      <c r="BM37" s="2"/>
      <c r="BN37" s="2"/>
      <c r="BO37" s="2"/>
      <c r="BP37" s="2"/>
      <c r="BQ37" s="2"/>
      <c r="BR37" s="2"/>
      <c r="BS37" s="2"/>
      <c r="BT37" s="2"/>
      <c r="BU37" s="2"/>
      <c r="BV37" s="2"/>
      <c r="BW37" s="2"/>
      <c r="BX37" s="2"/>
      <c r="BY37" s="2"/>
      <c r="BZ37" s="2"/>
      <c r="CA37" s="2"/>
      <c r="CB37" s="2"/>
      <c r="CC37" s="2"/>
      <c r="CD37" s="2"/>
    </row>
    <row r="38" ht="15.75" customHeight="1">
      <c r="A38" s="2"/>
      <c r="B38" s="2"/>
      <c r="C38" s="2"/>
      <c r="D38" s="2"/>
      <c r="E38" s="2"/>
      <c r="F38" s="2"/>
      <c r="G38" s="2"/>
      <c r="H38" s="2"/>
      <c r="I38" s="2"/>
      <c r="J38" s="8"/>
      <c r="K38" s="7" t="s">
        <v>4</v>
      </c>
      <c r="L38" s="7" t="s">
        <v>5</v>
      </c>
      <c r="M38" s="7" t="s">
        <v>6</v>
      </c>
      <c r="N38" s="7" t="s">
        <v>7</v>
      </c>
      <c r="O38" s="2"/>
      <c r="P38" s="39" t="s">
        <v>384</v>
      </c>
      <c r="Q38" s="2"/>
      <c r="R38" s="50" t="s">
        <v>385</v>
      </c>
      <c r="S38" s="2"/>
      <c r="T38" s="2"/>
      <c r="U38" s="2"/>
      <c r="V38" s="2"/>
      <c r="Y38" s="2"/>
      <c r="Z38" s="39" t="s">
        <v>386</v>
      </c>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39"/>
      <c r="BE38" s="2" t="s">
        <v>65</v>
      </c>
      <c r="BF38" s="2"/>
      <c r="BG38" s="2"/>
      <c r="BH38" s="2"/>
      <c r="BI38" s="2"/>
      <c r="BJ38" s="2"/>
      <c r="BK38" s="2"/>
      <c r="BL38" s="2"/>
      <c r="BM38" s="2"/>
      <c r="BN38" s="2"/>
      <c r="BO38" s="2"/>
      <c r="BP38" s="2"/>
      <c r="BQ38" s="2"/>
      <c r="BR38" s="2"/>
      <c r="BS38" s="2"/>
      <c r="BT38" s="2"/>
      <c r="BU38" s="2"/>
      <c r="BV38" s="2"/>
      <c r="BW38" s="2"/>
      <c r="BX38" s="2"/>
      <c r="BY38" s="2"/>
      <c r="BZ38" s="2"/>
      <c r="CA38" s="2"/>
      <c r="CB38" s="2"/>
      <c r="CC38" s="2"/>
      <c r="CD38" s="2"/>
    </row>
    <row r="39" ht="15.75" customHeight="1">
      <c r="A39" s="2"/>
      <c r="B39" s="2"/>
      <c r="C39" s="2"/>
      <c r="D39" s="2"/>
      <c r="E39" s="2"/>
      <c r="F39" s="2"/>
      <c r="G39" s="2"/>
      <c r="H39" s="2"/>
      <c r="I39" s="2"/>
      <c r="J39" s="8"/>
      <c r="K39" s="7" t="s">
        <v>44</v>
      </c>
      <c r="L39" s="24" t="s">
        <v>45</v>
      </c>
      <c r="M39" s="24" t="s">
        <v>45</v>
      </c>
      <c r="N39" s="25" t="s">
        <v>46</v>
      </c>
      <c r="O39" s="2"/>
      <c r="P39" s="39" t="s">
        <v>387</v>
      </c>
      <c r="Q39" s="2"/>
      <c r="R39" s="50" t="s">
        <v>388</v>
      </c>
      <c r="S39" s="2"/>
      <c r="T39" s="2"/>
      <c r="U39" s="2"/>
      <c r="V39" s="2"/>
      <c r="Y39" s="2"/>
      <c r="Z39" s="39" t="s">
        <v>361</v>
      </c>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39"/>
      <c r="BE39" s="2" t="s">
        <v>65</v>
      </c>
      <c r="BF39" s="2"/>
      <c r="BG39" s="2"/>
      <c r="BH39" s="2"/>
      <c r="BI39" s="2"/>
      <c r="BJ39" s="2"/>
      <c r="BK39" s="2"/>
      <c r="BL39" s="2"/>
      <c r="BM39" s="2"/>
      <c r="BN39" s="2"/>
      <c r="BO39" s="2"/>
      <c r="BP39" s="2"/>
      <c r="BQ39" s="2"/>
      <c r="BR39" s="2"/>
      <c r="BS39" s="2"/>
      <c r="BT39" s="2"/>
      <c r="BU39" s="2"/>
      <c r="BV39" s="2"/>
      <c r="BW39" s="2"/>
      <c r="BX39" s="2"/>
      <c r="BY39" s="2"/>
      <c r="BZ39" s="2"/>
      <c r="CA39" s="2"/>
      <c r="CB39" s="2"/>
      <c r="CC39" s="2"/>
      <c r="CD39" s="2"/>
    </row>
    <row r="40" ht="15.75" customHeight="1">
      <c r="A40" s="2"/>
      <c r="B40" s="2"/>
      <c r="C40" s="2"/>
      <c r="D40" s="2"/>
      <c r="E40" s="2"/>
      <c r="F40" s="2"/>
      <c r="G40" s="2"/>
      <c r="H40" s="2"/>
      <c r="I40" s="2"/>
      <c r="J40" s="8"/>
      <c r="K40" s="7" t="s">
        <v>74</v>
      </c>
      <c r="L40" s="24" t="s">
        <v>45</v>
      </c>
      <c r="M40" s="24" t="s">
        <v>45</v>
      </c>
      <c r="N40" s="25" t="s">
        <v>46</v>
      </c>
      <c r="O40" s="2"/>
      <c r="P40" s="39" t="s">
        <v>389</v>
      </c>
      <c r="Q40" s="2"/>
      <c r="R40" s="50" t="s">
        <v>390</v>
      </c>
      <c r="S40" s="2"/>
      <c r="T40" s="2"/>
      <c r="U40" s="2"/>
      <c r="V40" s="2"/>
      <c r="Y40" s="2"/>
      <c r="Z40" s="39" t="s">
        <v>391</v>
      </c>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39"/>
      <c r="BE40" s="2" t="s">
        <v>65</v>
      </c>
      <c r="BF40" s="2"/>
      <c r="BG40" s="2"/>
      <c r="BH40" s="2"/>
      <c r="BI40" s="2"/>
      <c r="BJ40" s="2"/>
      <c r="BK40" s="2"/>
      <c r="BL40" s="2"/>
      <c r="BM40" s="2"/>
      <c r="BN40" s="2"/>
      <c r="BO40" s="2"/>
      <c r="BP40" s="2"/>
      <c r="BQ40" s="2"/>
      <c r="BR40" s="2"/>
      <c r="BS40" s="2"/>
      <c r="BT40" s="2"/>
      <c r="BU40" s="2"/>
      <c r="BV40" s="2"/>
      <c r="BW40" s="2"/>
      <c r="BX40" s="2"/>
      <c r="BY40" s="2"/>
      <c r="BZ40" s="2"/>
      <c r="CA40" s="2"/>
      <c r="CB40" s="2"/>
      <c r="CC40" s="2"/>
      <c r="CD40" s="2"/>
    </row>
    <row r="41" ht="15.75" customHeight="1">
      <c r="A41" s="2"/>
      <c r="B41" s="2"/>
      <c r="C41" s="2"/>
      <c r="D41" s="2"/>
      <c r="E41" s="2"/>
      <c r="F41" s="2"/>
      <c r="G41" s="2"/>
      <c r="H41" s="2"/>
      <c r="I41" s="2"/>
      <c r="J41" s="8"/>
      <c r="K41" s="7" t="s">
        <v>99</v>
      </c>
      <c r="L41" s="73" t="s">
        <v>100</v>
      </c>
      <c r="M41" s="24" t="s">
        <v>45</v>
      </c>
      <c r="N41" s="25" t="s">
        <v>46</v>
      </c>
      <c r="O41" s="2"/>
      <c r="P41" s="39" t="s">
        <v>392</v>
      </c>
      <c r="Q41" s="2"/>
      <c r="R41" s="50" t="s">
        <v>393</v>
      </c>
      <c r="S41" s="2"/>
      <c r="T41" s="2"/>
      <c r="U41" s="2"/>
      <c r="V41" s="2"/>
      <c r="Y41" s="2"/>
      <c r="Z41" s="39" t="s">
        <v>394</v>
      </c>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39"/>
      <c r="BE41" s="2" t="s">
        <v>65</v>
      </c>
      <c r="BF41" s="2"/>
      <c r="BG41" s="2"/>
      <c r="BH41" s="2"/>
      <c r="BI41" s="2"/>
      <c r="BJ41" s="2"/>
      <c r="BK41" s="2"/>
      <c r="BL41" s="2"/>
      <c r="BM41" s="2"/>
      <c r="BN41" s="2"/>
      <c r="BO41" s="2"/>
      <c r="BP41" s="2"/>
      <c r="BQ41" s="2"/>
      <c r="BR41" s="2"/>
      <c r="BS41" s="2"/>
      <c r="BT41" s="2"/>
      <c r="BU41" s="2"/>
      <c r="BV41" s="2"/>
      <c r="BW41" s="2"/>
      <c r="BX41" s="2"/>
      <c r="BY41" s="2"/>
      <c r="BZ41" s="2"/>
      <c r="CA41" s="2"/>
      <c r="CB41" s="2"/>
      <c r="CC41" s="2"/>
      <c r="CD41" s="2"/>
    </row>
    <row r="42" ht="15.0" customHeight="1">
      <c r="A42" s="2"/>
      <c r="B42" s="2"/>
      <c r="C42" s="2"/>
      <c r="D42" s="2"/>
      <c r="E42" s="2"/>
      <c r="F42" s="2"/>
      <c r="G42" s="2"/>
      <c r="H42" s="2"/>
      <c r="I42" s="2"/>
      <c r="J42" s="8"/>
      <c r="K42" s="7" t="s">
        <v>133</v>
      </c>
      <c r="L42" s="73" t="s">
        <v>100</v>
      </c>
      <c r="M42" s="24" t="s">
        <v>45</v>
      </c>
      <c r="N42" s="25" t="s">
        <v>46</v>
      </c>
      <c r="O42" s="2"/>
      <c r="P42" s="39" t="s">
        <v>395</v>
      </c>
      <c r="Q42" s="2"/>
      <c r="R42" s="50" t="s">
        <v>396</v>
      </c>
      <c r="S42" s="2"/>
      <c r="T42" s="2"/>
      <c r="U42" s="2"/>
      <c r="V42" s="2"/>
      <c r="Y42" s="2"/>
      <c r="Z42" s="39" t="s">
        <v>397</v>
      </c>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39"/>
      <c r="BE42" s="2" t="s">
        <v>65</v>
      </c>
      <c r="BF42" s="2"/>
      <c r="BG42" s="2"/>
      <c r="BH42" s="2"/>
      <c r="BI42" s="2"/>
      <c r="BJ42" s="2"/>
      <c r="BK42" s="2"/>
      <c r="BL42" s="2"/>
      <c r="BM42" s="2"/>
      <c r="BN42" s="2"/>
      <c r="BO42" s="2"/>
      <c r="BP42" s="2"/>
      <c r="BQ42" s="2"/>
      <c r="BR42" s="2"/>
      <c r="BS42" s="2"/>
      <c r="BT42" s="2"/>
      <c r="BU42" s="2"/>
      <c r="BV42" s="2"/>
      <c r="BW42" s="2"/>
      <c r="BX42" s="2"/>
      <c r="BY42" s="2"/>
      <c r="BZ42" s="2"/>
      <c r="CA42" s="2"/>
      <c r="CB42" s="2"/>
      <c r="CC42" s="2"/>
      <c r="CD42" s="2"/>
    </row>
    <row r="43" ht="15.75" customHeight="1">
      <c r="A43" s="2"/>
      <c r="B43" s="2"/>
      <c r="C43" s="2"/>
      <c r="D43" s="2"/>
      <c r="E43" s="2"/>
      <c r="F43" s="2"/>
      <c r="G43" s="2"/>
      <c r="H43" s="2"/>
      <c r="I43" s="2"/>
      <c r="J43" s="8"/>
      <c r="K43" s="7" t="s">
        <v>157</v>
      </c>
      <c r="L43" s="73" t="s">
        <v>100</v>
      </c>
      <c r="M43" s="24" t="s">
        <v>45</v>
      </c>
      <c r="N43" s="25" t="s">
        <v>46</v>
      </c>
      <c r="O43" s="2"/>
      <c r="P43" s="39" t="s">
        <v>398</v>
      </c>
      <c r="Q43" s="2"/>
      <c r="R43" s="50" t="s">
        <v>399</v>
      </c>
      <c r="S43" s="2"/>
      <c r="T43" s="2"/>
      <c r="U43" s="2"/>
      <c r="V43" s="2"/>
      <c r="Y43" s="2"/>
      <c r="Z43" s="39" t="s">
        <v>364</v>
      </c>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39"/>
      <c r="BE43" s="2" t="s">
        <v>65</v>
      </c>
      <c r="BF43" s="2"/>
      <c r="BG43" s="2"/>
      <c r="BH43" s="2"/>
      <c r="BI43" s="2"/>
      <c r="BJ43" s="2"/>
      <c r="BK43" s="2"/>
      <c r="BL43" s="2"/>
      <c r="BM43" s="2"/>
      <c r="BN43" s="2"/>
      <c r="BO43" s="2"/>
      <c r="BP43" s="2"/>
      <c r="BQ43" s="2"/>
      <c r="BR43" s="2"/>
      <c r="BS43" s="2"/>
      <c r="BT43" s="2"/>
      <c r="BU43" s="2"/>
      <c r="BV43" s="2"/>
      <c r="BW43" s="2"/>
      <c r="BX43" s="2"/>
      <c r="BY43" s="2"/>
      <c r="BZ43" s="2"/>
      <c r="CA43" s="2"/>
      <c r="CB43" s="2"/>
      <c r="CC43" s="2"/>
      <c r="CD43" s="2"/>
    </row>
    <row r="44" ht="15.75" customHeight="1">
      <c r="A44" s="2"/>
      <c r="B44" s="2"/>
      <c r="C44" s="2"/>
      <c r="D44" s="2"/>
      <c r="E44" s="2"/>
      <c r="F44" s="2"/>
      <c r="G44" s="2"/>
      <c r="H44" s="2"/>
      <c r="I44" s="2"/>
      <c r="J44" s="104"/>
      <c r="K44" s="7" t="s">
        <v>174</v>
      </c>
      <c r="L44" s="73" t="s">
        <v>100</v>
      </c>
      <c r="M44" s="73" t="s">
        <v>100</v>
      </c>
      <c r="N44" s="24" t="s">
        <v>45</v>
      </c>
      <c r="O44" s="2"/>
      <c r="P44" s="39" t="s">
        <v>400</v>
      </c>
      <c r="Q44" s="2"/>
      <c r="R44" s="50" t="s">
        <v>401</v>
      </c>
      <c r="S44" s="2"/>
      <c r="T44" s="2"/>
      <c r="U44" s="2"/>
      <c r="V44" s="2"/>
      <c r="Y44" s="2"/>
      <c r="Z44" s="39" t="s">
        <v>402</v>
      </c>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39"/>
      <c r="BE44" s="2" t="s">
        <v>65</v>
      </c>
      <c r="BF44" s="2"/>
      <c r="BG44" s="2"/>
      <c r="BH44" s="2"/>
      <c r="BI44" s="2"/>
      <c r="BJ44" s="2"/>
      <c r="BK44" s="2"/>
      <c r="BL44" s="2"/>
      <c r="BM44" s="2"/>
      <c r="BN44" s="2"/>
      <c r="BO44" s="2"/>
      <c r="BP44" s="2"/>
      <c r="BQ44" s="2"/>
      <c r="BR44" s="2"/>
      <c r="BS44" s="2"/>
      <c r="BT44" s="2"/>
      <c r="BU44" s="2"/>
      <c r="BV44" s="2"/>
      <c r="BW44" s="2"/>
      <c r="BX44" s="2"/>
      <c r="BY44" s="2"/>
      <c r="BZ44" s="2"/>
      <c r="CA44" s="2"/>
      <c r="CB44" s="2"/>
      <c r="CC44" s="2"/>
      <c r="CD44" s="2"/>
    </row>
    <row r="45" ht="15.75" customHeight="1">
      <c r="A45" s="2"/>
      <c r="B45" s="2"/>
      <c r="C45" s="2"/>
      <c r="D45" s="2"/>
      <c r="E45" s="2"/>
      <c r="F45" s="2"/>
      <c r="G45" s="2"/>
      <c r="H45" s="2"/>
      <c r="I45" s="2"/>
      <c r="J45" s="2"/>
      <c r="K45" s="2"/>
      <c r="L45" s="2"/>
      <c r="M45" s="2"/>
      <c r="N45" s="2"/>
      <c r="O45" s="2"/>
      <c r="P45" s="39" t="s">
        <v>403</v>
      </c>
      <c r="Q45" s="2"/>
      <c r="R45" s="150" t="s">
        <v>400</v>
      </c>
      <c r="S45" s="2"/>
      <c r="T45" s="2"/>
      <c r="U45" s="2"/>
      <c r="V45" s="2"/>
      <c r="Y45" s="2"/>
      <c r="Z45" s="39" t="s">
        <v>171</v>
      </c>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39"/>
      <c r="BE45" s="2" t="s">
        <v>65</v>
      </c>
      <c r="BF45" s="2"/>
      <c r="BG45" s="2"/>
      <c r="BH45" s="2"/>
      <c r="BI45" s="2"/>
      <c r="BJ45" s="2"/>
      <c r="BK45" s="2"/>
      <c r="BL45" s="2"/>
      <c r="BM45" s="2"/>
      <c r="BN45" s="2"/>
      <c r="BO45" s="2"/>
      <c r="BP45" s="2"/>
      <c r="BQ45" s="2"/>
      <c r="BR45" s="2"/>
      <c r="BS45" s="2"/>
      <c r="BT45" s="2"/>
      <c r="BU45" s="2"/>
      <c r="BV45" s="2"/>
      <c r="BW45" s="2"/>
      <c r="BX45" s="2"/>
      <c r="BY45" s="2"/>
      <c r="BZ45" s="2"/>
      <c r="CA45" s="2"/>
      <c r="CB45" s="2"/>
      <c r="CC45" s="2"/>
      <c r="CD45" s="2"/>
    </row>
    <row r="46" ht="15.75" customHeight="1">
      <c r="A46" s="2"/>
      <c r="B46" s="2"/>
      <c r="C46" s="2"/>
      <c r="D46" s="2"/>
      <c r="E46" s="2"/>
      <c r="F46" s="2"/>
      <c r="G46" s="2"/>
      <c r="H46" s="2"/>
      <c r="I46" s="2"/>
      <c r="J46" s="151" t="s">
        <v>404</v>
      </c>
      <c r="K46" s="152" t="s">
        <v>405</v>
      </c>
      <c r="L46" s="5"/>
      <c r="M46" s="5"/>
      <c r="N46" s="6"/>
      <c r="O46" s="2"/>
      <c r="P46" s="39"/>
      <c r="Q46" s="2"/>
      <c r="R46" s="150" t="s">
        <v>403</v>
      </c>
      <c r="S46" s="2"/>
      <c r="T46" s="2"/>
      <c r="U46" s="2"/>
      <c r="V46" s="2"/>
      <c r="Y46" s="2"/>
      <c r="Z46" s="39" t="s">
        <v>406</v>
      </c>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39"/>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row>
    <row r="47" ht="15.75" customHeight="1">
      <c r="A47" s="2"/>
      <c r="B47" s="2"/>
      <c r="C47" s="2"/>
      <c r="D47" s="2"/>
      <c r="E47" s="2"/>
      <c r="F47" s="2"/>
      <c r="G47" s="2"/>
      <c r="H47" s="2"/>
      <c r="I47" s="2"/>
      <c r="J47" s="8"/>
      <c r="K47" s="7" t="s">
        <v>4</v>
      </c>
      <c r="L47" s="7" t="s">
        <v>5</v>
      </c>
      <c r="M47" s="7" t="s">
        <v>6</v>
      </c>
      <c r="N47" s="7" t="s">
        <v>7</v>
      </c>
      <c r="O47" s="2"/>
      <c r="P47" s="39"/>
      <c r="Q47" s="2"/>
      <c r="R47" s="150"/>
      <c r="S47" s="2"/>
      <c r="T47" s="2"/>
      <c r="U47" s="2"/>
      <c r="V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39"/>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row>
    <row r="48" ht="15.75" customHeight="1">
      <c r="A48" s="2"/>
      <c r="B48" s="2"/>
      <c r="C48" s="2"/>
      <c r="D48" s="2"/>
      <c r="E48" s="2"/>
      <c r="F48" s="2"/>
      <c r="G48" s="2"/>
      <c r="H48" s="2"/>
      <c r="I48" s="2"/>
      <c r="J48" s="8"/>
      <c r="K48" s="7" t="s">
        <v>44</v>
      </c>
      <c r="L48" s="24" t="s">
        <v>45</v>
      </c>
      <c r="M48" s="24" t="s">
        <v>45</v>
      </c>
      <c r="N48" s="25" t="s">
        <v>46</v>
      </c>
      <c r="O48" s="2"/>
      <c r="P48" s="144"/>
      <c r="Q48" s="2"/>
      <c r="R48" s="143"/>
      <c r="S48" s="2"/>
      <c r="T48" s="2"/>
      <c r="U48" s="2"/>
      <c r="V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39"/>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row>
    <row r="49" ht="15.75" customHeight="1">
      <c r="A49" s="2"/>
      <c r="B49" s="2"/>
      <c r="C49" s="2"/>
      <c r="D49" s="2"/>
      <c r="E49" s="2"/>
      <c r="F49" s="2"/>
      <c r="G49" s="2"/>
      <c r="H49" s="2"/>
      <c r="I49" s="2"/>
      <c r="J49" s="8"/>
      <c r="K49" s="7" t="s">
        <v>74</v>
      </c>
      <c r="L49" s="24" t="s">
        <v>45</v>
      </c>
      <c r="M49" s="24" t="s">
        <v>45</v>
      </c>
      <c r="N49" s="25" t="s">
        <v>46</v>
      </c>
      <c r="O49" s="2"/>
      <c r="P49" s="39"/>
      <c r="Q49" s="2"/>
      <c r="R49" s="2"/>
      <c r="S49" s="2"/>
      <c r="T49" s="2"/>
      <c r="U49" s="2"/>
      <c r="V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39"/>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row>
    <row r="50" ht="15.75" customHeight="1">
      <c r="A50" s="2"/>
      <c r="B50" s="2"/>
      <c r="C50" s="2"/>
      <c r="D50" s="2"/>
      <c r="E50" s="2"/>
      <c r="F50" s="2"/>
      <c r="G50" s="2"/>
      <c r="H50" s="2"/>
      <c r="I50" s="2"/>
      <c r="J50" s="8"/>
      <c r="K50" s="7" t="s">
        <v>99</v>
      </c>
      <c r="L50" s="73" t="s">
        <v>100</v>
      </c>
      <c r="M50" s="24" t="s">
        <v>45</v>
      </c>
      <c r="N50" s="25" t="s">
        <v>46</v>
      </c>
      <c r="O50" s="2"/>
      <c r="P50" s="2"/>
      <c r="Q50" s="2"/>
      <c r="R50" s="2"/>
      <c r="S50" s="2"/>
      <c r="T50" s="2"/>
      <c r="U50" s="2"/>
      <c r="V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39"/>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row>
    <row r="51" ht="15.75" customHeight="1">
      <c r="A51" s="2"/>
      <c r="B51" s="2"/>
      <c r="C51" s="2"/>
      <c r="D51" s="2"/>
      <c r="E51" s="2"/>
      <c r="F51" s="2"/>
      <c r="G51" s="2"/>
      <c r="H51" s="2"/>
      <c r="I51" s="2"/>
      <c r="J51" s="8"/>
      <c r="K51" s="7" t="s">
        <v>133</v>
      </c>
      <c r="L51" s="73" t="s">
        <v>100</v>
      </c>
      <c r="M51" s="24" t="s">
        <v>45</v>
      </c>
      <c r="N51" s="25" t="s">
        <v>46</v>
      </c>
      <c r="O51" s="2"/>
      <c r="P51" s="2"/>
      <c r="Q51" s="2"/>
      <c r="R51" s="2"/>
      <c r="S51" s="2"/>
      <c r="T51" s="2"/>
      <c r="U51" s="2"/>
      <c r="V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39"/>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row>
    <row r="52" ht="15.75" customHeight="1">
      <c r="A52" s="2"/>
      <c r="B52" s="2"/>
      <c r="C52" s="2"/>
      <c r="D52" s="2"/>
      <c r="E52" s="2"/>
      <c r="F52" s="2"/>
      <c r="G52" s="2"/>
      <c r="H52" s="2"/>
      <c r="I52" s="2"/>
      <c r="J52" s="8"/>
      <c r="K52" s="7" t="s">
        <v>157</v>
      </c>
      <c r="L52" s="73" t="s">
        <v>100</v>
      </c>
      <c r="M52" s="24" t="s">
        <v>45</v>
      </c>
      <c r="N52" s="25" t="s">
        <v>46</v>
      </c>
      <c r="O52" s="2"/>
      <c r="P52" s="2"/>
      <c r="Q52" s="2"/>
      <c r="R52" s="2"/>
      <c r="S52" s="2"/>
      <c r="T52" s="2"/>
      <c r="U52" s="2"/>
      <c r="V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39"/>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row>
    <row r="53" ht="15.75" customHeight="1">
      <c r="A53" s="2"/>
      <c r="B53" s="2"/>
      <c r="C53" s="2"/>
      <c r="D53" s="2"/>
      <c r="E53" s="2"/>
      <c r="F53" s="2"/>
      <c r="G53" s="2"/>
      <c r="H53" s="2"/>
      <c r="I53" s="2"/>
      <c r="J53" s="104"/>
      <c r="K53" s="7" t="s">
        <v>174</v>
      </c>
      <c r="L53" s="73" t="s">
        <v>100</v>
      </c>
      <c r="M53" s="73" t="s">
        <v>100</v>
      </c>
      <c r="N53" s="24" t="s">
        <v>45</v>
      </c>
      <c r="O53" s="2"/>
      <c r="P53" s="2"/>
      <c r="Q53" s="2"/>
      <c r="R53" s="2"/>
      <c r="S53" s="2"/>
      <c r="T53" s="2"/>
      <c r="U53" s="2"/>
      <c r="V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39"/>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row>
    <row r="54" ht="15.75" customHeight="1">
      <c r="A54" s="2"/>
      <c r="B54" s="2"/>
      <c r="C54" s="2"/>
      <c r="D54" s="2"/>
      <c r="E54" s="2"/>
      <c r="F54" s="2"/>
      <c r="G54" s="2"/>
      <c r="H54" s="2"/>
      <c r="I54" s="2"/>
      <c r="J54" s="2"/>
      <c r="K54" s="2"/>
      <c r="L54" s="2"/>
      <c r="M54" s="2"/>
      <c r="N54" s="2"/>
      <c r="O54" s="2"/>
      <c r="P54" s="2"/>
      <c r="Q54" s="2"/>
      <c r="R54" s="2"/>
      <c r="S54" s="2"/>
      <c r="T54" s="2"/>
      <c r="U54" s="2"/>
      <c r="V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39"/>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row>
    <row r="55" ht="15.75" customHeight="1">
      <c r="A55" s="2"/>
      <c r="B55" s="2"/>
      <c r="C55" s="2"/>
      <c r="D55" s="2"/>
      <c r="E55" s="2"/>
      <c r="F55" s="2"/>
      <c r="G55" s="2"/>
      <c r="H55" s="2"/>
      <c r="I55" s="2"/>
      <c r="J55" s="153" t="s">
        <v>407</v>
      </c>
      <c r="K55" s="154" t="s">
        <v>408</v>
      </c>
      <c r="L55" s="5"/>
      <c r="M55" s="5"/>
      <c r="N55" s="6"/>
      <c r="O55" s="2"/>
      <c r="P55" s="2"/>
      <c r="Q55" s="2"/>
      <c r="R55" s="2"/>
      <c r="S55" s="2"/>
      <c r="T55" s="2"/>
      <c r="U55" s="2"/>
      <c r="V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39"/>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row>
    <row r="56" ht="15.75" customHeight="1">
      <c r="A56" s="2"/>
      <c r="B56" s="2"/>
      <c r="C56" s="2"/>
      <c r="D56" s="2"/>
      <c r="E56" s="2"/>
      <c r="F56" s="2"/>
      <c r="G56" s="2"/>
      <c r="H56" s="2"/>
      <c r="I56" s="2"/>
      <c r="J56" s="8"/>
      <c r="K56" s="7" t="s">
        <v>4</v>
      </c>
      <c r="L56" s="7" t="s">
        <v>5</v>
      </c>
      <c r="M56" s="7" t="s">
        <v>6</v>
      </c>
      <c r="N56" s="7" t="s">
        <v>7</v>
      </c>
      <c r="O56" s="2"/>
      <c r="P56" s="2"/>
      <c r="Q56" s="2"/>
      <c r="R56" s="2"/>
      <c r="S56" s="2"/>
      <c r="T56" s="2"/>
      <c r="U56" s="2"/>
      <c r="V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39"/>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row>
    <row r="57" ht="15.75" customHeight="1">
      <c r="A57" s="2"/>
      <c r="B57" s="2"/>
      <c r="C57" s="2"/>
      <c r="D57" s="2"/>
      <c r="E57" s="2"/>
      <c r="F57" s="2"/>
      <c r="G57" s="2"/>
      <c r="H57" s="2"/>
      <c r="I57" s="2"/>
      <c r="J57" s="8"/>
      <c r="K57" s="7" t="s">
        <v>44</v>
      </c>
      <c r="L57" s="24" t="s">
        <v>45</v>
      </c>
      <c r="M57" s="24" t="s">
        <v>45</v>
      </c>
      <c r="N57" s="25" t="s">
        <v>46</v>
      </c>
      <c r="O57" s="2"/>
      <c r="P57" s="2"/>
      <c r="Q57" s="2"/>
      <c r="R57" s="2"/>
      <c r="S57" s="2"/>
      <c r="T57" s="2"/>
      <c r="U57" s="2"/>
      <c r="V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39"/>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row>
    <row r="58" ht="15.75" customHeight="1">
      <c r="A58" s="2"/>
      <c r="B58" s="2"/>
      <c r="C58" s="2"/>
      <c r="D58" s="2"/>
      <c r="E58" s="2"/>
      <c r="F58" s="2"/>
      <c r="G58" s="2"/>
      <c r="H58" s="2"/>
      <c r="I58" s="2"/>
      <c r="J58" s="8"/>
      <c r="K58" s="7" t="s">
        <v>74</v>
      </c>
      <c r="L58" s="24" t="s">
        <v>45</v>
      </c>
      <c r="M58" s="24" t="s">
        <v>45</v>
      </c>
      <c r="N58" s="25" t="s">
        <v>46</v>
      </c>
      <c r="O58" s="2"/>
      <c r="P58" s="2"/>
      <c r="Q58" s="2"/>
      <c r="R58" s="2"/>
      <c r="S58" s="2"/>
      <c r="T58" s="2"/>
      <c r="U58" s="2"/>
      <c r="V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144"/>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row>
    <row r="59" ht="15.75" customHeight="1">
      <c r="A59" s="2"/>
      <c r="B59" s="2"/>
      <c r="C59" s="2"/>
      <c r="D59" s="2"/>
      <c r="E59" s="2"/>
      <c r="F59" s="2"/>
      <c r="G59" s="2"/>
      <c r="H59" s="2"/>
      <c r="I59" s="2"/>
      <c r="J59" s="8"/>
      <c r="K59" s="7" t="s">
        <v>99</v>
      </c>
      <c r="L59" s="73" t="s">
        <v>100</v>
      </c>
      <c r="M59" s="24" t="s">
        <v>45</v>
      </c>
      <c r="N59" s="25" t="s">
        <v>46</v>
      </c>
      <c r="O59" s="2"/>
      <c r="P59" s="2"/>
      <c r="Q59" s="2"/>
      <c r="R59" s="2"/>
      <c r="S59" s="2"/>
      <c r="T59" s="2"/>
      <c r="U59" s="2"/>
      <c r="V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row>
    <row r="60" ht="15.75" customHeight="1">
      <c r="A60" s="2"/>
      <c r="B60" s="2"/>
      <c r="C60" s="2"/>
      <c r="D60" s="2"/>
      <c r="E60" s="2"/>
      <c r="F60" s="2"/>
      <c r="G60" s="2"/>
      <c r="H60" s="2"/>
      <c r="I60" s="2"/>
      <c r="J60" s="8"/>
      <c r="K60" s="7" t="s">
        <v>133</v>
      </c>
      <c r="L60" s="73" t="s">
        <v>100</v>
      </c>
      <c r="M60" s="24" t="s">
        <v>45</v>
      </c>
      <c r="N60" s="25" t="s">
        <v>46</v>
      </c>
      <c r="O60" s="2"/>
      <c r="P60" s="2"/>
      <c r="Q60" s="2"/>
      <c r="R60" s="2"/>
      <c r="S60" s="2"/>
      <c r="T60" s="2"/>
      <c r="U60" s="2"/>
      <c r="V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row>
    <row r="61" ht="15.75" customHeight="1">
      <c r="A61" s="2"/>
      <c r="B61" s="2"/>
      <c r="C61" s="2"/>
      <c r="D61" s="2"/>
      <c r="E61" s="2"/>
      <c r="F61" s="2"/>
      <c r="G61" s="2"/>
      <c r="H61" s="2"/>
      <c r="I61" s="2"/>
      <c r="J61" s="8"/>
      <c r="K61" s="7" t="s">
        <v>157</v>
      </c>
      <c r="L61" s="73" t="s">
        <v>100</v>
      </c>
      <c r="M61" s="24" t="s">
        <v>45</v>
      </c>
      <c r="N61" s="25" t="s">
        <v>46</v>
      </c>
      <c r="O61" s="2"/>
      <c r="P61" s="2"/>
      <c r="Q61" s="2"/>
      <c r="R61" s="2"/>
      <c r="S61" s="2"/>
      <c r="T61" s="2"/>
      <c r="U61" s="2"/>
      <c r="V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row>
    <row r="62" ht="15.75" customHeight="1">
      <c r="A62" s="2"/>
      <c r="B62" s="2"/>
      <c r="C62" s="2"/>
      <c r="D62" s="2"/>
      <c r="E62" s="2"/>
      <c r="F62" s="2"/>
      <c r="G62" s="2"/>
      <c r="H62" s="2"/>
      <c r="I62" s="2"/>
      <c r="J62" s="104"/>
      <c r="K62" s="7" t="s">
        <v>174</v>
      </c>
      <c r="L62" s="73" t="s">
        <v>100</v>
      </c>
      <c r="M62" s="73" t="s">
        <v>100</v>
      </c>
      <c r="N62" s="24" t="s">
        <v>45</v>
      </c>
      <c r="O62" s="2"/>
      <c r="P62" s="2"/>
      <c r="Q62" s="2"/>
      <c r="R62" s="2"/>
      <c r="S62" s="2"/>
      <c r="T62" s="2"/>
      <c r="U62" s="2"/>
      <c r="V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row>
    <row r="63" ht="15.75" customHeight="1">
      <c r="A63" s="2"/>
      <c r="B63" s="2"/>
      <c r="C63" s="2"/>
      <c r="D63" s="2"/>
      <c r="E63" s="2"/>
      <c r="F63" s="2"/>
      <c r="G63" s="2"/>
      <c r="H63" s="2"/>
      <c r="I63" s="2"/>
      <c r="J63" s="2"/>
      <c r="K63" s="2"/>
      <c r="L63" s="2"/>
      <c r="M63" s="2"/>
      <c r="N63" s="2"/>
      <c r="O63" s="2"/>
      <c r="P63" s="2"/>
      <c r="Q63" s="2"/>
      <c r="R63" s="2"/>
      <c r="S63" s="2"/>
      <c r="T63" s="2"/>
      <c r="U63" s="2"/>
      <c r="V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row>
    <row r="64" ht="15.75" customHeight="1">
      <c r="A64" s="2"/>
      <c r="B64" s="2"/>
      <c r="C64" s="2"/>
      <c r="D64" s="2"/>
      <c r="E64" s="2"/>
      <c r="F64" s="2"/>
      <c r="G64" s="2"/>
      <c r="H64" s="2"/>
      <c r="I64" s="2"/>
      <c r="J64" s="155" t="s">
        <v>409</v>
      </c>
      <c r="K64" s="156" t="s">
        <v>410</v>
      </c>
      <c r="L64" s="5"/>
      <c r="M64" s="5"/>
      <c r="N64" s="6"/>
      <c r="O64" s="2"/>
      <c r="P64" s="2"/>
      <c r="Q64" s="2"/>
      <c r="R64" s="2"/>
      <c r="S64" s="2"/>
      <c r="T64" s="2"/>
      <c r="U64" s="2"/>
      <c r="V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row>
    <row r="65" ht="15.75" customHeight="1">
      <c r="A65" s="2"/>
      <c r="B65" s="2"/>
      <c r="C65" s="2"/>
      <c r="D65" s="2"/>
      <c r="E65" s="2"/>
      <c r="F65" s="2"/>
      <c r="G65" s="2"/>
      <c r="H65" s="2"/>
      <c r="I65" s="2"/>
      <c r="J65" s="8"/>
      <c r="K65" s="7" t="s">
        <v>4</v>
      </c>
      <c r="L65" s="7" t="s">
        <v>5</v>
      </c>
      <c r="M65" s="7" t="s">
        <v>6</v>
      </c>
      <c r="N65" s="7" t="s">
        <v>7</v>
      </c>
      <c r="O65" s="2"/>
      <c r="P65" s="2"/>
      <c r="Q65" s="2"/>
      <c r="R65" s="2"/>
      <c r="S65" s="2"/>
      <c r="T65" s="2"/>
      <c r="U65" s="2"/>
      <c r="V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row>
    <row r="66" ht="15.75" customHeight="1">
      <c r="A66" s="2"/>
      <c r="B66" s="2"/>
      <c r="C66" s="2"/>
      <c r="D66" s="2"/>
      <c r="E66" s="2"/>
      <c r="F66" s="2"/>
      <c r="G66" s="2"/>
      <c r="H66" s="2"/>
      <c r="I66" s="2"/>
      <c r="J66" s="8"/>
      <c r="K66" s="7" t="s">
        <v>44</v>
      </c>
      <c r="L66" s="24" t="s">
        <v>45</v>
      </c>
      <c r="M66" s="24" t="s">
        <v>45</v>
      </c>
      <c r="N66" s="25" t="s">
        <v>46</v>
      </c>
      <c r="O66" s="2"/>
      <c r="P66" s="2"/>
      <c r="Q66" s="2"/>
      <c r="R66" s="2"/>
      <c r="S66" s="2"/>
      <c r="T66" s="2"/>
      <c r="U66" s="2"/>
      <c r="V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row>
    <row r="67" ht="15.75" customHeight="1">
      <c r="A67" s="2"/>
      <c r="B67" s="2"/>
      <c r="C67" s="2"/>
      <c r="D67" s="2"/>
      <c r="E67" s="2"/>
      <c r="F67" s="2"/>
      <c r="G67" s="2"/>
      <c r="H67" s="2"/>
      <c r="I67" s="2"/>
      <c r="J67" s="8"/>
      <c r="K67" s="7" t="s">
        <v>74</v>
      </c>
      <c r="L67" s="24" t="s">
        <v>45</v>
      </c>
      <c r="M67" s="24" t="s">
        <v>45</v>
      </c>
      <c r="N67" s="25" t="s">
        <v>46</v>
      </c>
      <c r="O67" s="2"/>
      <c r="P67" s="2"/>
      <c r="Q67" s="2"/>
      <c r="R67" s="2"/>
      <c r="S67" s="2"/>
      <c r="T67" s="2"/>
      <c r="U67" s="2"/>
      <c r="V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row>
    <row r="68" ht="15.75" customHeight="1">
      <c r="A68" s="2"/>
      <c r="B68" s="2"/>
      <c r="C68" s="2"/>
      <c r="D68" s="2"/>
      <c r="E68" s="2"/>
      <c r="F68" s="2"/>
      <c r="G68" s="2"/>
      <c r="H68" s="2"/>
      <c r="I68" s="2"/>
      <c r="J68" s="8"/>
      <c r="K68" s="7" t="s">
        <v>99</v>
      </c>
      <c r="L68" s="73" t="s">
        <v>100</v>
      </c>
      <c r="M68" s="24" t="s">
        <v>45</v>
      </c>
      <c r="N68" s="25" t="s">
        <v>46</v>
      </c>
      <c r="O68" s="2"/>
      <c r="P68" s="2"/>
      <c r="Q68" s="2"/>
      <c r="R68" s="2"/>
      <c r="S68" s="2"/>
      <c r="T68" s="2"/>
      <c r="U68" s="2"/>
      <c r="V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row>
    <row r="69" ht="15.75" customHeight="1">
      <c r="A69" s="2"/>
      <c r="B69" s="2"/>
      <c r="C69" s="2"/>
      <c r="D69" s="2"/>
      <c r="E69" s="2"/>
      <c r="F69" s="2"/>
      <c r="G69" s="2"/>
      <c r="H69" s="2"/>
      <c r="I69" s="2"/>
      <c r="J69" s="8"/>
      <c r="K69" s="7" t="s">
        <v>133</v>
      </c>
      <c r="L69" s="73" t="s">
        <v>100</v>
      </c>
      <c r="M69" s="24" t="s">
        <v>45</v>
      </c>
      <c r="N69" s="25" t="s">
        <v>46</v>
      </c>
      <c r="O69" s="2"/>
      <c r="P69" s="2"/>
      <c r="Q69" s="2"/>
      <c r="R69" s="2"/>
      <c r="S69" s="2"/>
      <c r="T69" s="2"/>
      <c r="U69" s="2"/>
      <c r="V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row>
    <row r="70" ht="15.75" customHeight="1">
      <c r="A70" s="2"/>
      <c r="B70" s="2"/>
      <c r="C70" s="2"/>
      <c r="D70" s="2"/>
      <c r="E70" s="2"/>
      <c r="F70" s="2"/>
      <c r="G70" s="2"/>
      <c r="H70" s="2"/>
      <c r="I70" s="2"/>
      <c r="J70" s="8"/>
      <c r="K70" s="7" t="s">
        <v>157</v>
      </c>
      <c r="L70" s="73" t="s">
        <v>100</v>
      </c>
      <c r="M70" s="24" t="s">
        <v>45</v>
      </c>
      <c r="N70" s="25" t="s">
        <v>46</v>
      </c>
      <c r="O70" s="2"/>
      <c r="P70" s="2"/>
      <c r="Q70" s="2"/>
      <c r="R70" s="2"/>
      <c r="S70" s="2"/>
      <c r="T70" s="2"/>
      <c r="U70" s="2"/>
      <c r="V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row>
    <row r="71" ht="15.75" customHeight="1">
      <c r="A71" s="2"/>
      <c r="B71" s="2"/>
      <c r="C71" s="2"/>
      <c r="D71" s="2"/>
      <c r="E71" s="2"/>
      <c r="F71" s="2"/>
      <c r="G71" s="2"/>
      <c r="H71" s="2"/>
      <c r="I71" s="2"/>
      <c r="J71" s="104"/>
      <c r="K71" s="7" t="s">
        <v>174</v>
      </c>
      <c r="L71" s="73" t="s">
        <v>100</v>
      </c>
      <c r="M71" s="73" t="s">
        <v>100</v>
      </c>
      <c r="N71" s="24" t="s">
        <v>45</v>
      </c>
      <c r="O71" s="2"/>
      <c r="P71" s="2"/>
      <c r="Q71" s="2"/>
      <c r="R71" s="2"/>
      <c r="S71" s="2"/>
      <c r="T71" s="2"/>
      <c r="U71" s="2"/>
      <c r="V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row>
    <row r="72" ht="15.75" customHeight="1">
      <c r="A72" s="2"/>
      <c r="B72" s="2"/>
      <c r="C72" s="2"/>
      <c r="D72" s="2"/>
      <c r="E72" s="2"/>
      <c r="F72" s="2"/>
      <c r="G72" s="2"/>
      <c r="H72" s="2"/>
      <c r="I72" s="2"/>
      <c r="J72" s="2"/>
      <c r="K72" s="2"/>
      <c r="L72" s="2"/>
      <c r="M72" s="2"/>
      <c r="N72" s="2"/>
      <c r="O72" s="2"/>
      <c r="P72" s="2"/>
      <c r="Q72" s="2"/>
      <c r="R72" s="2"/>
      <c r="S72" s="2"/>
      <c r="T72" s="2"/>
      <c r="U72" s="2"/>
      <c r="V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row>
    <row r="73" ht="15.75" customHeight="1">
      <c r="A73" s="2"/>
      <c r="B73" s="2"/>
      <c r="C73" s="2"/>
      <c r="D73" s="2"/>
      <c r="E73" s="2"/>
      <c r="F73" s="2"/>
      <c r="G73" s="2"/>
      <c r="H73" s="2"/>
      <c r="I73" s="2"/>
      <c r="J73" s="2"/>
      <c r="K73" s="2"/>
      <c r="L73" s="2"/>
      <c r="M73" s="2"/>
      <c r="N73" s="2"/>
      <c r="O73" s="2"/>
      <c r="P73" s="2"/>
      <c r="Q73" s="2"/>
      <c r="R73" s="2"/>
      <c r="S73" s="2"/>
      <c r="T73" s="2"/>
      <c r="U73" s="2"/>
      <c r="V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row>
    <row r="74" ht="15.75" customHeight="1">
      <c r="A74" s="2"/>
      <c r="B74" s="2"/>
      <c r="C74" s="2"/>
      <c r="D74" s="2"/>
      <c r="E74" s="2"/>
      <c r="F74" s="2"/>
      <c r="G74" s="2"/>
      <c r="H74" s="2"/>
      <c r="I74" s="2"/>
      <c r="J74" s="2"/>
      <c r="K74" s="2"/>
      <c r="L74" s="2"/>
      <c r="M74" s="2"/>
      <c r="N74" s="2"/>
      <c r="O74" s="2"/>
      <c r="P74" s="2"/>
      <c r="Q74" s="2"/>
      <c r="R74" s="2"/>
      <c r="S74" s="2"/>
      <c r="T74" s="2"/>
      <c r="U74" s="2"/>
      <c r="V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row>
    <row r="75" ht="15.75" customHeight="1">
      <c r="A75" s="2"/>
      <c r="B75" s="2"/>
      <c r="C75" s="2"/>
      <c r="D75" s="2"/>
      <c r="E75" s="2"/>
      <c r="F75" s="2"/>
      <c r="G75" s="2"/>
      <c r="H75" s="2"/>
      <c r="I75" s="2"/>
      <c r="J75" s="2"/>
      <c r="K75" s="2"/>
      <c r="L75" s="2"/>
      <c r="M75" s="2"/>
      <c r="N75" s="2"/>
      <c r="O75" s="2"/>
      <c r="P75" s="2"/>
      <c r="Q75" s="2"/>
      <c r="R75" s="2"/>
      <c r="S75" s="2"/>
      <c r="T75" s="2"/>
      <c r="U75" s="2"/>
      <c r="V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row>
    <row r="76" ht="15.75" customHeight="1">
      <c r="A76" s="2"/>
      <c r="B76" s="2"/>
      <c r="C76" s="2"/>
      <c r="D76" s="2"/>
      <c r="E76" s="2"/>
      <c r="F76" s="2"/>
      <c r="G76" s="2"/>
      <c r="H76" s="2"/>
      <c r="I76" s="2"/>
      <c r="J76" s="2"/>
      <c r="K76" s="2"/>
      <c r="L76" s="2"/>
      <c r="M76" s="2"/>
      <c r="N76" s="2"/>
      <c r="O76" s="2"/>
      <c r="P76" s="2"/>
      <c r="Q76" s="2"/>
      <c r="R76" s="2"/>
      <c r="S76" s="2"/>
      <c r="T76" s="2"/>
      <c r="U76" s="2"/>
      <c r="V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row>
    <row r="77" ht="15.75" customHeight="1">
      <c r="A77" s="2"/>
      <c r="B77" s="2"/>
      <c r="C77" s="2"/>
      <c r="D77" s="2"/>
      <c r="E77" s="2"/>
      <c r="F77" s="2"/>
      <c r="G77" s="2"/>
      <c r="H77" s="2"/>
      <c r="I77" s="2"/>
      <c r="J77" s="2"/>
      <c r="K77" s="2"/>
      <c r="L77" s="2"/>
      <c r="M77" s="2"/>
      <c r="N77" s="2"/>
      <c r="O77" s="2"/>
      <c r="P77" s="2"/>
      <c r="Q77" s="2"/>
      <c r="R77" s="2"/>
      <c r="S77" s="2"/>
      <c r="T77" s="2"/>
      <c r="U77" s="2"/>
      <c r="V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row>
    <row r="78" ht="15.75" customHeight="1">
      <c r="A78" s="2"/>
      <c r="B78" s="2"/>
      <c r="C78" s="2"/>
      <c r="D78" s="2"/>
      <c r="E78" s="2"/>
      <c r="F78" s="2"/>
      <c r="G78" s="2"/>
      <c r="H78" s="2"/>
      <c r="I78" s="2"/>
      <c r="J78" s="2"/>
      <c r="K78" s="2"/>
      <c r="L78" s="2"/>
      <c r="M78" s="2"/>
      <c r="N78" s="2"/>
      <c r="O78" s="2"/>
      <c r="P78" s="2"/>
      <c r="Q78" s="2"/>
      <c r="R78" s="2"/>
      <c r="S78" s="2"/>
      <c r="T78" s="2"/>
      <c r="U78" s="2"/>
      <c r="V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row>
    <row r="79" ht="15.75" customHeight="1">
      <c r="A79" s="2"/>
      <c r="B79" s="2"/>
      <c r="C79" s="2"/>
      <c r="D79" s="2"/>
      <c r="E79" s="2"/>
      <c r="F79" s="2"/>
      <c r="G79" s="2"/>
      <c r="H79" s="2"/>
      <c r="I79" s="2"/>
      <c r="J79" s="2"/>
      <c r="K79" s="2"/>
      <c r="L79" s="2"/>
      <c r="M79" s="2"/>
      <c r="N79" s="2"/>
      <c r="O79" s="2"/>
      <c r="P79" s="2"/>
      <c r="Q79" s="2"/>
      <c r="R79" s="2"/>
      <c r="S79" s="2"/>
      <c r="T79" s="2"/>
      <c r="U79" s="2"/>
      <c r="V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row>
    <row r="80" ht="15.75" customHeight="1">
      <c r="A80" s="2"/>
      <c r="B80" s="2"/>
      <c r="C80" s="2"/>
      <c r="D80" s="2"/>
      <c r="E80" s="2"/>
      <c r="F80" s="2"/>
      <c r="G80" s="2"/>
      <c r="H80" s="2"/>
      <c r="I80" s="2"/>
      <c r="J80" s="2"/>
      <c r="K80" s="2"/>
      <c r="L80" s="2"/>
      <c r="M80" s="2"/>
      <c r="N80" s="2"/>
      <c r="O80" s="2"/>
      <c r="P80" s="2"/>
      <c r="Q80" s="2"/>
      <c r="R80" s="2"/>
      <c r="S80" s="2"/>
      <c r="T80" s="2"/>
      <c r="U80" s="2"/>
      <c r="V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row>
    <row r="81" ht="15.75" customHeight="1">
      <c r="A81" s="2"/>
      <c r="B81" s="2"/>
      <c r="C81" s="2"/>
      <c r="D81" s="2"/>
      <c r="E81" s="2"/>
      <c r="F81" s="2"/>
      <c r="G81" s="2"/>
      <c r="H81" s="2"/>
      <c r="I81" s="2"/>
      <c r="J81" s="2"/>
      <c r="K81" s="2"/>
      <c r="L81" s="2"/>
      <c r="M81" s="2"/>
      <c r="N81" s="2"/>
      <c r="O81" s="2"/>
      <c r="P81" s="2"/>
      <c r="Q81" s="2"/>
      <c r="R81" s="2"/>
      <c r="S81" s="2"/>
      <c r="T81" s="2"/>
      <c r="U81" s="2"/>
      <c r="V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row>
    <row r="82" ht="15.75" customHeight="1">
      <c r="A82" s="2"/>
      <c r="B82" s="2"/>
      <c r="C82" s="2"/>
      <c r="D82" s="2"/>
      <c r="E82" s="2"/>
      <c r="F82" s="2"/>
      <c r="G82" s="2"/>
      <c r="H82" s="2"/>
      <c r="I82" s="2"/>
      <c r="J82" s="2"/>
      <c r="K82" s="2"/>
      <c r="L82" s="2"/>
      <c r="M82" s="2"/>
      <c r="N82" s="2"/>
      <c r="O82" s="2"/>
      <c r="P82" s="2"/>
      <c r="Q82" s="2"/>
      <c r="R82" s="2"/>
      <c r="S82" s="2"/>
      <c r="T82" s="2"/>
      <c r="U82" s="2"/>
      <c r="V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row>
    <row r="83" ht="15.75" customHeight="1">
      <c r="A83" s="2"/>
      <c r="B83" s="2"/>
      <c r="C83" s="2"/>
      <c r="D83" s="2"/>
      <c r="E83" s="2"/>
      <c r="F83" s="2"/>
      <c r="G83" s="2"/>
      <c r="H83" s="2"/>
      <c r="I83" s="2"/>
      <c r="J83" s="2"/>
      <c r="K83" s="2"/>
      <c r="L83" s="2"/>
      <c r="M83" s="2"/>
      <c r="N83" s="2"/>
      <c r="O83" s="2"/>
      <c r="P83" s="2"/>
      <c r="Q83" s="2"/>
      <c r="R83" s="2"/>
      <c r="S83" s="2"/>
      <c r="T83" s="2"/>
      <c r="U83" s="2"/>
      <c r="V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row>
    <row r="84" ht="15.75" customHeight="1">
      <c r="A84" s="2"/>
      <c r="B84" s="2"/>
      <c r="C84" s="2"/>
      <c r="D84" s="2"/>
      <c r="E84" s="2"/>
      <c r="F84" s="2"/>
      <c r="G84" s="2"/>
      <c r="H84" s="2"/>
      <c r="I84" s="2"/>
      <c r="J84" s="2"/>
      <c r="K84" s="2"/>
      <c r="L84" s="2"/>
      <c r="M84" s="2"/>
      <c r="N84" s="2"/>
      <c r="O84" s="2"/>
      <c r="P84" s="2"/>
      <c r="Q84" s="2"/>
      <c r="R84" s="2"/>
      <c r="S84" s="2"/>
      <c r="T84" s="2"/>
      <c r="U84" s="2"/>
      <c r="V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row>
    <row r="85" ht="15.75" customHeight="1">
      <c r="A85" s="2"/>
      <c r="B85" s="2"/>
      <c r="C85" s="2"/>
      <c r="D85" s="2"/>
      <c r="E85" s="2"/>
      <c r="F85" s="2"/>
      <c r="G85" s="2"/>
      <c r="H85" s="2"/>
      <c r="I85" s="2"/>
      <c r="J85" s="2"/>
      <c r="K85" s="2"/>
      <c r="L85" s="2"/>
      <c r="M85" s="2"/>
      <c r="N85" s="2"/>
      <c r="O85" s="2"/>
      <c r="P85" s="2"/>
      <c r="Q85" s="2"/>
      <c r="R85" s="2"/>
      <c r="S85" s="2"/>
      <c r="T85" s="2"/>
      <c r="U85" s="2"/>
      <c r="V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row>
    <row r="86" ht="15.75" customHeight="1">
      <c r="A86" s="2"/>
      <c r="B86" s="2"/>
      <c r="C86" s="2"/>
      <c r="D86" s="2"/>
      <c r="E86" s="2"/>
      <c r="F86" s="2"/>
      <c r="G86" s="2"/>
      <c r="H86" s="2"/>
      <c r="I86" s="2"/>
      <c r="J86" s="2"/>
      <c r="K86" s="2"/>
      <c r="L86" s="2"/>
      <c r="M86" s="2"/>
      <c r="N86" s="2"/>
      <c r="O86" s="2"/>
      <c r="P86" s="2"/>
      <c r="Q86" s="2"/>
      <c r="R86" s="2"/>
      <c r="S86" s="2"/>
      <c r="T86" s="2"/>
      <c r="U86" s="2"/>
      <c r="V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row>
    <row r="87" ht="15.75" customHeight="1">
      <c r="A87" s="2"/>
      <c r="B87" s="2"/>
      <c r="C87" s="2"/>
      <c r="D87" s="2"/>
      <c r="E87" s="2"/>
      <c r="F87" s="2"/>
      <c r="G87" s="2"/>
      <c r="H87" s="2"/>
      <c r="I87" s="2"/>
      <c r="J87" s="2"/>
      <c r="K87" s="2"/>
      <c r="L87" s="2"/>
      <c r="M87" s="2"/>
      <c r="N87" s="2"/>
      <c r="O87" s="2"/>
      <c r="P87" s="2"/>
      <c r="Q87" s="2"/>
      <c r="R87" s="2"/>
      <c r="S87" s="2"/>
      <c r="T87" s="2"/>
      <c r="U87" s="2"/>
      <c r="V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row>
    <row r="88" ht="15.75" customHeight="1">
      <c r="A88" s="2"/>
      <c r="B88" s="2"/>
      <c r="C88" s="2"/>
      <c r="D88" s="2"/>
      <c r="E88" s="2"/>
      <c r="F88" s="2"/>
      <c r="G88" s="2"/>
      <c r="H88" s="2"/>
      <c r="I88" s="2"/>
      <c r="J88" s="2"/>
      <c r="K88" s="2"/>
      <c r="L88" s="2"/>
      <c r="M88" s="2"/>
      <c r="N88" s="2"/>
      <c r="O88" s="2"/>
      <c r="P88" s="2"/>
      <c r="Q88" s="2"/>
      <c r="R88" s="2"/>
      <c r="S88" s="2"/>
      <c r="T88" s="2"/>
      <c r="U88" s="2"/>
      <c r="V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row>
    <row r="89" ht="15.75" customHeight="1">
      <c r="A89" s="2"/>
      <c r="B89" s="2"/>
      <c r="C89" s="2"/>
      <c r="D89" s="2"/>
      <c r="E89" s="2"/>
      <c r="F89" s="2"/>
      <c r="G89" s="2"/>
      <c r="H89" s="2"/>
      <c r="I89" s="2"/>
      <c r="J89" s="2"/>
      <c r="K89" s="2"/>
      <c r="L89" s="2"/>
      <c r="M89" s="2"/>
      <c r="N89" s="2"/>
      <c r="O89" s="2"/>
      <c r="P89" s="2"/>
      <c r="Q89" s="2"/>
      <c r="R89" s="2"/>
      <c r="S89" s="2"/>
      <c r="T89" s="2"/>
      <c r="U89" s="2"/>
      <c r="V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row>
    <row r="90" ht="15.75" customHeight="1">
      <c r="A90" s="2"/>
      <c r="B90" s="2"/>
      <c r="C90" s="2"/>
      <c r="D90" s="2"/>
      <c r="E90" s="2"/>
      <c r="F90" s="2"/>
      <c r="G90" s="2"/>
      <c r="H90" s="2"/>
      <c r="I90" s="2"/>
      <c r="J90" s="2"/>
      <c r="K90" s="2"/>
      <c r="L90" s="2"/>
      <c r="M90" s="2"/>
      <c r="N90" s="2"/>
      <c r="O90" s="2"/>
      <c r="P90" s="2"/>
      <c r="Q90" s="2"/>
      <c r="R90" s="2"/>
      <c r="S90" s="2"/>
      <c r="T90" s="2"/>
      <c r="U90" s="2"/>
      <c r="V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row>
    <row r="91" ht="15.75" customHeight="1">
      <c r="A91" s="2"/>
      <c r="B91" s="2"/>
      <c r="C91" s="2"/>
      <c r="D91" s="2"/>
      <c r="E91" s="2"/>
      <c r="F91" s="2"/>
      <c r="G91" s="2"/>
      <c r="H91" s="2"/>
      <c r="I91" s="2"/>
      <c r="J91" s="2"/>
      <c r="K91" s="2"/>
      <c r="L91" s="2"/>
      <c r="M91" s="2"/>
      <c r="N91" s="2"/>
      <c r="O91" s="2"/>
      <c r="P91" s="2"/>
      <c r="Q91" s="2"/>
      <c r="R91" s="2"/>
      <c r="S91" s="2"/>
      <c r="T91" s="2"/>
      <c r="U91" s="2"/>
      <c r="V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row>
    <row r="92" ht="15.75" customHeight="1">
      <c r="A92" s="2"/>
      <c r="B92" s="2"/>
      <c r="C92" s="2"/>
      <c r="D92" s="2"/>
      <c r="E92" s="2"/>
      <c r="F92" s="2"/>
      <c r="G92" s="2"/>
      <c r="H92" s="2"/>
      <c r="I92" s="2"/>
      <c r="J92" s="2"/>
      <c r="K92" s="2"/>
      <c r="L92" s="2"/>
      <c r="M92" s="2"/>
      <c r="N92" s="2"/>
      <c r="O92" s="2"/>
      <c r="P92" s="2"/>
      <c r="Q92" s="2"/>
      <c r="R92" s="2"/>
      <c r="S92" s="2"/>
      <c r="T92" s="2"/>
      <c r="U92" s="2"/>
      <c r="V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t="s">
        <v>411</v>
      </c>
      <c r="AY92" s="2"/>
      <c r="AZ92" s="2"/>
      <c r="BA92" s="2"/>
      <c r="BB92" s="2" t="s">
        <v>411</v>
      </c>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row>
    <row r="93" ht="15.75" customHeight="1">
      <c r="A93" s="2"/>
      <c r="B93" s="2"/>
      <c r="C93" s="2"/>
      <c r="D93" s="2"/>
      <c r="E93" s="2"/>
      <c r="F93" s="2"/>
      <c r="G93" s="2"/>
      <c r="H93" s="2"/>
      <c r="I93" s="2"/>
      <c r="J93" s="2"/>
      <c r="K93" s="2"/>
      <c r="L93" s="2"/>
      <c r="M93" s="2"/>
      <c r="N93" s="2"/>
      <c r="O93" s="2"/>
      <c r="P93" s="2"/>
      <c r="Q93" s="2"/>
      <c r="R93" s="2"/>
      <c r="S93" s="2"/>
      <c r="T93" s="2"/>
      <c r="U93" s="2"/>
      <c r="V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t="s">
        <v>411</v>
      </c>
      <c r="AY93" s="2"/>
      <c r="AZ93" s="2"/>
      <c r="BA93" s="2"/>
      <c r="BB93" s="2" t="s">
        <v>411</v>
      </c>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row>
    <row r="94" ht="15.75" customHeight="1">
      <c r="A94" s="2"/>
      <c r="B94" s="2"/>
      <c r="C94" s="2"/>
      <c r="D94" s="2"/>
      <c r="E94" s="2"/>
      <c r="F94" s="2"/>
      <c r="G94" s="2"/>
      <c r="H94" s="2"/>
      <c r="I94" s="2"/>
      <c r="J94" s="2"/>
      <c r="K94" s="2"/>
      <c r="L94" s="2"/>
      <c r="M94" s="2"/>
      <c r="N94" s="2"/>
      <c r="O94" s="2"/>
      <c r="P94" s="2"/>
      <c r="Q94" s="2"/>
      <c r="R94" s="2"/>
      <c r="S94" s="2"/>
      <c r="T94" s="2"/>
      <c r="U94" s="2"/>
      <c r="V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t="s">
        <v>411</v>
      </c>
      <c r="AY94" s="2"/>
      <c r="AZ94" s="2"/>
      <c r="BA94" s="2"/>
      <c r="BB94" s="2" t="s">
        <v>411</v>
      </c>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row>
    <row r="95" ht="15.75" customHeight="1">
      <c r="A95" s="2"/>
      <c r="B95" s="2"/>
      <c r="C95" s="2"/>
      <c r="D95" s="2"/>
      <c r="E95" s="2"/>
      <c r="F95" s="2"/>
      <c r="G95" s="2"/>
      <c r="H95" s="2"/>
      <c r="I95" s="2"/>
      <c r="J95" s="2"/>
      <c r="K95" s="2"/>
      <c r="L95" s="2"/>
      <c r="M95" s="2"/>
      <c r="N95" s="2"/>
      <c r="O95" s="2"/>
      <c r="P95" s="2"/>
      <c r="Q95" s="2"/>
      <c r="R95" s="2"/>
      <c r="S95" s="2"/>
      <c r="T95" s="2"/>
      <c r="U95" s="2"/>
      <c r="V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t="s">
        <v>411</v>
      </c>
      <c r="AY95" s="2"/>
      <c r="AZ95" s="2"/>
      <c r="BA95" s="2"/>
      <c r="BB95" s="2" t="s">
        <v>411</v>
      </c>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row>
    <row r="96" ht="15.75" customHeight="1">
      <c r="A96" s="2"/>
      <c r="B96" s="2"/>
      <c r="C96" s="2"/>
      <c r="D96" s="2"/>
      <c r="E96" s="2"/>
      <c r="F96" s="2"/>
      <c r="G96" s="2"/>
      <c r="H96" s="2"/>
      <c r="I96" s="2"/>
      <c r="J96" s="2"/>
      <c r="K96" s="2"/>
      <c r="L96" s="2"/>
      <c r="M96" s="2"/>
      <c r="N96" s="2"/>
      <c r="O96" s="2"/>
      <c r="P96" s="2"/>
      <c r="Q96" s="2"/>
      <c r="R96" s="2"/>
      <c r="S96" s="2"/>
      <c r="T96" s="2"/>
      <c r="U96" s="2"/>
      <c r="V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t="s">
        <v>411</v>
      </c>
      <c r="AY96" s="2"/>
      <c r="AZ96" s="2"/>
      <c r="BA96" s="2"/>
      <c r="BB96" s="2" t="s">
        <v>411</v>
      </c>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row>
    <row r="97" ht="15.75" customHeight="1">
      <c r="A97" s="2"/>
      <c r="B97" s="2"/>
      <c r="C97" s="2"/>
      <c r="D97" s="2"/>
      <c r="E97" s="2"/>
      <c r="F97" s="2"/>
      <c r="G97" s="2"/>
      <c r="H97" s="2"/>
      <c r="I97" s="2"/>
      <c r="J97" s="2"/>
      <c r="K97" s="2"/>
      <c r="L97" s="2"/>
      <c r="M97" s="2"/>
      <c r="N97" s="2"/>
      <c r="O97" s="2"/>
      <c r="P97" s="2"/>
      <c r="Q97" s="2"/>
      <c r="R97" s="2"/>
      <c r="S97" s="2"/>
      <c r="T97" s="2"/>
      <c r="U97" s="2"/>
      <c r="V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t="s">
        <v>411</v>
      </c>
      <c r="AY97" s="2"/>
      <c r="AZ97" s="2"/>
      <c r="BA97" s="2"/>
      <c r="BB97" s="2" t="s">
        <v>411</v>
      </c>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row>
    <row r="98" ht="15.75" customHeight="1">
      <c r="A98" s="2"/>
      <c r="B98" s="2"/>
      <c r="C98" s="2"/>
      <c r="D98" s="2"/>
      <c r="E98" s="2"/>
      <c r="F98" s="2"/>
      <c r="G98" s="2"/>
      <c r="H98" s="2"/>
      <c r="I98" s="2"/>
      <c r="J98" s="2"/>
      <c r="K98" s="2"/>
      <c r="L98" s="2"/>
      <c r="M98" s="2"/>
      <c r="N98" s="2"/>
      <c r="O98" s="2"/>
      <c r="P98" s="2"/>
      <c r="Q98" s="2"/>
      <c r="R98" s="2"/>
      <c r="S98" s="2"/>
      <c r="T98" s="2"/>
      <c r="U98" s="2"/>
      <c r="V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t="s">
        <v>411</v>
      </c>
      <c r="AY98" s="2"/>
      <c r="AZ98" s="2"/>
      <c r="BA98" s="2"/>
      <c r="BB98" s="2" t="s">
        <v>411</v>
      </c>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row>
    <row r="99" ht="15.75" customHeight="1">
      <c r="A99" s="2"/>
      <c r="B99" s="2"/>
      <c r="C99" s="2"/>
      <c r="D99" s="2"/>
      <c r="E99" s="2"/>
      <c r="F99" s="2"/>
      <c r="G99" s="2"/>
      <c r="H99" s="2"/>
      <c r="I99" s="2"/>
      <c r="J99" s="2"/>
      <c r="K99" s="2"/>
      <c r="L99" s="2"/>
      <c r="M99" s="2"/>
      <c r="N99" s="2"/>
      <c r="O99" s="2"/>
      <c r="P99" s="2"/>
      <c r="Q99" s="2"/>
      <c r="R99" s="2"/>
      <c r="S99" s="2"/>
      <c r="T99" s="2"/>
      <c r="U99" s="2"/>
      <c r="V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t="s">
        <v>411</v>
      </c>
      <c r="AY99" s="2"/>
      <c r="AZ99" s="2"/>
      <c r="BA99" s="2"/>
      <c r="BB99" s="2" t="s">
        <v>411</v>
      </c>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t="s">
        <v>411</v>
      </c>
      <c r="AY100" s="2"/>
      <c r="AZ100" s="2"/>
      <c r="BA100" s="2"/>
      <c r="BB100" s="2" t="s">
        <v>411</v>
      </c>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t="s">
        <v>411</v>
      </c>
      <c r="AY101" s="2"/>
      <c r="AZ101" s="2"/>
      <c r="BA101" s="2"/>
      <c r="BB101" s="2" t="s">
        <v>411</v>
      </c>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t="s">
        <v>411</v>
      </c>
      <c r="AY102" s="2"/>
      <c r="AZ102" s="2"/>
      <c r="BA102" s="2"/>
      <c r="BB102" s="2" t="s">
        <v>411</v>
      </c>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t="s">
        <v>411</v>
      </c>
      <c r="AY103" s="2"/>
      <c r="AZ103" s="2"/>
      <c r="BA103" s="2"/>
      <c r="BB103" s="2" t="s">
        <v>411</v>
      </c>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t="s">
        <v>411</v>
      </c>
      <c r="AY104" s="2"/>
      <c r="AZ104" s="2"/>
      <c r="BA104" s="2"/>
      <c r="BB104" s="2" t="s">
        <v>411</v>
      </c>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t="s">
        <v>411</v>
      </c>
      <c r="AY105" s="2"/>
      <c r="AZ105" s="2"/>
      <c r="BA105" s="2"/>
      <c r="BB105" s="2" t="s">
        <v>412</v>
      </c>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t="s">
        <v>411</v>
      </c>
      <c r="AY106" s="2"/>
      <c r="AZ106" s="2"/>
      <c r="BA106" s="2"/>
      <c r="BB106" s="2" t="s">
        <v>411</v>
      </c>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t="s">
        <v>411</v>
      </c>
      <c r="AY107" s="2"/>
      <c r="AZ107" s="2"/>
      <c r="BA107" s="2"/>
      <c r="BB107" s="2" t="s">
        <v>412</v>
      </c>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t="s">
        <v>411</v>
      </c>
      <c r="AY108" s="2"/>
      <c r="AZ108" s="2"/>
      <c r="BA108" s="2"/>
      <c r="BB108" s="2" t="s">
        <v>411</v>
      </c>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t="s">
        <v>411</v>
      </c>
      <c r="AY109" s="2"/>
      <c r="AZ109" s="2"/>
      <c r="BA109" s="2"/>
      <c r="BB109" s="2" t="s">
        <v>411</v>
      </c>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t="s">
        <v>411</v>
      </c>
      <c r="AY110" s="2"/>
      <c r="AZ110" s="2"/>
      <c r="BA110" s="2"/>
      <c r="BB110" s="2" t="s">
        <v>411</v>
      </c>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t="s">
        <v>411</v>
      </c>
      <c r="AY111" s="2"/>
      <c r="AZ111" s="2"/>
      <c r="BA111" s="2"/>
      <c r="BB111" s="2" t="s">
        <v>411</v>
      </c>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t="s">
        <v>413</v>
      </c>
      <c r="AY112" s="2"/>
      <c r="AZ112" s="2"/>
      <c r="BA112" s="2"/>
      <c r="BB112" s="2" t="s">
        <v>411</v>
      </c>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t="s">
        <v>413</v>
      </c>
      <c r="AY113" s="2"/>
      <c r="AZ113" s="2"/>
      <c r="BA113" s="2"/>
      <c r="BB113" s="2" t="s">
        <v>411</v>
      </c>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t="s">
        <v>413</v>
      </c>
      <c r="AY114" s="2"/>
      <c r="AZ114" s="2"/>
      <c r="BA114" s="2"/>
      <c r="BB114" s="2" t="s">
        <v>412</v>
      </c>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t="s">
        <v>413</v>
      </c>
      <c r="AY115" s="2"/>
      <c r="AZ115" s="2"/>
      <c r="BA115" s="2"/>
      <c r="BB115" s="2" t="s">
        <v>411</v>
      </c>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t="s">
        <v>413</v>
      </c>
      <c r="AY116" s="2"/>
      <c r="AZ116" s="2"/>
      <c r="BA116" s="2"/>
      <c r="BB116" s="2" t="s">
        <v>411</v>
      </c>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t="s">
        <v>411</v>
      </c>
      <c r="AY117" s="2"/>
      <c r="AZ117" s="2"/>
      <c r="BA117" s="2"/>
      <c r="BB117" s="2" t="s">
        <v>413</v>
      </c>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t="s">
        <v>411</v>
      </c>
      <c r="AY118" s="2"/>
      <c r="AZ118" s="2"/>
      <c r="BA118" s="2"/>
      <c r="BB118" s="2" t="s">
        <v>413</v>
      </c>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t="s">
        <v>411</v>
      </c>
      <c r="AY119" s="2"/>
      <c r="AZ119" s="2"/>
      <c r="BA119" s="2"/>
      <c r="BB119" s="2" t="s">
        <v>413</v>
      </c>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t="s">
        <v>411</v>
      </c>
      <c r="AY120" s="2"/>
      <c r="AZ120" s="2"/>
      <c r="BA120" s="2"/>
      <c r="BB120" s="2" t="s">
        <v>413</v>
      </c>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t="s">
        <v>411</v>
      </c>
      <c r="AY121" s="2"/>
      <c r="AZ121" s="2"/>
      <c r="BA121" s="2"/>
      <c r="BB121" s="2" t="s">
        <v>411</v>
      </c>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t="s">
        <v>411</v>
      </c>
      <c r="AY122" s="2"/>
      <c r="AZ122" s="2"/>
      <c r="BA122" s="2"/>
      <c r="BB122" s="2" t="s">
        <v>411</v>
      </c>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t="s">
        <v>413</v>
      </c>
      <c r="AY123" s="2"/>
      <c r="AZ123" s="2"/>
      <c r="BA123" s="2"/>
      <c r="BB123" s="2" t="s">
        <v>413</v>
      </c>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t="s">
        <v>411</v>
      </c>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t="s">
        <v>411</v>
      </c>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row>
    <row r="214" ht="15.75" customHeight="1">
      <c r="A214" s="2"/>
      <c r="B214" s="2"/>
      <c r="C214" s="2"/>
      <c r="D214" s="2"/>
      <c r="E214" s="2"/>
      <c r="F214" s="2"/>
      <c r="G214" s="2"/>
      <c r="H214" s="2"/>
      <c r="I214" s="2"/>
      <c r="J214" s="2"/>
      <c r="K214" s="2"/>
      <c r="L214" s="2"/>
      <c r="M214" s="2"/>
      <c r="N214" s="2"/>
      <c r="O214" s="2"/>
      <c r="P214" s="2"/>
      <c r="Q214" s="2"/>
      <c r="R214" s="2"/>
      <c r="S214" s="2"/>
      <c r="T214" s="2" t="s">
        <v>65</v>
      </c>
      <c r="U214" s="2"/>
      <c r="V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t="s">
        <v>414</v>
      </c>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row>
  </sheetData>
  <mergeCells count="21">
    <mergeCell ref="B11:C11"/>
    <mergeCell ref="B12:B16"/>
    <mergeCell ref="A1:H1"/>
    <mergeCell ref="J1:J8"/>
    <mergeCell ref="K1:N1"/>
    <mergeCell ref="A3:A8"/>
    <mergeCell ref="B10:H10"/>
    <mergeCell ref="J10:J17"/>
    <mergeCell ref="K10:N10"/>
    <mergeCell ref="J46:J53"/>
    <mergeCell ref="J55:J62"/>
    <mergeCell ref="J64:J71"/>
    <mergeCell ref="K55:N55"/>
    <mergeCell ref="K64:N64"/>
    <mergeCell ref="J19:J26"/>
    <mergeCell ref="K19:N19"/>
    <mergeCell ref="J28:J35"/>
    <mergeCell ref="K28:N28"/>
    <mergeCell ref="J37:J44"/>
    <mergeCell ref="K37:N37"/>
    <mergeCell ref="K46:N46"/>
  </mergeCells>
  <printOptions/>
  <pageMargins bottom="0.75" footer="0.0" header="0.0" left="0.7" right="0.7" top="0.75"/>
  <pageSetup paperSize="9" orientation="portrait"/>
  <drawing r:id="rId1"/>
</worksheet>
</file>